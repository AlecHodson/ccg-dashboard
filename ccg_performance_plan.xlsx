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A" sheetId="1" state="visible" r:id="rId1"/>
    <sheet xmlns:r="http://schemas.openxmlformats.org/officeDocument/2006/relationships" name="BK" sheetId="2" state="visible" r:id="rId2"/>
    <sheet xmlns:r="http://schemas.openxmlformats.org/officeDocument/2006/relationships" name="BW" sheetId="3" state="visible" r:id="rId3"/>
    <sheet xmlns:r="http://schemas.openxmlformats.org/officeDocument/2006/relationships" name="CED" sheetId="4" state="visible" r:id="rId4"/>
    <sheet xmlns:r="http://schemas.openxmlformats.org/officeDocument/2006/relationships" name="HAB" sheetId="5" state="visible" r:id="rId5"/>
    <sheet xmlns:r="http://schemas.openxmlformats.org/officeDocument/2006/relationships" name="HB" sheetId="6" state="visible" r:id="rId6"/>
    <sheet xmlns:r="http://schemas.openxmlformats.org/officeDocument/2006/relationships" name="OD" sheetId="7" state="visible" r:id="rId7"/>
    <sheet xmlns:r="http://schemas.openxmlformats.org/officeDocument/2006/relationships" name="HDN" sheetId="8" state="visible" r:id="rId8"/>
    <sheet xmlns:r="http://schemas.openxmlformats.org/officeDocument/2006/relationships" name="KIN" sheetId="9" state="visible" r:id="rId9"/>
    <sheet xmlns:r="http://schemas.openxmlformats.org/officeDocument/2006/relationships" name="LE" sheetId="10" state="visible" r:id="rId10"/>
    <sheet xmlns:r="http://schemas.openxmlformats.org/officeDocument/2006/relationships" name="MER" sheetId="11" state="visible" r:id="rId11"/>
    <sheet xmlns:r="http://schemas.openxmlformats.org/officeDocument/2006/relationships" name="NDN" sheetId="12" state="visible" r:id="rId12"/>
    <sheet xmlns:r="http://schemas.openxmlformats.org/officeDocument/2006/relationships" name="SALT" sheetId="13" state="visible" r:id="rId13"/>
    <sheet xmlns:r="http://schemas.openxmlformats.org/officeDocument/2006/relationships" name="SDN" sheetId="14" state="visible" r:id="rId14"/>
    <sheet xmlns:r="http://schemas.openxmlformats.org/officeDocument/2006/relationships" name="SST" sheetId="15" state="visible" r:id="rId15"/>
    <sheet xmlns:r="http://schemas.openxmlformats.org/officeDocument/2006/relationships" name="WH" sheetId="16" state="visible" r:id="rId16"/>
    <sheet xmlns:r="http://schemas.openxmlformats.org/officeDocument/2006/relationships" name="FH" sheetId="17" state="visible" r:id="rId17"/>
    <sheet xmlns:r="http://schemas.openxmlformats.org/officeDocument/2006/relationships" name="ABA Plan" sheetId="18" state="visible" r:id="rId18"/>
    <sheet xmlns:r="http://schemas.openxmlformats.org/officeDocument/2006/relationships" name="BK Plan" sheetId="19" state="visible" r:id="rId19"/>
    <sheet xmlns:r="http://schemas.openxmlformats.org/officeDocument/2006/relationships" name="BW Plan" sheetId="20" state="visible" r:id="rId20"/>
    <sheet xmlns:r="http://schemas.openxmlformats.org/officeDocument/2006/relationships" name="CED Plan" sheetId="21" state="visible" r:id="rId21"/>
    <sheet xmlns:r="http://schemas.openxmlformats.org/officeDocument/2006/relationships" name="HAB Plan" sheetId="22" state="visible" r:id="rId22"/>
    <sheet xmlns:r="http://schemas.openxmlformats.org/officeDocument/2006/relationships" name="HB Plan" sheetId="23" state="visible" r:id="rId23"/>
    <sheet xmlns:r="http://schemas.openxmlformats.org/officeDocument/2006/relationships" name="OD Plan" sheetId="24" state="visible" r:id="rId24"/>
    <sheet xmlns:r="http://schemas.openxmlformats.org/officeDocument/2006/relationships" name="HDN Plan" sheetId="25" state="visible" r:id="rId25"/>
    <sheet xmlns:r="http://schemas.openxmlformats.org/officeDocument/2006/relationships" name="KIN Plan" sheetId="26" state="visible" r:id="rId26"/>
    <sheet xmlns:r="http://schemas.openxmlformats.org/officeDocument/2006/relationships" name="LE Plan" sheetId="27" state="visible" r:id="rId27"/>
    <sheet xmlns:r="http://schemas.openxmlformats.org/officeDocument/2006/relationships" name="MER Plan" sheetId="28" state="visible" r:id="rId28"/>
    <sheet xmlns:r="http://schemas.openxmlformats.org/officeDocument/2006/relationships" name="NDN Plan" sheetId="29" state="visible" r:id="rId29"/>
    <sheet xmlns:r="http://schemas.openxmlformats.org/officeDocument/2006/relationships" name="SALT Plan" sheetId="30" state="visible" r:id="rId30"/>
    <sheet xmlns:r="http://schemas.openxmlformats.org/officeDocument/2006/relationships" name="SDN Plan" sheetId="31" state="visible" r:id="rId31"/>
    <sheet xmlns:r="http://schemas.openxmlformats.org/officeDocument/2006/relationships" name="SST Plan" sheetId="32" state="visible" r:id="rId32"/>
    <sheet xmlns:r="http://schemas.openxmlformats.org/officeDocument/2006/relationships" name="WH Plan" sheetId="33" state="visible" r:id="rId33"/>
    <sheet xmlns:r="http://schemas.openxmlformats.org/officeDocument/2006/relationships" name="FH Plan" sheetId="34" state="visible" r:id="rId34"/>
    <sheet xmlns:r="http://schemas.openxmlformats.org/officeDocument/2006/relationships" name="GROUP — Current" sheetId="35" state="visible" r:id="rId35"/>
    <sheet xmlns:r="http://schemas.openxmlformats.org/officeDocument/2006/relationships" name="GROUP — 2027 Plan" sheetId="36" state="visible" r:id="rId36"/>
    <sheet xmlns:r="http://schemas.openxmlformats.org/officeDocument/2006/relationships" name="Economic Pressures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%;-0.0%;0.0%"/>
    <numFmt numFmtId="165" formatCode="0.0%"/>
    <numFmt numFmtId="166" formatCode="+#,##0;-#,##0;#,##0"/>
  </numFmts>
  <fonts count="1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9"/>
    </font>
    <font>
      <b val="1"/>
      <color rgb="00FFFFFF"/>
      <sz val="8"/>
    </font>
    <font>
      <color rgb="00000000"/>
      <sz val="9"/>
    </font>
    <font>
      <color rgb="00555555"/>
      <sz val="9"/>
    </font>
    <font>
      <color rgb="00888888"/>
      <sz val="9"/>
    </font>
    <font>
      <i val="1"/>
      <color rgb="00888888"/>
      <sz val="9"/>
    </font>
    <font>
      <b val="1"/>
      <color rgb="00FFFFFF"/>
      <sz val="11"/>
    </font>
    <font>
      <color rgb="00000000"/>
      <sz val="8.5"/>
    </font>
    <font>
      <color rgb="0027AE60"/>
      <sz val="9"/>
    </font>
    <font>
      <color rgb="00C0392B"/>
      <sz val="9"/>
    </font>
    <font>
      <color rgb="00555555"/>
      <sz val="7.5"/>
    </font>
    <font>
      <b val="1"/>
      <color rgb="00FFFFFF"/>
      <sz val="8.5"/>
    </font>
    <font>
      <b val="1"/>
      <color rgb="00000000"/>
      <sz val="9"/>
    </font>
  </fonts>
  <fills count="1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C3E50"/>
      </patternFill>
    </fill>
    <fill>
      <patternFill patternType="solid">
        <fgColor rgb="00F0FFF4"/>
      </patternFill>
    </fill>
    <fill>
      <patternFill patternType="solid">
        <fgColor rgb="00E8F0FE"/>
      </patternFill>
    </fill>
    <fill>
      <patternFill patternType="solid">
        <fgColor rgb="00F8F9FA"/>
      </patternFill>
    </fill>
    <fill>
      <patternFill patternType="solid">
        <fgColor rgb="0027AE60"/>
      </patternFill>
    </fill>
    <fill>
      <patternFill patternType="solid">
        <fgColor rgb="00FFF5F5"/>
      </patternFill>
    </fill>
    <fill>
      <patternFill patternType="solid">
        <fgColor rgb="00C0392B"/>
      </patternFill>
    </fill>
    <fill>
      <patternFill patternType="solid">
        <fgColor rgb="00FFF9F0"/>
      </patternFill>
    </fill>
    <fill>
      <patternFill patternType="solid">
        <fgColor rgb="00D35400"/>
      </patternFill>
    </fill>
    <fill>
      <patternFill patternType="solid">
        <fgColor rgb="00F0F4FF"/>
      </patternFill>
    </fill>
    <fill>
      <patternFill patternType="solid">
        <fgColor rgb="001A73E8"/>
      </patternFill>
    </fill>
    <fill>
      <patternFill patternType="solid">
        <fgColor rgb="006C3483"/>
      </patternFill>
    </fill>
    <fill>
      <patternFill patternType="solid">
        <fgColor rgb="00FFFDE7"/>
      </patternFill>
    </fill>
    <fill>
      <patternFill patternType="solid">
        <fgColor rgb="00E8F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3" fontId="4" fillId="4" borderId="0" applyAlignment="1" pivotButton="0" quotePrefix="0" xfId="0">
      <alignment horizontal="right" vertical="center"/>
    </xf>
    <xf numFmtId="3" fontId="4" fillId="5" borderId="0" applyAlignment="1" pivotButton="0" quotePrefix="0" xfId="0">
      <alignment horizontal="right" vertical="center"/>
    </xf>
    <xf numFmtId="164" fontId="5" fillId="6" borderId="0" applyAlignment="1" pivotButton="0" quotePrefix="0" xfId="0">
      <alignment horizontal="right" vertical="center"/>
    </xf>
    <xf numFmtId="0" fontId="2" fillId="7" borderId="0" applyAlignment="1" pivotButton="0" quotePrefix="0" xfId="0">
      <alignment horizontal="left" vertical="center"/>
    </xf>
    <xf numFmtId="3" fontId="2" fillId="7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left" vertical="center"/>
    </xf>
    <xf numFmtId="0" fontId="4" fillId="8" borderId="0" applyAlignment="1" pivotButton="0" quotePrefix="0" xfId="0">
      <alignment horizontal="left" vertical="center"/>
    </xf>
    <xf numFmtId="3" fontId="4" fillId="8" borderId="0" applyAlignment="1" pivotButton="0" quotePrefix="0" xfId="0">
      <alignment horizontal="right" vertical="center"/>
    </xf>
    <xf numFmtId="0" fontId="2" fillId="9" borderId="0" applyAlignment="1" pivotButton="0" quotePrefix="0" xfId="0">
      <alignment horizontal="left" vertical="center"/>
    </xf>
    <xf numFmtId="3" fontId="2" fillId="9" borderId="0" applyAlignment="1" pivotButton="0" quotePrefix="0" xfId="0">
      <alignment horizontal="right" vertical="center"/>
    </xf>
    <xf numFmtId="0" fontId="7" fillId="8" borderId="0" applyAlignment="1" pivotButton="0" quotePrefix="0" xfId="0">
      <alignment horizontal="left" vertical="center"/>
    </xf>
    <xf numFmtId="165" fontId="7" fillId="8" borderId="0" applyAlignment="1" pivotButton="0" quotePrefix="0" xfId="0">
      <alignment horizontal="right" vertical="center"/>
    </xf>
    <xf numFmtId="0" fontId="4" fillId="10" borderId="0" applyAlignment="1" pivotButton="0" quotePrefix="0" xfId="0">
      <alignment horizontal="left" vertical="center"/>
    </xf>
    <xf numFmtId="3" fontId="4" fillId="10" borderId="0" applyAlignment="1" pivotButton="0" quotePrefix="0" xfId="0">
      <alignment horizontal="right" vertical="center"/>
    </xf>
    <xf numFmtId="0" fontId="2" fillId="11" borderId="0" applyAlignment="1" pivotButton="0" quotePrefix="0" xfId="0">
      <alignment horizontal="left" vertical="center"/>
    </xf>
    <xf numFmtId="3" fontId="2" fillId="11" borderId="0" applyAlignment="1" pivotButton="0" quotePrefix="0" xfId="0">
      <alignment horizontal="right" vertical="center"/>
    </xf>
    <xf numFmtId="0" fontId="4" fillId="12" borderId="0" applyAlignment="1" pivotButton="0" quotePrefix="0" xfId="0">
      <alignment horizontal="left" vertical="center"/>
    </xf>
    <xf numFmtId="3" fontId="4" fillId="12" borderId="0" applyAlignment="1" pivotButton="0" quotePrefix="0" xfId="0">
      <alignment horizontal="right" vertical="center"/>
    </xf>
    <xf numFmtId="0" fontId="2" fillId="13" borderId="0" applyAlignment="1" pivotButton="0" quotePrefix="0" xfId="0">
      <alignment horizontal="left" vertical="center"/>
    </xf>
    <xf numFmtId="3" fontId="2" fillId="13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left" vertical="center"/>
    </xf>
    <xf numFmtId="0" fontId="2" fillId="14" borderId="0" applyAlignment="1" pivotButton="0" quotePrefix="0" xfId="0">
      <alignment horizontal="left" vertical="center"/>
    </xf>
    <xf numFmtId="3" fontId="2" fillId="14" borderId="0" applyAlignment="1" pivotButton="0" quotePrefix="0" xfId="0">
      <alignment horizontal="right" vertical="center"/>
    </xf>
    <xf numFmtId="0" fontId="2" fillId="14" borderId="0" applyAlignment="1" pivotButton="0" quotePrefix="0" xfId="0">
      <alignment horizontal="center" vertical="center"/>
    </xf>
    <xf numFmtId="0" fontId="3" fillId="14" borderId="0" applyAlignment="1" pivotButton="0" quotePrefix="0" xfId="0">
      <alignment horizontal="center" vertical="center" wrapText="1"/>
    </xf>
    <xf numFmtId="3" fontId="4" fillId="15" borderId="0" applyAlignment="1" pivotButton="0" quotePrefix="0" xfId="0">
      <alignment horizontal="right" vertical="center"/>
    </xf>
    <xf numFmtId="3" fontId="2" fillId="3" borderId="0" applyAlignment="1" pivotButton="0" quotePrefix="0" xfId="0">
      <alignment horizontal="right" vertical="center"/>
    </xf>
    <xf numFmtId="3" fontId="2" fillId="5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left" vertical="center"/>
    </xf>
    <xf numFmtId="3" fontId="2" fillId="2" borderId="0" applyAlignment="1" pivotButton="0" quotePrefix="0" xfId="0">
      <alignment horizontal="right" vertical="center"/>
    </xf>
    <xf numFmtId="166" fontId="2" fillId="11" borderId="0" applyAlignment="1" pivotButton="0" quotePrefix="0" xfId="0">
      <alignment horizontal="right" vertical="center"/>
    </xf>
    <xf numFmtId="3" fontId="2" fillId="15" borderId="0" applyAlignment="1" pivotButton="0" quotePrefix="0" xfId="0">
      <alignment horizontal="right" vertical="center"/>
    </xf>
    <xf numFmtId="0" fontId="8" fillId="9" borderId="0" applyAlignment="1" pivotButton="0" quotePrefix="0" xfId="0">
      <alignment horizontal="left" vertical="center"/>
    </xf>
    <xf numFmtId="0" fontId="9" fillId="6" borderId="0" applyAlignment="1" pivotButton="0" quotePrefix="0" xfId="0">
      <alignment horizontal="left" vertical="center"/>
    </xf>
    <xf numFmtId="3" fontId="4" fillId="6" borderId="0" applyAlignment="1" pivotButton="0" quotePrefix="0" xfId="0">
      <alignment horizontal="right" vertical="center"/>
    </xf>
    <xf numFmtId="166" fontId="10" fillId="4" borderId="0" applyAlignment="1" pivotButton="0" quotePrefix="0" xfId="0">
      <alignment horizontal="right" vertical="center"/>
    </xf>
    <xf numFmtId="166" fontId="11" fillId="8" borderId="0" applyAlignment="1" pivotButton="0" quotePrefix="0" xfId="0">
      <alignment horizontal="right" vertical="center"/>
    </xf>
    <xf numFmtId="0" fontId="12" fillId="6" borderId="0" applyAlignment="1" pivotButton="0" quotePrefix="0" xfId="0">
      <alignment horizontal="left" vertical="center"/>
    </xf>
    <xf numFmtId="0" fontId="13" fillId="2" borderId="0" applyAlignment="1" pivotButton="0" quotePrefix="0" xfId="0">
      <alignment horizontal="left" vertical="center"/>
    </xf>
    <xf numFmtId="3" fontId="14" fillId="15" borderId="0" applyAlignment="1" pivotButton="0" quotePrefix="0" xfId="0">
      <alignment horizontal="right" vertical="center"/>
    </xf>
    <xf numFmtId="0" fontId="13" fillId="16" borderId="0" applyAlignment="1" pivotButton="0" quotePrefix="0" xfId="0">
      <alignment horizontal="left" vertical="center"/>
    </xf>
    <xf numFmtId="3" fontId="2" fillId="16" borderId="0" applyAlignment="1" pivotButton="0" quotePrefix="0" xfId="0">
      <alignment horizontal="right" vertical="center"/>
    </xf>
    <xf numFmtId="0" fontId="13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styles" Target="styles.xml" Id="rId38"/><Relationship Type="http://schemas.openxmlformats.org/officeDocument/2006/relationships/theme" Target="theme/theme1.xml" Id="rId3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9.5" customWidth="1" min="27" max="27"/>
    <col width="9.5" customWidth="1" min="28" max="28"/>
    <col width="9.5" customWidth="1" min="29" max="29"/>
    <col width="9.5" customWidth="1" min="30" max="30"/>
    <col width="9.5" customWidth="1" min="31" max="31"/>
    <col width="9.5" customWidth="1" min="32" max="32"/>
    <col width="9.5" customWidth="1" min="33" max="33"/>
    <col width="9.5" customWidth="1" min="34" max="34"/>
    <col width="9.5" customWidth="1" min="35" max="35"/>
    <col width="11" customWidth="1" min="36" max="36"/>
    <col width="10" customWidth="1" min="37" max="37"/>
    <col width="10" customWidth="1" min="38" max="38"/>
  </cols>
  <sheetData>
    <row r="1" ht="18" customHeight="1">
      <c r="A1" s="1" t="inlineStr">
        <is>
          <t>Abacus</t>
        </is>
      </c>
      <c r="B1" s="2" t="inlineStr">
        <is>
          <t>Actuals 2025</t>
        </is>
      </c>
      <c r="O1" s="2" t="inlineStr">
        <is>
          <t>2026 Actual / Forecast</t>
        </is>
      </c>
      <c r="AC1" s="2" t="inlineStr">
        <is>
          <t>2027 Forecast</t>
        </is>
      </c>
      <c r="AK1" s="3" t="inlineStr">
        <is>
          <t>YoY</t>
        </is>
      </c>
      <c r="AL1" s="3" t="inlineStr">
        <is>
          <t>YoY</t>
        </is>
      </c>
    </row>
    <row r="2" ht="22" customHeight="1">
      <c r="B2" s="4" t="inlineStr">
        <is>
          <t>Jan</t>
        </is>
      </c>
      <c r="C2" s="4" t="inlineStr">
        <is>
          <t>Feb</t>
        </is>
      </c>
      <c r="D2" s="4" t="inlineStr">
        <is>
          <t>Mar</t>
        </is>
      </c>
      <c r="E2" s="4" t="inlineStr">
        <is>
          <t>Apr</t>
        </is>
      </c>
      <c r="F2" s="4" t="inlineStr">
        <is>
          <t>May</t>
        </is>
      </c>
      <c r="G2" s="4" t="inlineStr">
        <is>
          <t>Jun</t>
        </is>
      </c>
      <c r="H2" s="4" t="inlineStr">
        <is>
          <t>Jul</t>
        </is>
      </c>
      <c r="I2" s="4" t="inlineStr">
        <is>
          <t>Aug</t>
        </is>
      </c>
      <c r="J2" s="4" t="inlineStr">
        <is>
          <t>Sep</t>
        </is>
      </c>
      <c r="K2" s="4" t="inlineStr">
        <is>
          <t>Oct</t>
        </is>
      </c>
      <c r="L2" s="4" t="inlineStr">
        <is>
          <t>Nov</t>
        </is>
      </c>
      <c r="M2" s="4" t="inlineStr">
        <is>
          <t>Dec</t>
        </is>
      </c>
      <c r="N2" s="5" t="inlineStr">
        <is>
          <t>FY2025
Total</t>
        </is>
      </c>
      <c r="O2" s="4" t="inlineStr">
        <is>
          <t>Jan</t>
        </is>
      </c>
      <c r="P2" s="4" t="inlineStr">
        <is>
          <t>Feb</t>
        </is>
      </c>
      <c r="Q2" s="4" t="inlineStr">
        <is>
          <t>Mar</t>
        </is>
      </c>
      <c r="R2" s="4" t="inlineStr">
        <is>
          <t>Apr</t>
        </is>
      </c>
      <c r="S2" s="4" t="inlineStr">
        <is>
          <t>May</t>
        </is>
      </c>
      <c r="T2" s="4" t="inlineStr">
        <is>
          <t>Jun</t>
        </is>
      </c>
      <c r="U2" s="4" t="inlineStr">
        <is>
          <t>Jul</t>
        </is>
      </c>
      <c r="V2" s="4" t="inlineStr">
        <is>
          <t>Aug</t>
        </is>
      </c>
      <c r="W2" s="4" t="inlineStr">
        <is>
          <t>Sep</t>
        </is>
      </c>
      <c r="X2" s="4" t="inlineStr">
        <is>
          <t>Oct</t>
        </is>
      </c>
      <c r="Y2" s="4" t="inlineStr">
        <is>
          <t>Nov</t>
        </is>
      </c>
      <c r="Z2" s="4" t="inlineStr">
        <is>
          <t>Dec</t>
        </is>
      </c>
      <c r="AA2" s="4" t="inlineStr">
        <is>
          <t>YTD</t>
        </is>
      </c>
      <c r="AB2" s="5" t="inlineStr">
        <is>
          <t>FY2026
Outlook</t>
        </is>
      </c>
      <c r="AC2" s="4" t="inlineStr">
        <is>
          <t>Jan</t>
        </is>
      </c>
      <c r="AD2" s="4" t="inlineStr">
        <is>
          <t>Feb</t>
        </is>
      </c>
      <c r="AE2" s="4" t="inlineStr">
        <is>
          <t>Mar</t>
        </is>
      </c>
      <c r="AF2" s="4" t="inlineStr">
        <is>
          <t>Apr</t>
        </is>
      </c>
      <c r="AG2" s="4" t="inlineStr">
        <is>
          <t>May</t>
        </is>
      </c>
      <c r="AH2" s="4" t="inlineStr">
        <is>
          <t>Jun</t>
        </is>
      </c>
      <c r="AI2" s="6" t="inlineStr">
        <is>
          <t>Jul-Dec
Proj.</t>
        </is>
      </c>
      <c r="AJ2" s="4" t="inlineStr">
        <is>
          <t>FY2027</t>
        </is>
      </c>
      <c r="AK2" s="6" t="inlineStr">
        <is>
          <t>25→26
%</t>
        </is>
      </c>
      <c r="AL2" s="6" t="inlineStr">
        <is>
          <t>26→27
%</t>
        </is>
      </c>
    </row>
    <row r="3" ht="15" customHeight="1">
      <c r="A3" s="7" t="inlineStr">
        <is>
          <t>INCOME</t>
        </is>
      </c>
    </row>
    <row r="4" ht="13" customHeight="1">
      <c r="A4" s="8" t="inlineStr">
        <is>
          <t xml:space="preserve">    Fee Income Regular</t>
        </is>
      </c>
      <c r="B4" s="9" t="n">
        <v>45121.08</v>
      </c>
      <c r="C4" s="9" t="n">
        <v>48317.09</v>
      </c>
      <c r="D4" s="9" t="n">
        <v>59604</v>
      </c>
      <c r="E4" s="9" t="n">
        <v>58999.57</v>
      </c>
      <c r="F4" s="9" t="n">
        <v>54973.4</v>
      </c>
      <c r="G4" s="9" t="n">
        <v>54200.75</v>
      </c>
      <c r="H4" s="9" t="n">
        <v>68470.83</v>
      </c>
      <c r="I4" s="9" t="n">
        <v>57893.73</v>
      </c>
      <c r="J4" s="9" t="n">
        <v>46302.96</v>
      </c>
      <c r="K4" s="9" t="n">
        <v>47210.81</v>
      </c>
      <c r="L4" s="9" t="n">
        <v>44551.63</v>
      </c>
      <c r="M4" s="9" t="n">
        <v>58823.32</v>
      </c>
      <c r="N4" s="9">
        <f>SUM(B4:M4)</f>
        <v/>
      </c>
      <c r="O4" s="9" t="n">
        <v>51261.86000000002</v>
      </c>
      <c r="P4" s="9" t="n">
        <v>47040.00000000002</v>
      </c>
      <c r="Q4" s="9" t="n">
        <v>62383.19999999999</v>
      </c>
      <c r="R4" s="9" t="n">
        <v>65608.48999999999</v>
      </c>
      <c r="S4" s="9" t="n">
        <v>54732.77</v>
      </c>
      <c r="T4" s="9" t="n">
        <v>63533.83999999999</v>
      </c>
      <c r="U4" s="9" t="n">
        <v>77254.31999999998</v>
      </c>
      <c r="AA4" s="9">
        <f>SUM(O4:U4)</f>
        <v/>
      </c>
      <c r="AB4" s="9">
        <f>SUM(O4:Z4)</f>
        <v/>
      </c>
      <c r="AC4" s="9" t="n">
        <v>105589.88</v>
      </c>
      <c r="AD4" s="9" t="n">
        <v>122011.99</v>
      </c>
      <c r="AE4" s="9" t="n">
        <v>95286.97</v>
      </c>
      <c r="AF4" s="9" t="n">
        <v>109311.06</v>
      </c>
      <c r="AG4" s="9" t="n">
        <v>116010.76</v>
      </c>
      <c r="AH4" s="9" t="n">
        <v>110257.62</v>
      </c>
      <c r="AI4" s="10">
        <f>SUM(AC4:AH4)</f>
        <v/>
      </c>
      <c r="AJ4" s="9">
        <f>SUM(AC4:AH4)+AI4</f>
        <v/>
      </c>
      <c r="AK4" s="11">
        <f>IF(N4&lt;&gt;0,(AB4-N4)/ABS(N4),0)</f>
        <v/>
      </c>
      <c r="AL4" s="11">
        <f>IF(AB4&lt;&gt;0,(AJ4-AB4)/ABS(AB4),0)</f>
        <v/>
      </c>
    </row>
    <row r="5" ht="13" customHeight="1">
      <c r="A5" s="8" t="inlineStr">
        <is>
          <t xml:space="preserve">    EEEF Embedded</t>
        </is>
      </c>
      <c r="B5" s="9" t="n">
        <v>11395.45</v>
      </c>
      <c r="C5" s="9" t="n">
        <v>30240.26</v>
      </c>
      <c r="D5" s="9" t="n">
        <v>33852.92</v>
      </c>
      <c r="E5" s="9" t="n">
        <v>11973.37</v>
      </c>
      <c r="F5" s="9" t="n">
        <v>11973.37</v>
      </c>
      <c r="G5" s="9" t="n">
        <v>44731.22</v>
      </c>
      <c r="H5" s="9" t="n">
        <v>40794.17</v>
      </c>
      <c r="I5" s="9" t="n">
        <v>0</v>
      </c>
      <c r="J5" s="9" t="n">
        <v>12746.69</v>
      </c>
      <c r="K5" s="9" t="n">
        <v>34548.74</v>
      </c>
      <c r="L5" s="9" t="n">
        <v>34548.75</v>
      </c>
      <c r="M5" s="9" t="n">
        <v>37093.27</v>
      </c>
      <c r="N5" s="9">
        <f>SUM(B5:M5)</f>
        <v/>
      </c>
      <c r="O5" s="9" t="n">
        <v>16246.68</v>
      </c>
      <c r="P5" s="9" t="n">
        <v>45919.86</v>
      </c>
      <c r="Q5" s="9" t="n">
        <v>45919.86</v>
      </c>
      <c r="R5" s="9" t="n">
        <v>36357.78</v>
      </c>
      <c r="S5" s="9" t="n">
        <v>36357.78</v>
      </c>
      <c r="T5" s="9" t="n">
        <v>37136.04</v>
      </c>
      <c r="U5" s="9" t="n">
        <v>39324.86</v>
      </c>
      <c r="AA5" s="9">
        <f>SUM(O5:U5)</f>
        <v/>
      </c>
      <c r="AB5" s="9">
        <f>SUM(O5:Z5)</f>
        <v/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10">
        <f>SUM(AC5:AH5)</f>
        <v/>
      </c>
      <c r="AJ5" s="9">
        <f>SUM(AC5:AH5)+AI5</f>
        <v/>
      </c>
      <c r="AK5" s="11">
        <f>IF(N5&lt;&gt;0,(AB5-N5)/ABS(N5),0)</f>
        <v/>
      </c>
      <c r="AL5" s="11">
        <f>IF(AB5&lt;&gt;0,(AJ5-AB5)/ABS(AB5),0)</f>
        <v/>
      </c>
    </row>
    <row r="6" ht="13" customHeight="1">
      <c r="A6" s="8" t="inlineStr">
        <is>
          <t xml:space="preserve">    Other Income</t>
        </is>
      </c>
      <c r="B6" s="9" t="n">
        <v>1000</v>
      </c>
      <c r="C6" s="9" t="n">
        <v>0</v>
      </c>
      <c r="D6" s="9" t="n">
        <v>0</v>
      </c>
      <c r="E6" s="9" t="n">
        <v>240</v>
      </c>
      <c r="F6" s="9" t="n">
        <v>150</v>
      </c>
      <c r="G6" s="9" t="n">
        <v>150</v>
      </c>
      <c r="H6" s="9" t="n">
        <v>150</v>
      </c>
      <c r="I6" s="9" t="n">
        <v>150</v>
      </c>
      <c r="J6" s="9" t="n">
        <v>150</v>
      </c>
      <c r="K6" s="9" t="n">
        <v>150</v>
      </c>
      <c r="L6" s="9" t="n">
        <v>150</v>
      </c>
      <c r="M6" s="9" t="n">
        <v>150</v>
      </c>
      <c r="N6" s="9">
        <f>SUM(B6:M6)</f>
        <v/>
      </c>
      <c r="O6" s="9" t="n">
        <v>650</v>
      </c>
      <c r="P6" s="9" t="n">
        <v>150</v>
      </c>
      <c r="Q6" s="9" t="n">
        <v>150</v>
      </c>
      <c r="R6" s="9" t="n">
        <v>150</v>
      </c>
      <c r="S6" s="9" t="n">
        <v>150</v>
      </c>
      <c r="T6" s="9" t="n">
        <v>150</v>
      </c>
      <c r="U6" s="9" t="n">
        <v>150</v>
      </c>
      <c r="AA6" s="9">
        <f>SUM(O6:U6)</f>
        <v/>
      </c>
      <c r="AB6" s="9">
        <f>SUM(O6:Z6)</f>
        <v/>
      </c>
      <c r="AC6" s="9" t="n">
        <v>0</v>
      </c>
      <c r="AD6" s="9" t="n">
        <v>0</v>
      </c>
      <c r="AE6" s="9" t="n">
        <v>0</v>
      </c>
      <c r="AF6" s="9" t="n">
        <v>0</v>
      </c>
      <c r="AG6" s="9" t="n">
        <v>0</v>
      </c>
      <c r="AH6" s="9" t="n">
        <v>0</v>
      </c>
      <c r="AI6" s="10">
        <f>SUM(AC6:AH6)</f>
        <v/>
      </c>
      <c r="AJ6" s="9">
        <f>SUM(AC6:AH6)+AI6</f>
        <v/>
      </c>
      <c r="AK6" s="11">
        <f>IF(N6&lt;&gt;0,(AB6-N6)/ABS(N6),0)</f>
        <v/>
      </c>
      <c r="AL6" s="11">
        <f>IF(AB6&lt;&gt;0,(AJ6-AB6)/ABS(AB6),0)</f>
        <v/>
      </c>
    </row>
    <row r="7" ht="13" customHeight="1">
      <c r="A7" s="12" t="inlineStr">
        <is>
          <t>Total Income</t>
        </is>
      </c>
      <c r="B7" s="13">
        <f>B4+B5+B6</f>
        <v/>
      </c>
      <c r="C7" s="13">
        <f>C4+C5+C6</f>
        <v/>
      </c>
      <c r="D7" s="13">
        <f>D4+D5+D6</f>
        <v/>
      </c>
      <c r="E7" s="13">
        <f>E4+E5+E6</f>
        <v/>
      </c>
      <c r="F7" s="13">
        <f>F4+F5+F6</f>
        <v/>
      </c>
      <c r="G7" s="13">
        <f>G4+G5+G6</f>
        <v/>
      </c>
      <c r="H7" s="13">
        <f>H4+H5+H6</f>
        <v/>
      </c>
      <c r="I7" s="13">
        <f>I4+I5+I6</f>
        <v/>
      </c>
      <c r="J7" s="13">
        <f>J4+J5+J6</f>
        <v/>
      </c>
      <c r="K7" s="13">
        <f>K4+K5+K6</f>
        <v/>
      </c>
      <c r="L7" s="13">
        <f>L4+L5+L6</f>
        <v/>
      </c>
      <c r="M7" s="13">
        <f>M4+M5+M6</f>
        <v/>
      </c>
      <c r="N7" s="13">
        <f>N4+N5+N6</f>
        <v/>
      </c>
      <c r="O7" s="13">
        <f>O4+O5+O6</f>
        <v/>
      </c>
      <c r="P7" s="13">
        <f>P4+P5+P6</f>
        <v/>
      </c>
      <c r="Q7" s="13">
        <f>Q4+Q5+Q6</f>
        <v/>
      </c>
      <c r="R7" s="13">
        <f>R4+R5+R6</f>
        <v/>
      </c>
      <c r="S7" s="13">
        <f>S4+S5+S6</f>
        <v/>
      </c>
      <c r="T7" s="13">
        <f>T4+T5+T6</f>
        <v/>
      </c>
      <c r="U7" s="13">
        <f>U4+U5+U6</f>
        <v/>
      </c>
      <c r="V7" s="13">
        <f>V4+V5+V6</f>
        <v/>
      </c>
      <c r="W7" s="13">
        <f>W4+W5+W6</f>
        <v/>
      </c>
      <c r="X7" s="13">
        <f>X4+X5+X6</f>
        <v/>
      </c>
      <c r="Y7" s="13">
        <f>Y4+Y5+Y6</f>
        <v/>
      </c>
      <c r="Z7" s="13">
        <f>Z4+Z5+Z6</f>
        <v/>
      </c>
      <c r="AA7" s="13">
        <f>AA4+AA5+AA6</f>
        <v/>
      </c>
      <c r="AB7" s="13">
        <f>AB4+AB5+AB6</f>
        <v/>
      </c>
      <c r="AC7" s="13">
        <f>AC4+AC5+AC6</f>
        <v/>
      </c>
      <c r="AD7" s="13">
        <f>AD4+AD5+AD6</f>
        <v/>
      </c>
      <c r="AE7" s="13">
        <f>AE4+AE5+AE6</f>
        <v/>
      </c>
      <c r="AF7" s="13">
        <f>AF4+AF5+AF6</f>
        <v/>
      </c>
      <c r="AG7" s="13">
        <f>AG4+AG5+AG6</f>
        <v/>
      </c>
      <c r="AH7" s="13">
        <f>AH4+AH5+AH6</f>
        <v/>
      </c>
      <c r="AI7" s="13">
        <f>AI4+AI5+AI6</f>
        <v/>
      </c>
      <c r="AJ7" s="13">
        <f>AJ4+AJ5+AJ6</f>
        <v/>
      </c>
      <c r="AK7" s="11">
        <f>IF(N7&lt;&gt;0,(AB7-N7)/ABS(N7),0)</f>
        <v/>
      </c>
      <c r="AL7" s="11">
        <f>IF(AB7&lt;&gt;0,(AJ7-AB7)/ABS(AB7),0)</f>
        <v/>
      </c>
    </row>
    <row r="8" ht="5" customHeight="1"/>
    <row r="9" ht="15" customHeight="1">
      <c r="A9" s="7" t="inlineStr">
        <is>
          <t>DIRECT COSTS</t>
        </is>
      </c>
    </row>
    <row r="10" ht="13" customHeight="1">
      <c r="A10" s="14" t="inlineStr">
        <is>
          <t>Personnel</t>
        </is>
      </c>
    </row>
    <row r="11" ht="13" customHeight="1">
      <c r="A11" s="15" t="inlineStr">
        <is>
          <t xml:space="preserve">    Nursery Salaries</t>
        </is>
      </c>
      <c r="B11" s="16" t="n">
        <v>31316.14</v>
      </c>
      <c r="C11" s="16" t="n">
        <v>32272.71</v>
      </c>
      <c r="D11" s="16" t="n">
        <v>33507.52</v>
      </c>
      <c r="E11" s="16" t="n">
        <v>35857.02</v>
      </c>
      <c r="F11" s="16" t="n">
        <v>36300.07</v>
      </c>
      <c r="G11" s="16" t="n">
        <v>37005.6</v>
      </c>
      <c r="H11" s="16" t="n">
        <v>38811.34</v>
      </c>
      <c r="I11" s="16" t="n">
        <v>36024.66</v>
      </c>
      <c r="J11" s="16" t="n">
        <v>35973.55</v>
      </c>
      <c r="K11" s="16" t="n">
        <v>34210.75</v>
      </c>
      <c r="L11" s="16" t="n">
        <v>33941.4</v>
      </c>
      <c r="M11" s="16" t="n">
        <v>34611.41</v>
      </c>
      <c r="N11" s="16">
        <f>SUM(B11:M11)</f>
        <v/>
      </c>
      <c r="O11" s="16" t="n">
        <v>33098.55</v>
      </c>
      <c r="P11" s="16" t="n">
        <v>37530.83</v>
      </c>
      <c r="Q11" s="16" t="n">
        <v>38072.4</v>
      </c>
      <c r="R11" s="16" t="n">
        <v>42905.75</v>
      </c>
      <c r="S11" s="16" t="n">
        <v>44862.47</v>
      </c>
      <c r="T11" s="16" t="n">
        <v>42474.52</v>
      </c>
      <c r="U11" s="16" t="n">
        <v>44079.43</v>
      </c>
      <c r="AA11" s="16">
        <f>SUM(O11:U11)</f>
        <v/>
      </c>
      <c r="AB11" s="16">
        <f>SUM(O11:Z11)</f>
        <v/>
      </c>
      <c r="AC11" s="16" t="n">
        <v>44079.43</v>
      </c>
      <c r="AD11" s="16" t="n">
        <v>44079.43</v>
      </c>
      <c r="AE11" s="16" t="n">
        <v>44079.43</v>
      </c>
      <c r="AF11" s="16" t="n">
        <v>44079.43</v>
      </c>
      <c r="AG11" s="16" t="n">
        <v>44079.43</v>
      </c>
      <c r="AH11" s="16" t="n">
        <v>44079.43</v>
      </c>
      <c r="AI11" s="10">
        <f>SUM(AC11:AH11)</f>
        <v/>
      </c>
      <c r="AJ11" s="16">
        <f>SUM(AC11:AH11)+AI11</f>
        <v/>
      </c>
      <c r="AK11" s="11">
        <f>IF(N11&lt;&gt;0,(AB11-N11)/ABS(N11),0)</f>
        <v/>
      </c>
      <c r="AL11" s="11">
        <f>IF(AB11&lt;&gt;0,(AJ11-AB11)/ABS(AB11),0)</f>
        <v/>
      </c>
    </row>
    <row r="12" ht="13" customHeight="1">
      <c r="A12" s="15" t="inlineStr">
        <is>
          <t xml:space="preserve">    Nursery NI</t>
        </is>
      </c>
      <c r="B12" s="16" t="n">
        <v>2200.8</v>
      </c>
      <c r="C12" s="16" t="n">
        <v>2181.6</v>
      </c>
      <c r="D12" s="16" t="n">
        <v>2265.66</v>
      </c>
      <c r="E12" s="16" t="n">
        <v>3434.81</v>
      </c>
      <c r="F12" s="16" t="n">
        <v>3452.56</v>
      </c>
      <c r="G12" s="16" t="n">
        <v>3639.83</v>
      </c>
      <c r="H12" s="16" t="n">
        <v>4034.6</v>
      </c>
      <c r="I12" s="16" t="n">
        <v>3525.03</v>
      </c>
      <c r="J12" s="16" t="n">
        <v>3409.27</v>
      </c>
      <c r="K12" s="16" t="n">
        <v>3148</v>
      </c>
      <c r="L12" s="16" t="n">
        <v>3079.55</v>
      </c>
      <c r="M12" s="16" t="n">
        <v>3438.39</v>
      </c>
      <c r="N12" s="16">
        <f>SUM(B12:M12)</f>
        <v/>
      </c>
      <c r="O12" s="16" t="n">
        <v>3146.95</v>
      </c>
      <c r="P12" s="16" t="n">
        <v>3574.88</v>
      </c>
      <c r="Q12" s="16" t="n">
        <v>3481.84</v>
      </c>
      <c r="R12" s="16" t="n">
        <v>3882.54</v>
      </c>
      <c r="S12" s="16" t="n">
        <v>4221.13</v>
      </c>
      <c r="T12" s="16" t="n">
        <v>4123.59</v>
      </c>
      <c r="U12" s="16" t="n">
        <v>4289.92</v>
      </c>
      <c r="AA12" s="16">
        <f>SUM(O12:U12)</f>
        <v/>
      </c>
      <c r="AB12" s="16">
        <f>SUM(O12:Z12)</f>
        <v/>
      </c>
      <c r="AC12" s="16" t="n">
        <v>4289.92</v>
      </c>
      <c r="AD12" s="16" t="n">
        <v>4289.92</v>
      </c>
      <c r="AE12" s="16" t="n">
        <v>4289.92</v>
      </c>
      <c r="AF12" s="16" t="n">
        <v>4289.92</v>
      </c>
      <c r="AG12" s="16" t="n">
        <v>4289.92</v>
      </c>
      <c r="AH12" s="16" t="n">
        <v>4289.92</v>
      </c>
      <c r="AI12" s="10">
        <f>SUM(AC12:AH12)</f>
        <v/>
      </c>
      <c r="AJ12" s="16">
        <f>SUM(AC12:AH12)+AI12</f>
        <v/>
      </c>
      <c r="AK12" s="11">
        <f>IF(N12&lt;&gt;0,(AB12-N12)/ABS(N12),0)</f>
        <v/>
      </c>
      <c r="AL12" s="11">
        <f>IF(AB12&lt;&gt;0,(AJ12-AB12)/ABS(AB12),0)</f>
        <v/>
      </c>
    </row>
    <row r="13" ht="13" customHeight="1">
      <c r="A13" s="15" t="inlineStr">
        <is>
          <t xml:space="preserve">    Nursery Pension</t>
        </is>
      </c>
      <c r="B13" s="16" t="n">
        <v>609.12</v>
      </c>
      <c r="C13" s="16" t="n">
        <v>604.7</v>
      </c>
      <c r="D13" s="16" t="n">
        <v>593.33</v>
      </c>
      <c r="E13" s="16" t="n">
        <v>633.2</v>
      </c>
      <c r="F13" s="16" t="n">
        <v>631.9</v>
      </c>
      <c r="G13" s="16" t="n">
        <v>716.47</v>
      </c>
      <c r="H13" s="16" t="n">
        <v>746.36</v>
      </c>
      <c r="I13" s="16" t="n">
        <v>648.61</v>
      </c>
      <c r="J13" s="16" t="n">
        <v>678.39</v>
      </c>
      <c r="K13" s="16" t="n">
        <v>624.58</v>
      </c>
      <c r="L13" s="16" t="n">
        <v>612.97</v>
      </c>
      <c r="M13" s="16" t="n">
        <v>624.6900000000001</v>
      </c>
      <c r="N13" s="16">
        <f>SUM(B13:M13)</f>
        <v/>
      </c>
      <c r="O13" s="16" t="n">
        <v>571.62</v>
      </c>
      <c r="P13" s="16" t="n">
        <v>534.23</v>
      </c>
      <c r="Q13" s="16" t="n">
        <v>534.37</v>
      </c>
      <c r="R13" s="16" t="n">
        <v>564.58</v>
      </c>
      <c r="S13" s="16" t="n">
        <v>653.95</v>
      </c>
      <c r="T13" s="16" t="n">
        <v>674.11</v>
      </c>
      <c r="U13" s="16" t="n">
        <v>706.29</v>
      </c>
      <c r="AA13" s="16">
        <f>SUM(O13:U13)</f>
        <v/>
      </c>
      <c r="AB13" s="16">
        <f>SUM(O13:Z13)</f>
        <v/>
      </c>
      <c r="AC13" s="16" t="n">
        <v>706.29</v>
      </c>
      <c r="AD13" s="16" t="n">
        <v>706.29</v>
      </c>
      <c r="AE13" s="16" t="n">
        <v>706.29</v>
      </c>
      <c r="AF13" s="16" t="n">
        <v>706.29</v>
      </c>
      <c r="AG13" s="16" t="n">
        <v>706.29</v>
      </c>
      <c r="AH13" s="16" t="n">
        <v>706.29</v>
      </c>
      <c r="AI13" s="10">
        <f>SUM(AC13:AH13)</f>
        <v/>
      </c>
      <c r="AJ13" s="16">
        <f>SUM(AC13:AH13)+AI13</f>
        <v/>
      </c>
      <c r="AK13" s="11">
        <f>IF(N13&lt;&gt;0,(AB13-N13)/ABS(N13),0)</f>
        <v/>
      </c>
      <c r="AL13" s="11">
        <f>IF(AB13&lt;&gt;0,(AJ13-AB13)/ABS(AB13),0)</f>
        <v/>
      </c>
    </row>
    <row r="14" ht="13" customHeight="1">
      <c r="A14" s="15" t="inlineStr">
        <is>
          <t xml:space="preserve">    Uniform</t>
        </is>
      </c>
      <c r="B14" s="16" t="n">
        <v>86.04000000000001</v>
      </c>
      <c r="C14" s="16" t="n">
        <v>0</v>
      </c>
      <c r="D14" s="16" t="n">
        <v>181.94</v>
      </c>
      <c r="E14" s="16" t="n">
        <v>0</v>
      </c>
      <c r="F14" s="16" t="n">
        <v>251.04</v>
      </c>
      <c r="G14" s="16" t="n">
        <v>85.92</v>
      </c>
      <c r="H14" s="16" t="n">
        <v>0</v>
      </c>
      <c r="I14" s="16" t="n">
        <v>0</v>
      </c>
      <c r="J14" s="16" t="n">
        <v>105.66</v>
      </c>
      <c r="K14" s="16" t="n">
        <v>0</v>
      </c>
      <c r="L14" s="16" t="n">
        <v>0</v>
      </c>
      <c r="M14" s="16" t="n">
        <v>0</v>
      </c>
      <c r="N14" s="16">
        <f>SUM(B14:M14)</f>
        <v/>
      </c>
      <c r="O14" s="16" t="n">
        <v>371.7</v>
      </c>
      <c r="P14" s="16" t="n">
        <v>98.81999999999999</v>
      </c>
      <c r="Q14" s="16" t="n">
        <v>0</v>
      </c>
      <c r="R14" s="16" t="n">
        <v>203.82</v>
      </c>
      <c r="S14" s="16" t="n">
        <v>98.81999999999999</v>
      </c>
      <c r="T14" s="16" t="n">
        <v>263.64</v>
      </c>
      <c r="U14" s="16" t="n">
        <v>100.81</v>
      </c>
      <c r="AA14" s="16">
        <f>SUM(O14:U14)</f>
        <v/>
      </c>
      <c r="AB14" s="16">
        <f>SUM(O14:Z14)</f>
        <v/>
      </c>
      <c r="AC14" s="16" t="n">
        <v>173</v>
      </c>
      <c r="AD14" s="16" t="n">
        <v>173</v>
      </c>
      <c r="AE14" s="16" t="n">
        <v>173</v>
      </c>
      <c r="AF14" s="16" t="n">
        <v>173</v>
      </c>
      <c r="AG14" s="16" t="n">
        <v>173</v>
      </c>
      <c r="AH14" s="16" t="n">
        <v>173</v>
      </c>
      <c r="AI14" s="10">
        <f>SUM(AC14:AH14)</f>
        <v/>
      </c>
      <c r="AJ14" s="16">
        <f>SUM(AC14:AH14)+AI14</f>
        <v/>
      </c>
      <c r="AK14" s="11">
        <f>IF(N14&lt;&gt;0,(AB14-N14)/ABS(N14),0)</f>
        <v/>
      </c>
      <c r="AL14" s="11">
        <f>IF(AB14&lt;&gt;0,(AJ14-AB14)/ABS(AB14),0)</f>
        <v/>
      </c>
    </row>
    <row r="15" ht="13" customHeight="1">
      <c r="A15" s="15" t="inlineStr">
        <is>
          <t xml:space="preserve">    Training</t>
        </is>
      </c>
      <c r="B15" s="16" t="n">
        <v>270</v>
      </c>
      <c r="C15" s="16" t="n">
        <v>66</v>
      </c>
      <c r="D15" s="16" t="n">
        <v>145</v>
      </c>
      <c r="E15" s="16" t="n">
        <v>29.43</v>
      </c>
      <c r="F15" s="16" t="n">
        <v>291.7</v>
      </c>
      <c r="G15" s="16" t="n">
        <v>0</v>
      </c>
      <c r="H15" s="16" t="n">
        <v>298.2</v>
      </c>
      <c r="I15" s="16" t="n">
        <v>0</v>
      </c>
      <c r="J15" s="16" t="n">
        <v>0</v>
      </c>
      <c r="K15" s="16" t="n">
        <v>123.5</v>
      </c>
      <c r="L15" s="16" t="n">
        <v>247.5</v>
      </c>
      <c r="M15" s="16" t="n">
        <v>176.67</v>
      </c>
      <c r="N15" s="16">
        <f>SUM(B15:M15)</f>
        <v/>
      </c>
      <c r="O15" s="16" t="n">
        <v>295.67</v>
      </c>
      <c r="P15" s="16" t="n">
        <v>29.94</v>
      </c>
      <c r="Q15" s="16" t="n">
        <v>177.97</v>
      </c>
      <c r="R15" s="16" t="n">
        <v>857.74</v>
      </c>
      <c r="S15" s="16" t="n">
        <v>106</v>
      </c>
      <c r="T15" s="16" t="n">
        <v>468.5</v>
      </c>
      <c r="U15" s="16" t="n">
        <v>579.1</v>
      </c>
      <c r="AA15" s="16">
        <f>SUM(O15:U15)</f>
        <v/>
      </c>
      <c r="AB15" s="16">
        <f>SUM(O15:Z15)</f>
        <v/>
      </c>
      <c r="AC15" s="16" t="n">
        <v>323</v>
      </c>
      <c r="AD15" s="16" t="n">
        <v>323</v>
      </c>
      <c r="AE15" s="16" t="n">
        <v>323</v>
      </c>
      <c r="AF15" s="16" t="n">
        <v>323</v>
      </c>
      <c r="AG15" s="16" t="n">
        <v>323</v>
      </c>
      <c r="AH15" s="16" t="n">
        <v>323</v>
      </c>
      <c r="AI15" s="10">
        <f>SUM(AC15:AH15)</f>
        <v/>
      </c>
      <c r="AJ15" s="16">
        <f>SUM(AC15:AH15)+AI15</f>
        <v/>
      </c>
      <c r="AK15" s="11">
        <f>IF(N15&lt;&gt;0,(AB15-N15)/ABS(N15),0)</f>
        <v/>
      </c>
      <c r="AL15" s="11">
        <f>IF(AB15&lt;&gt;0,(AJ15-AB15)/ABS(AB15),0)</f>
        <v/>
      </c>
    </row>
    <row r="16" ht="13" customHeight="1">
      <c r="A16" s="15" t="inlineStr">
        <is>
          <t xml:space="preserve">    Staff Welfare</t>
        </is>
      </c>
      <c r="B16" s="16" t="n">
        <v>92.7</v>
      </c>
      <c r="C16" s="16" t="n">
        <v>249.13</v>
      </c>
      <c r="D16" s="16" t="n">
        <v>279.46</v>
      </c>
      <c r="E16" s="16" t="n">
        <v>346.01</v>
      </c>
      <c r="F16" s="16" t="n">
        <v>289.41</v>
      </c>
      <c r="G16" s="16" t="n">
        <v>78.06999999999999</v>
      </c>
      <c r="H16" s="16" t="n">
        <v>604.4200000000001</v>
      </c>
      <c r="I16" s="16" t="n">
        <v>209.95</v>
      </c>
      <c r="J16" s="16" t="n">
        <v>136.72</v>
      </c>
      <c r="K16" s="16" t="n">
        <v>248.7</v>
      </c>
      <c r="L16" s="16" t="n">
        <v>246.42</v>
      </c>
      <c r="M16" s="16" t="n">
        <v>79.21000000000001</v>
      </c>
      <c r="N16" s="16">
        <f>SUM(B16:M16)</f>
        <v/>
      </c>
      <c r="O16" s="16" t="n">
        <v>150.67</v>
      </c>
      <c r="P16" s="16" t="n">
        <v>252.42</v>
      </c>
      <c r="Q16" s="16" t="n">
        <v>238.57</v>
      </c>
      <c r="R16" s="16" t="n">
        <v>211.38</v>
      </c>
      <c r="S16" s="16" t="n">
        <v>213.69</v>
      </c>
      <c r="T16" s="16" t="n">
        <v>198.14</v>
      </c>
      <c r="U16" s="16" t="n">
        <v>358.37</v>
      </c>
      <c r="AA16" s="16">
        <f>SUM(O16:U16)</f>
        <v/>
      </c>
      <c r="AB16" s="16">
        <f>SUM(O16:Z16)</f>
        <v/>
      </c>
      <c r="AC16" s="16" t="n">
        <v>211</v>
      </c>
      <c r="AD16" s="16" t="n">
        <v>211</v>
      </c>
      <c r="AE16" s="16" t="n">
        <v>211</v>
      </c>
      <c r="AF16" s="16" t="n">
        <v>211</v>
      </c>
      <c r="AG16" s="16" t="n">
        <v>211</v>
      </c>
      <c r="AH16" s="16" t="n">
        <v>211</v>
      </c>
      <c r="AI16" s="10">
        <f>SUM(AC16:AH16)</f>
        <v/>
      </c>
      <c r="AJ16" s="16">
        <f>SUM(AC16:AH16)+AI16</f>
        <v/>
      </c>
      <c r="AK16" s="11">
        <f>IF(N16&lt;&gt;0,(AB16-N16)/ABS(N16),0)</f>
        <v/>
      </c>
      <c r="AL16" s="11">
        <f>IF(AB16&lt;&gt;0,(AJ16-AB16)/ABS(AB16),0)</f>
        <v/>
      </c>
    </row>
    <row r="17" ht="13" customHeight="1">
      <c r="A17" s="15" t="inlineStr">
        <is>
          <t xml:space="preserve">    Recruitment</t>
        </is>
      </c>
      <c r="B17" s="16" t="n">
        <v>0</v>
      </c>
      <c r="C17" s="16" t="n">
        <v>0</v>
      </c>
      <c r="D17" s="16" t="n">
        <v>0</v>
      </c>
      <c r="E17" s="16" t="n">
        <v>0</v>
      </c>
      <c r="F17" s="16" t="n">
        <v>0</v>
      </c>
      <c r="G17" s="16" t="n">
        <v>0</v>
      </c>
      <c r="H17" s="16" t="n">
        <v>0</v>
      </c>
      <c r="I17" s="16" t="n">
        <v>0</v>
      </c>
      <c r="J17" s="16" t="n">
        <v>0</v>
      </c>
      <c r="K17" s="16" t="n">
        <v>0</v>
      </c>
      <c r="L17" s="16" t="n">
        <v>0</v>
      </c>
      <c r="M17" s="16" t="n">
        <v>0</v>
      </c>
      <c r="N17" s="16">
        <f>SUM(B17:M17)</f>
        <v/>
      </c>
      <c r="O17" s="16" t="n">
        <v>0</v>
      </c>
      <c r="P17" s="16" t="n">
        <v>0</v>
      </c>
      <c r="Q17" s="16" t="n">
        <v>0</v>
      </c>
      <c r="R17" s="16" t="n">
        <v>0</v>
      </c>
      <c r="S17" s="16" t="n">
        <v>0</v>
      </c>
      <c r="T17" s="16" t="n">
        <v>0</v>
      </c>
      <c r="U17" s="16" t="n">
        <v>0</v>
      </c>
      <c r="V17" s="16" t="n">
        <v>0</v>
      </c>
      <c r="W17" s="16" t="n">
        <v>0</v>
      </c>
      <c r="X17" s="16" t="n">
        <v>0</v>
      </c>
      <c r="Y17" s="16" t="n">
        <v>0</v>
      </c>
      <c r="Z17" s="16" t="n">
        <v>0</v>
      </c>
      <c r="AA17" s="16">
        <f>SUM(O17:U17)</f>
        <v/>
      </c>
      <c r="AB17" s="16">
        <f>SUM(O17:Z17)</f>
        <v/>
      </c>
      <c r="AC17" s="16" t="n">
        <v>0</v>
      </c>
      <c r="AD17" s="16" t="n">
        <v>0</v>
      </c>
      <c r="AE17" s="16" t="n">
        <v>0</v>
      </c>
      <c r="AF17" s="16" t="n">
        <v>0</v>
      </c>
      <c r="AG17" s="16" t="n">
        <v>0</v>
      </c>
      <c r="AH17" s="16" t="n">
        <v>0</v>
      </c>
      <c r="AI17" s="10">
        <f>SUM(AC17:AH17)</f>
        <v/>
      </c>
      <c r="AJ17" s="16">
        <f>SUM(AC17:AH17)+AI17</f>
        <v/>
      </c>
      <c r="AK17" s="11">
        <f>IF(N17&lt;&gt;0,(AB17-N17)/ABS(N17),0)</f>
        <v/>
      </c>
      <c r="AL17" s="11">
        <f>IF(AB17&lt;&gt;0,(AJ17-AB17)/ABS(AB17),0)</f>
        <v/>
      </c>
    </row>
    <row r="18" ht="13" customHeight="1">
      <c r="A18" s="15" t="inlineStr">
        <is>
          <t xml:space="preserve">    Rewards &amp; Recognition</t>
        </is>
      </c>
      <c r="B18" s="16" t="n">
        <v>0</v>
      </c>
      <c r="C18" s="16" t="n">
        <v>0</v>
      </c>
      <c r="D18" s="16" t="n">
        <v>0</v>
      </c>
      <c r="E18" s="16" t="n">
        <v>0</v>
      </c>
      <c r="F18" s="16" t="n">
        <v>0</v>
      </c>
      <c r="G18" s="16" t="n">
        <v>0</v>
      </c>
      <c r="H18" s="16" t="n">
        <v>330</v>
      </c>
      <c r="I18" s="16" t="n">
        <v>25</v>
      </c>
      <c r="J18" s="16" t="n">
        <v>0</v>
      </c>
      <c r="K18" s="16" t="n">
        <v>48.95</v>
      </c>
      <c r="L18" s="16" t="n">
        <v>21.64</v>
      </c>
      <c r="M18" s="16" t="n">
        <v>218.89</v>
      </c>
      <c r="N18" s="16">
        <f>SUM(B18:M18)</f>
        <v/>
      </c>
      <c r="O18" s="16" t="n">
        <v>106.69</v>
      </c>
      <c r="P18" s="16" t="n">
        <v>67.95999999999999</v>
      </c>
      <c r="Q18" s="16" t="n">
        <v>139.8</v>
      </c>
      <c r="R18" s="16" t="n">
        <v>111.47</v>
      </c>
      <c r="S18" s="16" t="n">
        <v>216.45</v>
      </c>
      <c r="T18" s="16" t="n">
        <v>83.25</v>
      </c>
      <c r="U18" s="16" t="n">
        <v>113.9</v>
      </c>
      <c r="AA18" s="16">
        <f>SUM(O18:U18)</f>
        <v/>
      </c>
      <c r="AB18" s="16">
        <f>SUM(O18:Z18)</f>
        <v/>
      </c>
      <c r="AC18" s="16" t="n">
        <v>121</v>
      </c>
      <c r="AD18" s="16" t="n">
        <v>121</v>
      </c>
      <c r="AE18" s="16" t="n">
        <v>121</v>
      </c>
      <c r="AF18" s="16" t="n">
        <v>121</v>
      </c>
      <c r="AG18" s="16" t="n">
        <v>121</v>
      </c>
      <c r="AH18" s="16" t="n">
        <v>121</v>
      </c>
      <c r="AI18" s="10">
        <f>SUM(AC18:AH18)</f>
        <v/>
      </c>
      <c r="AJ18" s="16">
        <f>SUM(AC18:AH18)+AI18</f>
        <v/>
      </c>
      <c r="AK18" s="11">
        <f>IF(N18&lt;&gt;0,(AB18-N18)/ABS(N18),0)</f>
        <v/>
      </c>
      <c r="AL18" s="11">
        <f>IF(AB18&lt;&gt;0,(AJ18-AB18)/ABS(AB18),0)</f>
        <v/>
      </c>
    </row>
    <row r="19" ht="13" customHeight="1">
      <c r="A19" s="15" t="inlineStr">
        <is>
          <t xml:space="preserve">    Temps</t>
        </is>
      </c>
      <c r="B19" s="16" t="n">
        <v>0</v>
      </c>
      <c r="C19" s="16" t="n">
        <v>0</v>
      </c>
      <c r="D19" s="16" t="n">
        <v>0</v>
      </c>
      <c r="E19" s="16" t="n">
        <v>0</v>
      </c>
      <c r="F19" s="16" t="n">
        <v>0</v>
      </c>
      <c r="G19" s="16" t="n">
        <v>0</v>
      </c>
      <c r="H19" s="16" t="n">
        <v>0</v>
      </c>
      <c r="I19" s="16" t="n">
        <v>0</v>
      </c>
      <c r="J19" s="16" t="n">
        <v>0</v>
      </c>
      <c r="K19" s="16" t="n">
        <v>0</v>
      </c>
      <c r="L19" s="16" t="n">
        <v>0</v>
      </c>
      <c r="M19" s="16" t="n">
        <v>0</v>
      </c>
      <c r="N19" s="16">
        <f>SUM(B19:M19)</f>
        <v/>
      </c>
      <c r="O19" s="16" t="n">
        <v>0</v>
      </c>
      <c r="P19" s="16" t="n">
        <v>0</v>
      </c>
      <c r="Q19" s="16" t="n">
        <v>0</v>
      </c>
      <c r="R19" s="16" t="n">
        <v>0</v>
      </c>
      <c r="S19" s="16" t="n">
        <v>0</v>
      </c>
      <c r="T19" s="16" t="n">
        <v>0</v>
      </c>
      <c r="U19" s="16" t="n">
        <v>0</v>
      </c>
      <c r="V19" s="16" t="n">
        <v>0</v>
      </c>
      <c r="W19" s="16" t="n">
        <v>0</v>
      </c>
      <c r="X19" s="16" t="n">
        <v>0</v>
      </c>
      <c r="Y19" s="16" t="n">
        <v>0</v>
      </c>
      <c r="Z19" s="16" t="n">
        <v>0</v>
      </c>
      <c r="AA19" s="16">
        <f>SUM(O19:U19)</f>
        <v/>
      </c>
      <c r="AB19" s="16">
        <f>SUM(O19:Z19)</f>
        <v/>
      </c>
      <c r="AC19" s="16" t="n">
        <v>0</v>
      </c>
      <c r="AD19" s="16" t="n">
        <v>0</v>
      </c>
      <c r="AE19" s="16" t="n">
        <v>0</v>
      </c>
      <c r="AF19" s="16" t="n">
        <v>0</v>
      </c>
      <c r="AG19" s="16" t="n">
        <v>0</v>
      </c>
      <c r="AH19" s="16" t="n">
        <v>0</v>
      </c>
      <c r="AI19" s="10">
        <f>SUM(AC19:AH19)</f>
        <v/>
      </c>
      <c r="AJ19" s="16">
        <f>SUM(AC19:AH19)+AI19</f>
        <v/>
      </c>
      <c r="AK19" s="11">
        <f>IF(N19&lt;&gt;0,(AB19-N19)/ABS(N19),0)</f>
        <v/>
      </c>
      <c r="AL19" s="11">
        <f>IF(AB19&lt;&gt;0,(AJ19-AB19)/ABS(AB19),0)</f>
        <v/>
      </c>
    </row>
    <row r="20" ht="13" customHeight="1">
      <c r="A20" s="17" t="inlineStr">
        <is>
          <t>Total Personnel</t>
        </is>
      </c>
      <c r="B20" s="18">
        <f>B11+B12+B13+B14+B15+B16+B17+B18+B19</f>
        <v/>
      </c>
      <c r="C20" s="18">
        <f>C11+C12+C13+C14+C15+C16+C17+C18+C19</f>
        <v/>
      </c>
      <c r="D20" s="18">
        <f>D11+D12+D13+D14+D15+D16+D17+D18+D19</f>
        <v/>
      </c>
      <c r="E20" s="18">
        <f>E11+E12+E13+E14+E15+E16+E17+E18+E19</f>
        <v/>
      </c>
      <c r="F20" s="18">
        <f>F11+F12+F13+F14+F15+F16+F17+F18+F19</f>
        <v/>
      </c>
      <c r="G20" s="18">
        <f>G11+G12+G13+G14+G15+G16+G17+G18+G19</f>
        <v/>
      </c>
      <c r="H20" s="18">
        <f>H11+H12+H13+H14+H15+H16+H17+H18+H19</f>
        <v/>
      </c>
      <c r="I20" s="18">
        <f>I11+I12+I13+I14+I15+I16+I17+I18+I19</f>
        <v/>
      </c>
      <c r="J20" s="18">
        <f>J11+J12+J13+J14+J15+J16+J17+J18+J19</f>
        <v/>
      </c>
      <c r="K20" s="18">
        <f>K11+K12+K13+K14+K15+K16+K17+K18+K19</f>
        <v/>
      </c>
      <c r="L20" s="18">
        <f>L11+L12+L13+L14+L15+L16+L17+L18+L19</f>
        <v/>
      </c>
      <c r="M20" s="18">
        <f>M11+M12+M13+M14+M15+M16+M17+M18+M19</f>
        <v/>
      </c>
      <c r="N20" s="18">
        <f>N11+N12+N13+N14+N15+N16+N17+N18+N19</f>
        <v/>
      </c>
      <c r="O20" s="18">
        <f>O11+O12+O13+O14+O15+O16+O17+O18+O19</f>
        <v/>
      </c>
      <c r="P20" s="18">
        <f>P11+P12+P13+P14+P15+P16+P17+P18+P19</f>
        <v/>
      </c>
      <c r="Q20" s="18">
        <f>Q11+Q12+Q13+Q14+Q15+Q16+Q17+Q18+Q19</f>
        <v/>
      </c>
      <c r="R20" s="18">
        <f>R11+R12+R13+R14+R15+R16+R17+R18+R19</f>
        <v/>
      </c>
      <c r="S20" s="18">
        <f>S11+S12+S13+S14+S15+S16+S17+S18+S19</f>
        <v/>
      </c>
      <c r="T20" s="18">
        <f>T11+T12+T13+T14+T15+T16+T17+T18+T19</f>
        <v/>
      </c>
      <c r="U20" s="18">
        <f>U11+U12+U13+U14+U15+U16+U17+U18+U19</f>
        <v/>
      </c>
      <c r="V20" s="18">
        <f>V11+V12+V13+V14+V15+V16+V17+V18+V19</f>
        <v/>
      </c>
      <c r="W20" s="18">
        <f>W11+W12+W13+W14+W15+W16+W17+W18+W19</f>
        <v/>
      </c>
      <c r="X20" s="18">
        <f>X11+X12+X13+X14+X15+X16+X17+X18+X19</f>
        <v/>
      </c>
      <c r="Y20" s="18">
        <f>Y11+Y12+Y13+Y14+Y15+Y16+Y17+Y18+Y19</f>
        <v/>
      </c>
      <c r="Z20" s="18">
        <f>Z11+Z12+Z13+Z14+Z15+Z16+Z17+Z18+Z19</f>
        <v/>
      </c>
      <c r="AA20" s="18">
        <f>AA11+AA12+AA13+AA14+AA15+AA16+AA17+AA18+AA19</f>
        <v/>
      </c>
      <c r="AB20" s="18">
        <f>AB11+AB12+AB13+AB14+AB15+AB16+AB17+AB18+AB19</f>
        <v/>
      </c>
      <c r="AC20" s="18">
        <f>AC11+AC12+AC13+AC14+AC15+AC16+AC17+AC18+AC19</f>
        <v/>
      </c>
      <c r="AD20" s="18">
        <f>AD11+AD12+AD13+AD14+AD15+AD16+AD17+AD18+AD19</f>
        <v/>
      </c>
      <c r="AE20" s="18">
        <f>AE11+AE12+AE13+AE14+AE15+AE16+AE17+AE18+AE19</f>
        <v/>
      </c>
      <c r="AF20" s="18">
        <f>AF11+AF12+AF13+AF14+AF15+AF16+AF17+AF18+AF19</f>
        <v/>
      </c>
      <c r="AG20" s="18">
        <f>AG11+AG12+AG13+AG14+AG15+AG16+AG17+AG18+AG19</f>
        <v/>
      </c>
      <c r="AH20" s="18">
        <f>AH11+AH12+AH13+AH14+AH15+AH16+AH17+AH18+AH19</f>
        <v/>
      </c>
      <c r="AI20" s="18">
        <f>AI11+AI12+AI13+AI14+AI15+AI16+AI17+AI18+AI19</f>
        <v/>
      </c>
      <c r="AJ20" s="18">
        <f>AJ11+AJ12+AJ13+AJ14+AJ15+AJ16+AJ17+AJ18+AJ19</f>
        <v/>
      </c>
      <c r="AK20" s="11">
        <f>IF(N20&lt;&gt;0,(AB20-N20)/ABS(N20),0)</f>
        <v/>
      </c>
      <c r="AL20" s="11">
        <f>IF(AB20&lt;&gt;0,(AJ20-AB20)/ABS(AB20),0)</f>
        <v/>
      </c>
    </row>
    <row r="21" ht="13" customHeight="1">
      <c r="A21" s="19" t="inlineStr">
        <is>
          <t xml:space="preserve">    Sal:Rev</t>
        </is>
      </c>
      <c r="B21" s="20">
        <f>IF(B7&gt;0,B20/B7,0)</f>
        <v/>
      </c>
      <c r="C21" s="20">
        <f>IF(C7&gt;0,C20/C7,0)</f>
        <v/>
      </c>
      <c r="D21" s="20">
        <f>IF(D7&gt;0,D20/D7,0)</f>
        <v/>
      </c>
      <c r="E21" s="20">
        <f>IF(E7&gt;0,E20/E7,0)</f>
        <v/>
      </c>
      <c r="F21" s="20">
        <f>IF(F7&gt;0,F20/F7,0)</f>
        <v/>
      </c>
      <c r="G21" s="20">
        <f>IF(G7&gt;0,G20/G7,0)</f>
        <v/>
      </c>
      <c r="H21" s="20">
        <f>IF(H7&gt;0,H20/H7,0)</f>
        <v/>
      </c>
      <c r="I21" s="20">
        <f>IF(I7&gt;0,I20/I7,0)</f>
        <v/>
      </c>
      <c r="J21" s="20">
        <f>IF(J7&gt;0,J20/J7,0)</f>
        <v/>
      </c>
      <c r="K21" s="20">
        <f>IF(K7&gt;0,K20/K7,0)</f>
        <v/>
      </c>
      <c r="L21" s="20">
        <f>IF(L7&gt;0,L20/L7,0)</f>
        <v/>
      </c>
      <c r="M21" s="20">
        <f>IF(M7&gt;0,M20/M7,0)</f>
        <v/>
      </c>
      <c r="N21" s="20">
        <f>IF(N7&gt;0,N20/N7,0)</f>
        <v/>
      </c>
      <c r="O21" s="20">
        <f>IF(O7&gt;0,O20/O7,0)</f>
        <v/>
      </c>
      <c r="P21" s="20">
        <f>IF(P7&gt;0,P20/P7,0)</f>
        <v/>
      </c>
      <c r="Q21" s="20">
        <f>IF(Q7&gt;0,Q20/Q7,0)</f>
        <v/>
      </c>
      <c r="R21" s="20">
        <f>IF(R7&gt;0,R20/R7,0)</f>
        <v/>
      </c>
      <c r="S21" s="20">
        <f>IF(S7&gt;0,S20/S7,0)</f>
        <v/>
      </c>
      <c r="T21" s="20">
        <f>IF(T7&gt;0,T20/T7,0)</f>
        <v/>
      </c>
      <c r="U21" s="20">
        <f>IF(U7&gt;0,U20/U7,0)</f>
        <v/>
      </c>
      <c r="V21" s="20">
        <f>IF(V7&gt;0,V20/V7,0)</f>
        <v/>
      </c>
      <c r="W21" s="20">
        <f>IF(W7&gt;0,W20/W7,0)</f>
        <v/>
      </c>
      <c r="X21" s="20">
        <f>IF(X7&gt;0,X20/X7,0)</f>
        <v/>
      </c>
      <c r="Y21" s="20">
        <f>IF(Y7&gt;0,Y20/Y7,0)</f>
        <v/>
      </c>
      <c r="Z21" s="20">
        <f>IF(Z7&gt;0,Z20/Z7,0)</f>
        <v/>
      </c>
      <c r="AA21" s="20">
        <f>IF(AA7&gt;0,AA20/AA7,0)</f>
        <v/>
      </c>
      <c r="AB21" s="20">
        <f>IF(AB7&gt;0,AB20/AB7,0)</f>
        <v/>
      </c>
      <c r="AC21" s="20">
        <f>IF(AC7&gt;0,AC20/AC7,0)</f>
        <v/>
      </c>
      <c r="AD21" s="20">
        <f>IF(AD7&gt;0,AD20/AD7,0)</f>
        <v/>
      </c>
      <c r="AE21" s="20">
        <f>IF(AE7&gt;0,AE20/AE7,0)</f>
        <v/>
      </c>
      <c r="AF21" s="20">
        <f>IF(AF7&gt;0,AF20/AF7,0)</f>
        <v/>
      </c>
      <c r="AG21" s="20">
        <f>IF(AG7&gt;0,AG20/AG7,0)</f>
        <v/>
      </c>
      <c r="AH21" s="20">
        <f>IF(AH7&gt;0,AH20/AH7,0)</f>
        <v/>
      </c>
      <c r="AI21" s="20">
        <f>IF(AI7&gt;0,AI20/AI7,0)</f>
        <v/>
      </c>
      <c r="AJ21" s="20">
        <f>IF(AJ7&gt;0,AJ20/AJ7,0)</f>
        <v/>
      </c>
    </row>
    <row r="22" ht="5" customHeight="1"/>
    <row r="23" ht="13" customHeight="1">
      <c r="A23" s="14" t="inlineStr">
        <is>
          <t>Childcare</t>
        </is>
      </c>
    </row>
    <row r="24" ht="13" customHeight="1">
      <c r="A24" s="21" t="inlineStr">
        <is>
          <t xml:space="preserve">    Catering Costs</t>
        </is>
      </c>
      <c r="N24" s="22">
        <f>SUM(B24:M24)</f>
        <v/>
      </c>
      <c r="O24" s="22" t="n">
        <v>1508.1</v>
      </c>
      <c r="P24" s="22" t="n">
        <v>1785.93</v>
      </c>
      <c r="Q24" s="22" t="n">
        <v>1663.75</v>
      </c>
      <c r="R24" s="22" t="n">
        <v>1925.35</v>
      </c>
      <c r="S24" s="22" t="n">
        <v>1813.7</v>
      </c>
      <c r="T24" s="22" t="n">
        <v>2243.37</v>
      </c>
      <c r="U24" s="22" t="n">
        <v>1983.4</v>
      </c>
      <c r="V24" s="22" t="n">
        <v>2224.935018</v>
      </c>
      <c r="W24" s="22" t="n">
        <v>3005.0682</v>
      </c>
      <c r="X24" s="22" t="n">
        <v>3228.8766</v>
      </c>
      <c r="Y24" s="22" t="n">
        <v>3386.9226</v>
      </c>
      <c r="Z24" s="22" t="n">
        <v>3287.8974</v>
      </c>
      <c r="AA24" s="22">
        <f>SUM(O24:U24)</f>
        <v/>
      </c>
      <c r="AB24" s="22">
        <f>SUM(O24:Z24)</f>
        <v/>
      </c>
      <c r="AC24" s="22" t="n">
        <v>3357.758184</v>
      </c>
      <c r="AD24" s="22" t="n">
        <v>3879.981282</v>
      </c>
      <c r="AE24" s="22" t="n">
        <v>3030.125646</v>
      </c>
      <c r="AF24" s="22" t="n">
        <v>3476.091708</v>
      </c>
      <c r="AG24" s="22" t="n">
        <v>3689.142168</v>
      </c>
      <c r="AH24" s="22" t="n">
        <v>3506.192316</v>
      </c>
      <c r="AI24" s="10">
        <f>SUM(AC24:AH24)</f>
        <v/>
      </c>
      <c r="AJ24" s="22">
        <f>SUM(AC24:AH24)+AI24</f>
        <v/>
      </c>
      <c r="AK24" s="11">
        <f>IF(N24&lt;&gt;0,(AB24-N24)/ABS(N24),0)</f>
        <v/>
      </c>
      <c r="AL24" s="11">
        <f>IF(AB24&lt;&gt;0,(AJ24-AB24)/ABS(AB24),0)</f>
        <v/>
      </c>
    </row>
    <row r="25" ht="13" customHeight="1">
      <c r="A25" s="21" t="inlineStr">
        <is>
          <t xml:space="preserve">    Toys and Games</t>
        </is>
      </c>
      <c r="B25" s="22" t="n">
        <v>91.51000000000001</v>
      </c>
      <c r="C25" s="22" t="n">
        <v>452.3</v>
      </c>
      <c r="D25" s="22" t="n">
        <v>327.22</v>
      </c>
      <c r="E25" s="22" t="n">
        <v>103.6</v>
      </c>
      <c r="F25" s="22" t="n">
        <v>851.51</v>
      </c>
      <c r="G25" s="22" t="n">
        <v>37.37</v>
      </c>
      <c r="H25" s="22" t="n">
        <v>2634.18</v>
      </c>
      <c r="I25" s="22" t="n">
        <v>1272.86</v>
      </c>
      <c r="J25" s="22" t="n">
        <v>-132.59</v>
      </c>
      <c r="K25" s="22" t="n">
        <v>313.94</v>
      </c>
      <c r="L25" s="22" t="n">
        <v>334.54</v>
      </c>
      <c r="M25" s="22" t="n">
        <v>543.5300000000001</v>
      </c>
      <c r="N25" s="22">
        <f>SUM(B25:M25)</f>
        <v/>
      </c>
      <c r="O25" s="22" t="n">
        <v>100.23</v>
      </c>
      <c r="P25" s="22" t="n">
        <v>133.83</v>
      </c>
      <c r="Q25" s="22" t="n">
        <v>501.26</v>
      </c>
      <c r="R25" s="22" t="n">
        <v>235.26</v>
      </c>
      <c r="S25" s="22" t="n">
        <v>513.5799999999999</v>
      </c>
      <c r="T25" s="22" t="n">
        <v>239.97</v>
      </c>
      <c r="U25" s="22" t="n">
        <v>555.6700000000001</v>
      </c>
      <c r="AA25" s="22">
        <f>SUM(O25:U25)</f>
        <v/>
      </c>
      <c r="AB25" s="22">
        <f>SUM(O25:Z25)</f>
        <v/>
      </c>
      <c r="AC25" s="22" t="n">
        <v>100</v>
      </c>
      <c r="AD25" s="22" t="n">
        <v>100</v>
      </c>
      <c r="AE25" s="22" t="n">
        <v>100</v>
      </c>
      <c r="AF25" s="22" t="n">
        <v>100</v>
      </c>
      <c r="AG25" s="22" t="n">
        <v>100</v>
      </c>
      <c r="AH25" s="22" t="n">
        <v>100</v>
      </c>
      <c r="AI25" s="10">
        <f>SUM(AC25:AH25)</f>
        <v/>
      </c>
      <c r="AJ25" s="22">
        <f>SUM(AC25:AH25)+AI25</f>
        <v/>
      </c>
      <c r="AK25" s="11">
        <f>IF(N25&lt;&gt;0,(AB25-N25)/ABS(N25),0)</f>
        <v/>
      </c>
      <c r="AL25" s="11">
        <f>IF(AB25&lt;&gt;0,(AJ25-AB25)/ABS(AB25),0)</f>
        <v/>
      </c>
    </row>
    <row r="26" ht="13" customHeight="1">
      <c r="A26" s="21" t="inlineStr">
        <is>
          <t xml:space="preserve">    Art Materials</t>
        </is>
      </c>
      <c r="N26" s="22">
        <f>SUM(B26:M26)</f>
        <v/>
      </c>
      <c r="O26" s="22" t="n">
        <v>303.04</v>
      </c>
      <c r="P26" s="22" t="n">
        <v>223.68</v>
      </c>
      <c r="Q26" s="22" t="n">
        <v>252.26</v>
      </c>
      <c r="R26" s="22" t="n">
        <v>79.11</v>
      </c>
      <c r="S26" s="22" t="n">
        <v>149.63</v>
      </c>
      <c r="T26" s="22" t="n">
        <v>291.66</v>
      </c>
      <c r="U26" s="22" t="n">
        <v>81</v>
      </c>
      <c r="V26" s="22" t="n">
        <v>296.6580024</v>
      </c>
      <c r="W26" s="22" t="n">
        <v>400.6757600000001</v>
      </c>
      <c r="X26" s="22" t="n">
        <v>430.5168800000001</v>
      </c>
      <c r="Y26" s="22" t="n">
        <v>451.5896800000001</v>
      </c>
      <c r="Z26" s="22" t="n">
        <v>438.3863200000001</v>
      </c>
      <c r="AA26" s="22">
        <f>SUM(O26:U26)</f>
        <v/>
      </c>
      <c r="AB26" s="22">
        <f>SUM(O26:Z26)</f>
        <v/>
      </c>
      <c r="AC26" s="22" t="n">
        <v>447.7010912000001</v>
      </c>
      <c r="AD26" s="22" t="n">
        <v>517.3308376000001</v>
      </c>
      <c r="AE26" s="22" t="n">
        <v>404.0167528000001</v>
      </c>
      <c r="AF26" s="22" t="n">
        <v>463.4788944000001</v>
      </c>
      <c r="AG26" s="22" t="n">
        <v>491.8856224</v>
      </c>
      <c r="AH26" s="22" t="n">
        <v>467.4923088</v>
      </c>
      <c r="AI26" s="10">
        <f>SUM(AC26:AH26)</f>
        <v/>
      </c>
      <c r="AJ26" s="22">
        <f>SUM(AC26:AH26)+AI26</f>
        <v/>
      </c>
      <c r="AK26" s="11">
        <f>IF(N26&lt;&gt;0,(AB26-N26)/ABS(N26),0)</f>
        <v/>
      </c>
      <c r="AL26" s="11">
        <f>IF(AB26&lt;&gt;0,(AJ26-AB26)/ABS(AB26),0)</f>
        <v/>
      </c>
    </row>
    <row r="27" ht="13" customHeight="1">
      <c r="A27" s="21" t="inlineStr">
        <is>
          <t xml:space="preserve">    Nursery Stationery</t>
        </is>
      </c>
      <c r="B27" s="22" t="n">
        <v>94.15000000000001</v>
      </c>
      <c r="C27" s="22" t="n">
        <v>42.29</v>
      </c>
      <c r="D27" s="22" t="n">
        <v>57.79</v>
      </c>
      <c r="E27" s="22" t="n">
        <v>75.59</v>
      </c>
      <c r="F27" s="22" t="n">
        <v>44.53</v>
      </c>
      <c r="G27" s="22" t="n">
        <v>83.44999999999999</v>
      </c>
      <c r="H27" s="22" t="n">
        <v>34.42</v>
      </c>
      <c r="I27" s="22" t="n">
        <v>28.37</v>
      </c>
      <c r="J27" s="22" t="n">
        <v>31.5</v>
      </c>
      <c r="K27" s="22" t="n">
        <v>12.34</v>
      </c>
      <c r="L27" s="22" t="n">
        <v>338.1</v>
      </c>
      <c r="M27" s="22" t="n">
        <v>33.94</v>
      </c>
      <c r="N27" s="22">
        <f>SUM(B27:M27)</f>
        <v/>
      </c>
      <c r="O27" s="22" t="n">
        <v>168.45</v>
      </c>
      <c r="P27" s="22" t="n">
        <v>260.32</v>
      </c>
      <c r="Q27" s="22" t="n">
        <v>107.71</v>
      </c>
      <c r="R27" s="22" t="n">
        <v>152.41</v>
      </c>
      <c r="S27" s="22" t="n">
        <v>36.04</v>
      </c>
      <c r="T27" s="22" t="n">
        <v>155.55</v>
      </c>
      <c r="U27" s="22" t="n">
        <v>55.27</v>
      </c>
      <c r="AA27" s="22">
        <f>SUM(O27:U27)</f>
        <v/>
      </c>
      <c r="AB27" s="22">
        <f>SUM(O27:Z27)</f>
        <v/>
      </c>
      <c r="AC27" s="22" t="n">
        <v>100</v>
      </c>
      <c r="AD27" s="22" t="n">
        <v>100</v>
      </c>
      <c r="AE27" s="22" t="n">
        <v>100</v>
      </c>
      <c r="AF27" s="22" t="n">
        <v>100</v>
      </c>
      <c r="AG27" s="22" t="n">
        <v>100</v>
      </c>
      <c r="AH27" s="22" t="n">
        <v>100</v>
      </c>
      <c r="AI27" s="10">
        <f>SUM(AC27:AH27)</f>
        <v/>
      </c>
      <c r="AJ27" s="22">
        <f>SUM(AC27:AH27)+AI27</f>
        <v/>
      </c>
      <c r="AK27" s="11">
        <f>IF(N27&lt;&gt;0,(AB27-N27)/ABS(N27),0)</f>
        <v/>
      </c>
      <c r="AL27" s="11">
        <f>IF(AB27&lt;&gt;0,(AJ27-AB27)/ABS(AB27),0)</f>
        <v/>
      </c>
    </row>
    <row r="28" ht="13" customHeight="1">
      <c r="A28" s="21" t="inlineStr">
        <is>
          <t xml:space="preserve">    Nursery Equipment</t>
        </is>
      </c>
      <c r="B28" s="22" t="n">
        <v>189.9</v>
      </c>
      <c r="C28" s="22" t="n">
        <v>131.91</v>
      </c>
      <c r="D28" s="22" t="n">
        <v>63.11000000000001</v>
      </c>
      <c r="E28" s="22" t="n">
        <v>17.99</v>
      </c>
      <c r="F28" s="22" t="n">
        <v>140.72</v>
      </c>
      <c r="G28" s="22" t="n">
        <v>671.26</v>
      </c>
      <c r="H28" s="22" t="n">
        <v>453.3</v>
      </c>
      <c r="I28" s="22" t="n">
        <v>32.21</v>
      </c>
      <c r="J28" s="22" t="n">
        <v>25.47</v>
      </c>
      <c r="K28" s="22" t="n">
        <v>59.66</v>
      </c>
      <c r="L28" s="22" t="n">
        <v>94.7</v>
      </c>
      <c r="M28" s="22" t="n">
        <v>57.97</v>
      </c>
      <c r="N28" s="22">
        <f>SUM(B28:M28)</f>
        <v/>
      </c>
      <c r="O28" s="22" t="n">
        <v>275.4</v>
      </c>
      <c r="P28" s="22" t="n">
        <v>107.01</v>
      </c>
      <c r="Q28" s="22" t="n">
        <v>152.55</v>
      </c>
      <c r="R28" s="22" t="n">
        <v>51.51</v>
      </c>
      <c r="S28" s="22" t="n">
        <v>816.79</v>
      </c>
      <c r="T28" s="22" t="n">
        <v>427.2</v>
      </c>
      <c r="U28" s="22" t="n">
        <v>120.7</v>
      </c>
      <c r="AA28" s="22">
        <f>SUM(O28:U28)</f>
        <v/>
      </c>
      <c r="AB28" s="22">
        <f>SUM(O28:Z28)</f>
        <v/>
      </c>
      <c r="AC28" s="22" t="n">
        <v>100</v>
      </c>
      <c r="AD28" s="22" t="n">
        <v>100</v>
      </c>
      <c r="AE28" s="22" t="n">
        <v>100</v>
      </c>
      <c r="AF28" s="22" t="n">
        <v>100</v>
      </c>
      <c r="AG28" s="22" t="n">
        <v>100</v>
      </c>
      <c r="AH28" s="22" t="n">
        <v>100</v>
      </c>
      <c r="AI28" s="10">
        <f>SUM(AC28:AH28)</f>
        <v/>
      </c>
      <c r="AJ28" s="22">
        <f>SUM(AC28:AH28)+AI28</f>
        <v/>
      </c>
      <c r="AK28" s="11">
        <f>IF(N28&lt;&gt;0,(AB28-N28)/ABS(N28),0)</f>
        <v/>
      </c>
      <c r="AL28" s="11">
        <f>IF(AB28&lt;&gt;0,(AJ28-AB28)/ABS(AB28),0)</f>
        <v/>
      </c>
    </row>
    <row r="29" ht="13" customHeight="1">
      <c r="A29" s="21" t="inlineStr">
        <is>
          <t xml:space="preserve">    Nursery Consumables</t>
        </is>
      </c>
      <c r="N29" s="22">
        <f>SUM(B29:M29)</f>
        <v/>
      </c>
      <c r="O29" s="22" t="n">
        <v>382.52</v>
      </c>
      <c r="P29" s="22" t="n">
        <v>459.73</v>
      </c>
      <c r="Q29" s="22" t="n">
        <v>663.4499999999999</v>
      </c>
      <c r="R29" s="22" t="n">
        <v>360.23</v>
      </c>
      <c r="S29" s="22" t="n">
        <v>640.16</v>
      </c>
      <c r="T29" s="22" t="n">
        <v>717.62</v>
      </c>
      <c r="U29" s="22" t="n">
        <v>558.66</v>
      </c>
      <c r="V29" s="22" t="n">
        <v>436.5910224</v>
      </c>
      <c r="W29" s="22" t="n">
        <v>589.67376</v>
      </c>
      <c r="X29" s="22" t="n">
        <v>633.5908800000001</v>
      </c>
      <c r="Y29" s="22" t="n">
        <v>664.6036800000001</v>
      </c>
      <c r="Z29" s="22" t="n">
        <v>645.1723200000001</v>
      </c>
      <c r="AA29" s="22">
        <f>SUM(O29:U29)</f>
        <v/>
      </c>
      <c r="AB29" s="22">
        <f>SUM(O29:Z29)</f>
        <v/>
      </c>
      <c r="AC29" s="22" t="n">
        <v>658.8808512000001</v>
      </c>
      <c r="AD29" s="22" t="n">
        <v>761.3548176000002</v>
      </c>
      <c r="AE29" s="22" t="n">
        <v>594.5906928000001</v>
      </c>
      <c r="AF29" s="22" t="n">
        <v>682.1010144000001</v>
      </c>
      <c r="AG29" s="22" t="n">
        <v>723.9071424000001</v>
      </c>
      <c r="AH29" s="22" t="n">
        <v>688.0075488000001</v>
      </c>
      <c r="AI29" s="10">
        <f>SUM(AC29:AH29)</f>
        <v/>
      </c>
      <c r="AJ29" s="22">
        <f>SUM(AC29:AH29)+AI29</f>
        <v/>
      </c>
      <c r="AK29" s="11">
        <f>IF(N29&lt;&gt;0,(AB29-N29)/ABS(N29),0)</f>
        <v/>
      </c>
      <c r="AL29" s="11">
        <f>IF(AB29&lt;&gt;0,(AJ29-AB29)/ABS(AB29),0)</f>
        <v/>
      </c>
    </row>
    <row r="30" ht="13" customHeight="1">
      <c r="A30" s="23" t="inlineStr">
        <is>
          <t>Total Childcare Costs</t>
        </is>
      </c>
      <c r="B30" s="24">
        <f>B24+B25+B26+B27+B28+B29</f>
        <v/>
      </c>
      <c r="C30" s="24">
        <f>C24+C25+C26+C27+C28+C29</f>
        <v/>
      </c>
      <c r="D30" s="24">
        <f>D24+D25+D26+D27+D28+D29</f>
        <v/>
      </c>
      <c r="E30" s="24">
        <f>E24+E25+E26+E27+E28+E29</f>
        <v/>
      </c>
      <c r="F30" s="24">
        <f>F24+F25+F26+F27+F28+F29</f>
        <v/>
      </c>
      <c r="G30" s="24">
        <f>G24+G25+G26+G27+G28+G29</f>
        <v/>
      </c>
      <c r="H30" s="24">
        <f>H24+H25+H26+H27+H28+H29</f>
        <v/>
      </c>
      <c r="I30" s="24">
        <f>I24+I25+I26+I27+I28+I29</f>
        <v/>
      </c>
      <c r="J30" s="24">
        <f>J24+J25+J26+J27+J28+J29</f>
        <v/>
      </c>
      <c r="K30" s="24">
        <f>K24+K25+K26+K27+K28+K29</f>
        <v/>
      </c>
      <c r="L30" s="24">
        <f>L24+L25+L26+L27+L28+L29</f>
        <v/>
      </c>
      <c r="M30" s="24">
        <f>M24+M25+M26+M27+M28+M29</f>
        <v/>
      </c>
      <c r="N30" s="24">
        <f>N24+N25+N26+N27+N28+N29</f>
        <v/>
      </c>
      <c r="O30" s="24">
        <f>O24+O25+O26+O27+O28+O29</f>
        <v/>
      </c>
      <c r="P30" s="24">
        <f>P24+P25+P26+P27+P28+P29</f>
        <v/>
      </c>
      <c r="Q30" s="24">
        <f>Q24+Q25+Q26+Q27+Q28+Q29</f>
        <v/>
      </c>
      <c r="R30" s="24">
        <f>R24+R25+R26+R27+R28+R29</f>
        <v/>
      </c>
      <c r="S30" s="24">
        <f>S24+S25+S26+S27+S28+S29</f>
        <v/>
      </c>
      <c r="T30" s="24">
        <f>T24+T25+T26+T27+T28+T29</f>
        <v/>
      </c>
      <c r="U30" s="24">
        <f>U24+U25+U26+U27+U28+U29</f>
        <v/>
      </c>
      <c r="V30" s="24">
        <f>V24+V25+V26+V27+V28+V29</f>
        <v/>
      </c>
      <c r="W30" s="24">
        <f>W24+W25+W26+W27+W28+W29</f>
        <v/>
      </c>
      <c r="X30" s="24">
        <f>X24+X25+X26+X27+X28+X29</f>
        <v/>
      </c>
      <c r="Y30" s="24">
        <f>Y24+Y25+Y26+Y27+Y28+Y29</f>
        <v/>
      </c>
      <c r="Z30" s="24">
        <f>Z24+Z25+Z26+Z27+Z28+Z29</f>
        <v/>
      </c>
      <c r="AA30" s="24">
        <f>AA24+AA25+AA26+AA27+AA28+AA29</f>
        <v/>
      </c>
      <c r="AB30" s="24">
        <f>AB24+AB25+AB26+AB27+AB28+AB29</f>
        <v/>
      </c>
      <c r="AC30" s="24">
        <f>AC24+AC25+AC26+AC27+AC28+AC29</f>
        <v/>
      </c>
      <c r="AD30" s="24">
        <f>AD24+AD25+AD26+AD27+AD28+AD29</f>
        <v/>
      </c>
      <c r="AE30" s="24">
        <f>AE24+AE25+AE26+AE27+AE28+AE29</f>
        <v/>
      </c>
      <c r="AF30" s="24">
        <f>AF24+AF25+AF26+AF27+AF28+AF29</f>
        <v/>
      </c>
      <c r="AG30" s="24">
        <f>AG24+AG25+AG26+AG27+AG28+AG29</f>
        <v/>
      </c>
      <c r="AH30" s="24">
        <f>AH24+AH25+AH26+AH27+AH28+AH29</f>
        <v/>
      </c>
      <c r="AI30" s="24">
        <f>AI24+AI25+AI26+AI27+AI28+AI29</f>
        <v/>
      </c>
      <c r="AJ30" s="24">
        <f>AJ24+AJ25+AJ26+AJ27+AJ28+AJ29</f>
        <v/>
      </c>
      <c r="AK30" s="11">
        <f>IF(N30&lt;&gt;0,(AB30-N30)/ABS(N30),0)</f>
        <v/>
      </c>
      <c r="AL30" s="11">
        <f>IF(AB30&lt;&gt;0,(AJ30-AB30)/ABS(AB30),0)</f>
        <v/>
      </c>
    </row>
    <row r="31" ht="5" customHeight="1"/>
    <row r="32" ht="13" customHeight="1">
      <c r="A32" s="14" t="inlineStr">
        <is>
          <t>Premises &amp; Admin</t>
        </is>
      </c>
    </row>
    <row r="33" ht="13" customHeight="1">
      <c r="A33" s="25" t="inlineStr">
        <is>
          <t xml:space="preserve">    Rent</t>
        </is>
      </c>
      <c r="B33" s="26" t="n">
        <v>0</v>
      </c>
      <c r="C33" s="26" t="n">
        <v>0</v>
      </c>
      <c r="D33" s="26" t="n">
        <v>0</v>
      </c>
      <c r="E33" s="26" t="n">
        <v>0</v>
      </c>
      <c r="F33" s="26" t="n">
        <v>0</v>
      </c>
      <c r="G33" s="26" t="n">
        <v>0</v>
      </c>
      <c r="H33" s="26" t="n">
        <v>0</v>
      </c>
      <c r="I33" s="26" t="n">
        <v>0</v>
      </c>
      <c r="J33" s="26" t="n">
        <v>0</v>
      </c>
      <c r="K33" s="26" t="n">
        <v>0</v>
      </c>
      <c r="L33" s="26" t="n">
        <v>0</v>
      </c>
      <c r="M33" s="26" t="n">
        <v>0</v>
      </c>
      <c r="N33" s="26">
        <f>SUM(B33:M33)</f>
        <v/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  <c r="V33" s="26" t="n">
        <v>0</v>
      </c>
      <c r="W33" s="26" t="n">
        <v>0</v>
      </c>
      <c r="X33" s="26" t="n">
        <v>0</v>
      </c>
      <c r="Y33" s="26" t="n">
        <v>0</v>
      </c>
      <c r="Z33" s="26" t="n">
        <v>0</v>
      </c>
      <c r="AA33" s="26">
        <f>SUM(O33:U33)</f>
        <v/>
      </c>
      <c r="AB33" s="26">
        <f>SUM(O33:Z33)</f>
        <v/>
      </c>
      <c r="AC33" s="26" t="n">
        <v>0</v>
      </c>
      <c r="AD33" s="26" t="n">
        <v>0</v>
      </c>
      <c r="AE33" s="26" t="n">
        <v>0</v>
      </c>
      <c r="AF33" s="26" t="n">
        <v>0</v>
      </c>
      <c r="AG33" s="26" t="n">
        <v>0</v>
      </c>
      <c r="AH33" s="26" t="n">
        <v>0</v>
      </c>
      <c r="AI33" s="10">
        <f>SUM(AC33:AH33)</f>
        <v/>
      </c>
      <c r="AJ33" s="26">
        <f>SUM(AC33:AH33)+AI33</f>
        <v/>
      </c>
      <c r="AK33" s="11">
        <f>IF(N33&lt;&gt;0,(AB33-N33)/ABS(N33),0)</f>
        <v/>
      </c>
      <c r="AL33" s="11">
        <f>IF(AB33&lt;&gt;0,(AJ33-AB33)/ABS(AB33),0)</f>
        <v/>
      </c>
    </row>
    <row r="34" ht="13" customHeight="1">
      <c r="A34" s="25" t="inlineStr">
        <is>
          <t xml:space="preserve">    Business Rates</t>
        </is>
      </c>
      <c r="B34" s="26" t="n">
        <v>1704.92</v>
      </c>
      <c r="C34" s="26" t="n">
        <v>1704.92</v>
      </c>
      <c r="D34" s="26" t="n">
        <v>1704.92</v>
      </c>
      <c r="E34" s="26" t="n">
        <v>1704.92</v>
      </c>
      <c r="F34" s="26" t="n">
        <v>1704.92</v>
      </c>
      <c r="G34" s="26" t="n">
        <v>1704.92</v>
      </c>
      <c r="H34" s="26" t="n">
        <v>1704.92</v>
      </c>
      <c r="I34" s="26" t="n">
        <v>1704.92</v>
      </c>
      <c r="J34" s="26" t="n">
        <v>1704.92</v>
      </c>
      <c r="K34" s="26" t="n">
        <v>1704.92</v>
      </c>
      <c r="L34" s="26" t="n">
        <v>1704.92</v>
      </c>
      <c r="M34" s="26" t="n">
        <v>1704.92</v>
      </c>
      <c r="N34" s="26">
        <f>SUM(B34:M34)</f>
        <v/>
      </c>
      <c r="O34" s="26" t="n">
        <v>1704.91</v>
      </c>
      <c r="P34" s="26" t="n">
        <v>1704.91</v>
      </c>
      <c r="Q34" s="26" t="n">
        <v>1704.9</v>
      </c>
      <c r="R34" s="26" t="n">
        <v>1823.25</v>
      </c>
      <c r="S34" s="26" t="n">
        <v>1823.25</v>
      </c>
      <c r="T34" s="26" t="n">
        <v>1823.25</v>
      </c>
      <c r="U34" s="26" t="n">
        <v>1823.25</v>
      </c>
      <c r="AA34" s="26">
        <f>SUM(O34:U34)</f>
        <v/>
      </c>
      <c r="AB34" s="26">
        <f>SUM(O34:Z34)</f>
        <v/>
      </c>
      <c r="AC34" s="26" t="n">
        <v>1823.25</v>
      </c>
      <c r="AD34" s="26" t="n">
        <v>1823.25</v>
      </c>
      <c r="AE34" s="26" t="n">
        <v>1823.25</v>
      </c>
      <c r="AF34" s="26" t="n">
        <v>1823.25</v>
      </c>
      <c r="AG34" s="26" t="n">
        <v>1823.25</v>
      </c>
      <c r="AH34" s="26" t="n">
        <v>1823.25</v>
      </c>
      <c r="AI34" s="10">
        <f>SUM(AC34:AH34)</f>
        <v/>
      </c>
      <c r="AJ34" s="26">
        <f>SUM(AC34:AH34)+AI34</f>
        <v/>
      </c>
      <c r="AK34" s="11">
        <f>IF(N34&lt;&gt;0,(AB34-N34)/ABS(N34),0)</f>
        <v/>
      </c>
      <c r="AL34" s="11">
        <f>IF(AB34&lt;&gt;0,(AJ34-AB34)/ABS(AB34),0)</f>
        <v/>
      </c>
    </row>
    <row r="35" ht="13" customHeight="1">
      <c r="A35" s="25" t="inlineStr">
        <is>
          <t xml:space="preserve">    Utilities</t>
        </is>
      </c>
      <c r="B35" s="26" t="n">
        <v>895.97</v>
      </c>
      <c r="C35" s="26" t="n">
        <v>27.47</v>
      </c>
      <c r="D35" s="26" t="n">
        <v>1315.56</v>
      </c>
      <c r="E35" s="26" t="n">
        <v>712.0700000000001</v>
      </c>
      <c r="F35" s="26" t="n">
        <v>4544.52</v>
      </c>
      <c r="G35" s="26" t="n">
        <v>684.5699999999999</v>
      </c>
      <c r="H35" s="26" t="n">
        <v>627.64</v>
      </c>
      <c r="I35" s="26" t="n">
        <v>514.1999999999999</v>
      </c>
      <c r="J35" s="26" t="n">
        <v>-607.48</v>
      </c>
      <c r="K35" s="26" t="n">
        <v>4237.07</v>
      </c>
      <c r="L35" s="26" t="n">
        <v>769.03</v>
      </c>
      <c r="M35" s="26" t="n">
        <v>2369.66</v>
      </c>
      <c r="N35" s="26">
        <f>SUM(B35:M35)</f>
        <v/>
      </c>
      <c r="O35" s="26" t="n">
        <v>899.4200000000001</v>
      </c>
      <c r="P35" s="26" t="n">
        <v>3128.63</v>
      </c>
      <c r="Q35" s="26" t="n">
        <v>1798.29</v>
      </c>
      <c r="R35" s="26" t="n">
        <v>1482.2</v>
      </c>
      <c r="S35" s="26" t="n">
        <v>906.4300000000001</v>
      </c>
      <c r="T35" s="26" t="n">
        <v>319.8099999999999</v>
      </c>
      <c r="U35" s="26" t="n">
        <v>724.03</v>
      </c>
      <c r="AA35" s="26">
        <f>SUM(O35:U35)</f>
        <v/>
      </c>
      <c r="AB35" s="26">
        <f>SUM(O35:Z35)</f>
        <v/>
      </c>
      <c r="AC35" s="26" t="n">
        <v>1429</v>
      </c>
      <c r="AD35" s="26" t="n">
        <v>1429</v>
      </c>
      <c r="AE35" s="26" t="n">
        <v>1429</v>
      </c>
      <c r="AF35" s="26" t="n">
        <v>1429</v>
      </c>
      <c r="AG35" s="26" t="n">
        <v>1429</v>
      </c>
      <c r="AH35" s="26" t="n">
        <v>1429</v>
      </c>
      <c r="AI35" s="10">
        <f>SUM(AC35:AH35)</f>
        <v/>
      </c>
      <c r="AJ35" s="26">
        <f>SUM(AC35:AH35)+AI35</f>
        <v/>
      </c>
      <c r="AK35" s="11">
        <f>IF(N35&lt;&gt;0,(AB35-N35)/ABS(N35),0)</f>
        <v/>
      </c>
      <c r="AL35" s="11">
        <f>IF(AB35&lt;&gt;0,(AJ35-AB35)/ABS(AB35),0)</f>
        <v/>
      </c>
    </row>
    <row r="36" ht="13" customHeight="1">
      <c r="A36" s="25" t="inlineStr">
        <is>
          <t xml:space="preserve">    Repairs &amp; Maintenance</t>
        </is>
      </c>
      <c r="B36" s="26" t="n">
        <v>46.95</v>
      </c>
      <c r="C36" s="26" t="n">
        <v>4832.910000000001</v>
      </c>
      <c r="D36" s="26" t="n">
        <v>603.49</v>
      </c>
      <c r="E36" s="26" t="n">
        <v>179.64</v>
      </c>
      <c r="F36" s="26" t="n">
        <v>504.08</v>
      </c>
      <c r="G36" s="26" t="n">
        <v>1430</v>
      </c>
      <c r="H36" s="26" t="n">
        <v>0</v>
      </c>
      <c r="I36" s="26" t="n">
        <v>5.99</v>
      </c>
      <c r="J36" s="26" t="n">
        <v>14</v>
      </c>
      <c r="K36" s="26" t="n">
        <v>0</v>
      </c>
      <c r="L36" s="26" t="n">
        <v>55.29</v>
      </c>
      <c r="M36" s="26" t="n">
        <v>225.21</v>
      </c>
      <c r="N36" s="26">
        <f>SUM(B36:M36)</f>
        <v/>
      </c>
      <c r="O36" s="26" t="n">
        <v>0</v>
      </c>
      <c r="P36" s="26" t="n">
        <v>57.06</v>
      </c>
      <c r="Q36" s="26" t="n">
        <v>9.140000000000001</v>
      </c>
      <c r="R36" s="26" t="n">
        <v>10.19</v>
      </c>
      <c r="S36" s="26" t="n">
        <v>141.97</v>
      </c>
      <c r="T36" s="26" t="n">
        <v>150.64</v>
      </c>
      <c r="U36" s="26" t="n">
        <v>415.34</v>
      </c>
      <c r="AA36" s="26">
        <f>SUM(O36:U36)</f>
        <v/>
      </c>
      <c r="AB36" s="26">
        <f>SUM(O36:Z36)</f>
        <v/>
      </c>
      <c r="AC36" s="26" t="n">
        <v>0</v>
      </c>
      <c r="AD36" s="26" t="n">
        <v>0</v>
      </c>
      <c r="AE36" s="26" t="n">
        <v>0</v>
      </c>
      <c r="AF36" s="26" t="n">
        <v>0</v>
      </c>
      <c r="AG36" s="26" t="n">
        <v>0</v>
      </c>
      <c r="AH36" s="26" t="n">
        <v>0</v>
      </c>
      <c r="AI36" s="10">
        <f>SUM(AC36:AH36)</f>
        <v/>
      </c>
      <c r="AJ36" s="26">
        <f>SUM(AC36:AH36)+AI36</f>
        <v/>
      </c>
      <c r="AK36" s="11">
        <f>IF(N36&lt;&gt;0,(AB36-N36)/ABS(N36),0)</f>
        <v/>
      </c>
      <c r="AL36" s="11">
        <f>IF(AB36&lt;&gt;0,(AJ36-AB36)/ABS(AB36),0)</f>
        <v/>
      </c>
    </row>
    <row r="37" ht="13" customHeight="1">
      <c r="A37" s="25" t="inlineStr">
        <is>
          <t xml:space="preserve">    Cleaning</t>
        </is>
      </c>
      <c r="B37" s="26" t="n">
        <v>1610.41</v>
      </c>
      <c r="C37" s="26" t="n">
        <v>1341.28</v>
      </c>
      <c r="D37" s="26" t="n">
        <v>618.85</v>
      </c>
      <c r="E37" s="26" t="n">
        <v>1357.49</v>
      </c>
      <c r="F37" s="26" t="n">
        <v>1371.67</v>
      </c>
      <c r="G37" s="26" t="n">
        <v>703.42</v>
      </c>
      <c r="H37" s="26" t="n">
        <v>477.23</v>
      </c>
      <c r="I37" s="26" t="n">
        <v>1549.67</v>
      </c>
      <c r="J37" s="26" t="n">
        <v>1414.78</v>
      </c>
      <c r="K37" s="26" t="n">
        <v>1644.37</v>
      </c>
      <c r="L37" s="26" t="n">
        <v>1432.79</v>
      </c>
      <c r="M37" s="26" t="n">
        <v>1367.21</v>
      </c>
      <c r="N37" s="26">
        <f>SUM(B37:M37)</f>
        <v/>
      </c>
      <c r="O37" s="26" t="n">
        <v>1432.83</v>
      </c>
      <c r="P37" s="26" t="n">
        <v>1526.79</v>
      </c>
      <c r="Q37" s="26" t="n">
        <v>1392.29</v>
      </c>
      <c r="R37" s="26" t="n">
        <v>1387.82</v>
      </c>
      <c r="S37" s="26" t="n">
        <v>235.62</v>
      </c>
      <c r="T37" s="26" t="n">
        <v>321.0700000000001</v>
      </c>
      <c r="U37" s="26" t="n">
        <v>332.24</v>
      </c>
      <c r="AA37" s="26">
        <f>SUM(O37:U37)</f>
        <v/>
      </c>
      <c r="AB37" s="26">
        <f>SUM(O37:Z37)</f>
        <v/>
      </c>
      <c r="AC37" s="26" t="n">
        <v>400</v>
      </c>
      <c r="AD37" s="26" t="n">
        <v>400</v>
      </c>
      <c r="AE37" s="26" t="n">
        <v>400</v>
      </c>
      <c r="AF37" s="26" t="n">
        <v>400</v>
      </c>
      <c r="AG37" s="26" t="n">
        <v>400</v>
      </c>
      <c r="AH37" s="26" t="n">
        <v>400</v>
      </c>
      <c r="AI37" s="10">
        <f>SUM(AC37:AH37)</f>
        <v/>
      </c>
      <c r="AJ37" s="26">
        <f>SUM(AC37:AH37)+AI37</f>
        <v/>
      </c>
      <c r="AK37" s="11">
        <f>IF(N37&lt;&gt;0,(AB37-N37)/ABS(N37),0)</f>
        <v/>
      </c>
      <c r="AL37" s="11">
        <f>IF(AB37&lt;&gt;0,(AJ37-AB37)/ABS(AB37),0)</f>
        <v/>
      </c>
    </row>
    <row r="38" ht="13" customHeight="1">
      <c r="A38" s="25" t="inlineStr">
        <is>
          <t xml:space="preserve">    Waste Disposal</t>
        </is>
      </c>
      <c r="B38" s="26" t="n">
        <v>384.51</v>
      </c>
      <c r="C38" s="26" t="n">
        <v>339.51</v>
      </c>
      <c r="D38" s="26" t="n">
        <v>605.71</v>
      </c>
      <c r="E38" s="26" t="n">
        <v>354.44</v>
      </c>
      <c r="F38" s="26" t="n">
        <v>460.6900000000001</v>
      </c>
      <c r="G38" s="26" t="n">
        <v>328.31</v>
      </c>
      <c r="H38" s="26" t="n">
        <v>432.13</v>
      </c>
      <c r="I38" s="26" t="n">
        <v>328.31</v>
      </c>
      <c r="J38" s="26" t="n">
        <v>474.42</v>
      </c>
      <c r="K38" s="26" t="n">
        <v>328.32</v>
      </c>
      <c r="L38" s="26" t="n">
        <v>445.29</v>
      </c>
      <c r="M38" s="26" t="n">
        <v>381.72</v>
      </c>
      <c r="N38" s="26">
        <f>SUM(B38:M38)</f>
        <v/>
      </c>
      <c r="O38" s="26" t="n">
        <v>335.82</v>
      </c>
      <c r="P38" s="26" t="n">
        <v>454.31</v>
      </c>
      <c r="Q38" s="26" t="n">
        <v>484.3</v>
      </c>
      <c r="R38" s="26" t="n">
        <v>586.95</v>
      </c>
      <c r="S38" s="26" t="n">
        <v>531.72</v>
      </c>
      <c r="T38" s="26" t="n">
        <v>247.26</v>
      </c>
      <c r="U38" s="26" t="n">
        <v>599.6500000000001</v>
      </c>
      <c r="AA38" s="26">
        <f>SUM(O38:U38)</f>
        <v/>
      </c>
      <c r="AB38" s="26">
        <f>SUM(O38:Z38)</f>
        <v/>
      </c>
      <c r="AC38" s="26" t="n">
        <v>400</v>
      </c>
      <c r="AD38" s="26" t="n">
        <v>400</v>
      </c>
      <c r="AE38" s="26" t="n">
        <v>400</v>
      </c>
      <c r="AF38" s="26" t="n">
        <v>400</v>
      </c>
      <c r="AG38" s="26" t="n">
        <v>400</v>
      </c>
      <c r="AH38" s="26" t="n">
        <v>400</v>
      </c>
      <c r="AI38" s="10">
        <f>SUM(AC38:AH38)</f>
        <v/>
      </c>
      <c r="AJ38" s="26">
        <f>SUM(AC38:AH38)+AI38</f>
        <v/>
      </c>
      <c r="AK38" s="11">
        <f>IF(N38&lt;&gt;0,(AB38-N38)/ABS(N38),0)</f>
        <v/>
      </c>
      <c r="AL38" s="11">
        <f>IF(AB38&lt;&gt;0,(AJ38-AB38)/ABS(AB38),0)</f>
        <v/>
      </c>
    </row>
    <row r="39" ht="13" customHeight="1">
      <c r="A39" s="25" t="inlineStr">
        <is>
          <t xml:space="preserve">    Postage/Printing/Stationery</t>
        </is>
      </c>
      <c r="B39" s="26" t="n">
        <v>137.34</v>
      </c>
      <c r="C39" s="26" t="n">
        <v>73.97</v>
      </c>
      <c r="D39" s="26" t="n">
        <v>80.18000000000001</v>
      </c>
      <c r="E39" s="26" t="n">
        <v>84.22999999999999</v>
      </c>
      <c r="F39" s="26" t="n">
        <v>71.16</v>
      </c>
      <c r="G39" s="26" t="n">
        <v>66.28</v>
      </c>
      <c r="H39" s="26" t="n">
        <v>105.45</v>
      </c>
      <c r="I39" s="26" t="n">
        <v>71.08</v>
      </c>
      <c r="J39" s="26" t="n">
        <v>92.42</v>
      </c>
      <c r="K39" s="26" t="n">
        <v>81.83</v>
      </c>
      <c r="L39" s="26" t="n">
        <v>67.48999999999999</v>
      </c>
      <c r="M39" s="26" t="n">
        <v>78.18000000000001</v>
      </c>
      <c r="N39" s="26">
        <f>SUM(B39:M39)</f>
        <v/>
      </c>
      <c r="O39" s="26" t="n">
        <v>56.7</v>
      </c>
      <c r="P39" s="26" t="n">
        <v>92.7</v>
      </c>
      <c r="Q39" s="26" t="n">
        <v>63.53</v>
      </c>
      <c r="R39" s="26" t="n">
        <v>87.16</v>
      </c>
      <c r="S39" s="26" t="n">
        <v>87.41</v>
      </c>
      <c r="T39" s="26" t="n">
        <v>180.51</v>
      </c>
      <c r="U39" s="26" t="n">
        <v>100.82</v>
      </c>
      <c r="AA39" s="26">
        <f>SUM(O39:U39)</f>
        <v/>
      </c>
      <c r="AB39" s="26">
        <f>SUM(O39:Z39)</f>
        <v/>
      </c>
      <c r="AC39" s="26" t="n">
        <v>106</v>
      </c>
      <c r="AD39" s="26" t="n">
        <v>106</v>
      </c>
      <c r="AE39" s="26" t="n">
        <v>106</v>
      </c>
      <c r="AF39" s="26" t="n">
        <v>106</v>
      </c>
      <c r="AG39" s="26" t="n">
        <v>106</v>
      </c>
      <c r="AH39" s="26" t="n">
        <v>106</v>
      </c>
      <c r="AI39" s="10">
        <f>SUM(AC39:AH39)</f>
        <v/>
      </c>
      <c r="AJ39" s="26">
        <f>SUM(AC39:AH39)+AI39</f>
        <v/>
      </c>
      <c r="AK39" s="11">
        <f>IF(N39&lt;&gt;0,(AB39-N39)/ABS(N39),0)</f>
        <v/>
      </c>
      <c r="AL39" s="11">
        <f>IF(AB39&lt;&gt;0,(AJ39-AB39)/ABS(AB39),0)</f>
        <v/>
      </c>
    </row>
    <row r="40" ht="13" customHeight="1">
      <c r="A40" s="25" t="inlineStr">
        <is>
          <t xml:space="preserve">    Telephone</t>
        </is>
      </c>
      <c r="B40" s="26" t="n">
        <v>0</v>
      </c>
      <c r="C40" s="26" t="n">
        <v>0</v>
      </c>
      <c r="D40" s="26" t="n">
        <v>0</v>
      </c>
      <c r="E40" s="26" t="n">
        <v>0</v>
      </c>
      <c r="F40" s="26" t="n">
        <v>0</v>
      </c>
      <c r="G40" s="26" t="n">
        <v>0</v>
      </c>
      <c r="H40" s="26" t="n">
        <v>0</v>
      </c>
      <c r="I40" s="26" t="n">
        <v>0</v>
      </c>
      <c r="J40" s="26" t="n">
        <v>0</v>
      </c>
      <c r="K40" s="26" t="n">
        <v>0</v>
      </c>
      <c r="L40" s="26" t="n">
        <v>0</v>
      </c>
      <c r="M40" s="26" t="n">
        <v>0</v>
      </c>
      <c r="N40" s="26">
        <f>SUM(B40:M40)</f>
        <v/>
      </c>
      <c r="O40" s="26" t="n">
        <v>0</v>
      </c>
      <c r="P40" s="26" t="n">
        <v>0</v>
      </c>
      <c r="Q40" s="26" t="n">
        <v>390</v>
      </c>
      <c r="R40" s="26" t="n">
        <v>0</v>
      </c>
      <c r="S40" s="26" t="n">
        <v>0</v>
      </c>
      <c r="T40" s="26" t="n">
        <v>0</v>
      </c>
      <c r="U40" s="26" t="n">
        <v>0</v>
      </c>
      <c r="AA40" s="26">
        <f>SUM(O40:U40)</f>
        <v/>
      </c>
      <c r="AB40" s="26">
        <f>SUM(O40:Z40)</f>
        <v/>
      </c>
      <c r="AC40" s="26" t="n">
        <v>0</v>
      </c>
      <c r="AD40" s="26" t="n">
        <v>0</v>
      </c>
      <c r="AE40" s="26" t="n">
        <v>0</v>
      </c>
      <c r="AF40" s="26" t="n">
        <v>0</v>
      </c>
      <c r="AG40" s="26" t="n">
        <v>0</v>
      </c>
      <c r="AH40" s="26" t="n">
        <v>0</v>
      </c>
      <c r="AI40" s="10">
        <f>SUM(AC40:AH40)</f>
        <v/>
      </c>
      <c r="AJ40" s="26">
        <f>SUM(AC40:AH40)+AI40</f>
        <v/>
      </c>
      <c r="AK40" s="11">
        <f>IF(N40&lt;&gt;0,(AB40-N40)/ABS(N40),0)</f>
        <v/>
      </c>
      <c r="AL40" s="11">
        <f>IF(AB40&lt;&gt;0,(AJ40-AB40)/ABS(AB40),0)</f>
        <v/>
      </c>
    </row>
    <row r="41" ht="13" customHeight="1">
      <c r="A41" s="25" t="inlineStr">
        <is>
          <t xml:space="preserve">    Marketing</t>
        </is>
      </c>
      <c r="B41" s="26" t="n">
        <v>0</v>
      </c>
      <c r="C41" s="26" t="n">
        <v>0</v>
      </c>
      <c r="D41" s="26" t="n">
        <v>588.8100000000001</v>
      </c>
      <c r="E41" s="26" t="n">
        <v>0</v>
      </c>
      <c r="F41" s="26" t="n">
        <v>0</v>
      </c>
      <c r="G41" s="26" t="n">
        <v>45</v>
      </c>
      <c r="H41" s="26" t="n">
        <v>0</v>
      </c>
      <c r="I41" s="26" t="n">
        <v>45</v>
      </c>
      <c r="J41" s="26" t="n">
        <v>0</v>
      </c>
      <c r="K41" s="26" t="n">
        <v>0</v>
      </c>
      <c r="L41" s="26" t="n">
        <v>0</v>
      </c>
      <c r="M41" s="26" t="n">
        <v>0</v>
      </c>
      <c r="N41" s="26">
        <f>SUM(B41:M41)</f>
        <v/>
      </c>
      <c r="O41" s="26" t="n">
        <v>135</v>
      </c>
      <c r="P41" s="26" t="n">
        <v>0</v>
      </c>
      <c r="Q41" s="26" t="n">
        <v>0</v>
      </c>
      <c r="R41" s="26" t="n">
        <v>147</v>
      </c>
      <c r="S41" s="26" t="n">
        <v>6.99</v>
      </c>
      <c r="T41" s="26" t="n">
        <v>220</v>
      </c>
      <c r="U41" s="26" t="n">
        <v>0</v>
      </c>
      <c r="AA41" s="26">
        <f>SUM(O41:U41)</f>
        <v/>
      </c>
      <c r="AB41" s="26">
        <f>SUM(O41:Z41)</f>
        <v/>
      </c>
      <c r="AC41" s="26" t="n">
        <v>106</v>
      </c>
      <c r="AD41" s="26" t="n">
        <v>106</v>
      </c>
      <c r="AE41" s="26" t="n">
        <v>106</v>
      </c>
      <c r="AF41" s="26" t="n">
        <v>106</v>
      </c>
      <c r="AG41" s="26" t="n">
        <v>106</v>
      </c>
      <c r="AH41" s="26" t="n">
        <v>106</v>
      </c>
      <c r="AI41" s="10">
        <f>SUM(AC41:AH41)</f>
        <v/>
      </c>
      <c r="AJ41" s="26">
        <f>SUM(AC41:AH41)+AI41</f>
        <v/>
      </c>
      <c r="AK41" s="11">
        <f>IF(N41&lt;&gt;0,(AB41-N41)/ABS(N41),0)</f>
        <v/>
      </c>
      <c r="AL41" s="11">
        <f>IF(AB41&lt;&gt;0,(AJ41-AB41)/ABS(AB41),0)</f>
        <v/>
      </c>
    </row>
    <row r="42" ht="13" customHeight="1">
      <c r="A42" s="27" t="inlineStr">
        <is>
          <t>Total Premises &amp; Admin</t>
        </is>
      </c>
      <c r="B42" s="28">
        <f>B33+B34+B35+B36+B37+B38+B39+B40+B41</f>
        <v/>
      </c>
      <c r="C42" s="28">
        <f>C33+C34+C35+C36+C37+C38+C39+C40+C41</f>
        <v/>
      </c>
      <c r="D42" s="28">
        <f>D33+D34+D35+D36+D37+D38+D39+D40+D41</f>
        <v/>
      </c>
      <c r="E42" s="28">
        <f>E33+E34+E35+E36+E37+E38+E39+E40+E41</f>
        <v/>
      </c>
      <c r="F42" s="28">
        <f>F33+F34+F35+F36+F37+F38+F39+F40+F41</f>
        <v/>
      </c>
      <c r="G42" s="28">
        <f>G33+G34+G35+G36+G37+G38+G39+G40+G41</f>
        <v/>
      </c>
      <c r="H42" s="28">
        <f>H33+H34+H35+H36+H37+H38+H39+H40+H41</f>
        <v/>
      </c>
      <c r="I42" s="28">
        <f>I33+I34+I35+I36+I37+I38+I39+I40+I41</f>
        <v/>
      </c>
      <c r="J42" s="28">
        <f>J33+J34+J35+J36+J37+J38+J39+J40+J41</f>
        <v/>
      </c>
      <c r="K42" s="28">
        <f>K33+K34+K35+K36+K37+K38+K39+K40+K41</f>
        <v/>
      </c>
      <c r="L42" s="28">
        <f>L33+L34+L35+L36+L37+L38+L39+L40+L41</f>
        <v/>
      </c>
      <c r="M42" s="28">
        <f>M33+M34+M35+M36+M37+M38+M39+M40+M41</f>
        <v/>
      </c>
      <c r="N42" s="28">
        <f>N33+N34+N35+N36+N37+N38+N39+N40+N41</f>
        <v/>
      </c>
      <c r="O42" s="28">
        <f>O33+O34+O35+O36+O37+O38+O39+O40+O41</f>
        <v/>
      </c>
      <c r="P42" s="28">
        <f>P33+P34+P35+P36+P37+P38+P39+P40+P41</f>
        <v/>
      </c>
      <c r="Q42" s="28">
        <f>Q33+Q34+Q35+Q36+Q37+Q38+Q39+Q40+Q41</f>
        <v/>
      </c>
      <c r="R42" s="28">
        <f>R33+R34+R35+R36+R37+R38+R39+R40+R41</f>
        <v/>
      </c>
      <c r="S42" s="28">
        <f>S33+S34+S35+S36+S37+S38+S39+S40+S41</f>
        <v/>
      </c>
      <c r="T42" s="28">
        <f>T33+T34+T35+T36+T37+T38+T39+T40+T41</f>
        <v/>
      </c>
      <c r="U42" s="28">
        <f>U33+U34+U35+U36+U37+U38+U39+U40+U41</f>
        <v/>
      </c>
      <c r="V42" s="28">
        <f>V33+V34+V35+V36+V37+V38+V39+V40+V41</f>
        <v/>
      </c>
      <c r="W42" s="28">
        <f>W33+W34+W35+W36+W37+W38+W39+W40+W41</f>
        <v/>
      </c>
      <c r="X42" s="28">
        <f>X33+X34+X35+X36+X37+X38+X39+X40+X41</f>
        <v/>
      </c>
      <c r="Y42" s="28">
        <f>Y33+Y34+Y35+Y36+Y37+Y38+Y39+Y40+Y41</f>
        <v/>
      </c>
      <c r="Z42" s="28">
        <f>Z33+Z34+Z35+Z36+Z37+Z38+Z39+Z40+Z41</f>
        <v/>
      </c>
      <c r="AA42" s="28">
        <f>AA33+AA34+AA35+AA36+AA37+AA38+AA39+AA40+AA41</f>
        <v/>
      </c>
      <c r="AB42" s="28">
        <f>AB33+AB34+AB35+AB36+AB37+AB38+AB39+AB40+AB41</f>
        <v/>
      </c>
      <c r="AC42" s="28">
        <f>AC33+AC34+AC35+AC36+AC37+AC38+AC39+AC40+AC41</f>
        <v/>
      </c>
      <c r="AD42" s="28">
        <f>AD33+AD34+AD35+AD36+AD37+AD38+AD39+AD40+AD41</f>
        <v/>
      </c>
      <c r="AE42" s="28">
        <f>AE33+AE34+AE35+AE36+AE37+AE38+AE39+AE40+AE41</f>
        <v/>
      </c>
      <c r="AF42" s="28">
        <f>AF33+AF34+AF35+AF36+AF37+AF38+AF39+AF40+AF41</f>
        <v/>
      </c>
      <c r="AG42" s="28">
        <f>AG33+AG34+AG35+AG36+AG37+AG38+AG39+AG40+AG41</f>
        <v/>
      </c>
      <c r="AH42" s="28">
        <f>AH33+AH34+AH35+AH36+AH37+AH38+AH39+AH40+AH41</f>
        <v/>
      </c>
      <c r="AI42" s="28">
        <f>AI33+AI34+AI35+AI36+AI37+AI38+AI39+AI40+AI41</f>
        <v/>
      </c>
      <c r="AJ42" s="28">
        <f>AJ33+AJ34+AJ35+AJ36+AJ37+AJ38+AJ39+AJ40+AJ41</f>
        <v/>
      </c>
      <c r="AK42" s="11">
        <f>IF(N42&lt;&gt;0,(AB42-N42)/ABS(N42),0)</f>
        <v/>
      </c>
      <c r="AL42" s="11">
        <f>IF(AB42&lt;&gt;0,(AJ42-AB42)/ABS(AB42),0)</f>
        <v/>
      </c>
    </row>
    <row r="43" ht="5" customHeight="1"/>
    <row r="44" ht="13" customHeight="1">
      <c r="A44" s="29" t="inlineStr">
        <is>
          <t>Total Direct Costs</t>
        </is>
      </c>
      <c r="AK44" s="11">
        <f>IF(N44&lt;&gt;0,(AB44-N44)/ABS(N44),0)</f>
        <v/>
      </c>
      <c r="AL44" s="11">
        <f>IF(AB44&lt;&gt;0,(AJ44-AB44)/ABS(AB44),0)</f>
        <v/>
      </c>
    </row>
    <row r="45" ht="5" customHeight="1"/>
    <row r="46" ht="15" customHeight="1">
      <c r="A46" s="30" t="inlineStr">
        <is>
          <t>CONTRIBUTION</t>
        </is>
      </c>
      <c r="B46" s="31">
        <f>B7-B44</f>
        <v/>
      </c>
      <c r="C46" s="31">
        <f>C7-C44</f>
        <v/>
      </c>
      <c r="D46" s="31">
        <f>D7-D44</f>
        <v/>
      </c>
      <c r="E46" s="31">
        <f>E7-E44</f>
        <v/>
      </c>
      <c r="F46" s="31">
        <f>F7-F44</f>
        <v/>
      </c>
      <c r="G46" s="31">
        <f>G7-G44</f>
        <v/>
      </c>
      <c r="H46" s="31">
        <f>H7-H44</f>
        <v/>
      </c>
      <c r="I46" s="31">
        <f>I7-I44</f>
        <v/>
      </c>
      <c r="J46" s="31">
        <f>J7-J44</f>
        <v/>
      </c>
      <c r="K46" s="31">
        <f>K7-K44</f>
        <v/>
      </c>
      <c r="L46" s="31">
        <f>L7-L44</f>
        <v/>
      </c>
      <c r="M46" s="31">
        <f>M7-M44</f>
        <v/>
      </c>
      <c r="N46" s="31">
        <f>N7-N44</f>
        <v/>
      </c>
      <c r="O46" s="31">
        <f>O7-O44</f>
        <v/>
      </c>
      <c r="P46" s="31">
        <f>P7-P44</f>
        <v/>
      </c>
      <c r="Q46" s="31">
        <f>Q7-Q44</f>
        <v/>
      </c>
      <c r="R46" s="31">
        <f>R7-R44</f>
        <v/>
      </c>
      <c r="S46" s="31">
        <f>S7-S44</f>
        <v/>
      </c>
      <c r="T46" s="31">
        <f>T7-T44</f>
        <v/>
      </c>
      <c r="U46" s="31">
        <f>U7-U44</f>
        <v/>
      </c>
      <c r="V46" s="31">
        <f>V7-V44</f>
        <v/>
      </c>
      <c r="W46" s="31">
        <f>W7-W44</f>
        <v/>
      </c>
      <c r="X46" s="31">
        <f>X7-X44</f>
        <v/>
      </c>
      <c r="Y46" s="31">
        <f>Y7-Y44</f>
        <v/>
      </c>
      <c r="Z46" s="31">
        <f>Z7-Z44</f>
        <v/>
      </c>
      <c r="AA46" s="31">
        <f>AA7-AA44</f>
        <v/>
      </c>
      <c r="AB46" s="31">
        <f>AB7-AB44</f>
        <v/>
      </c>
      <c r="AC46" s="31">
        <f>AC7-AC44</f>
        <v/>
      </c>
      <c r="AD46" s="31">
        <f>AD7-AD44</f>
        <v/>
      </c>
      <c r="AE46" s="31">
        <f>AE7-AE44</f>
        <v/>
      </c>
      <c r="AF46" s="31">
        <f>AF7-AF44</f>
        <v/>
      </c>
      <c r="AG46" s="31">
        <f>AG7-AG44</f>
        <v/>
      </c>
      <c r="AH46" s="31">
        <f>AH7-AH44</f>
        <v/>
      </c>
      <c r="AI46" s="31">
        <f>AI7-AI44</f>
        <v/>
      </c>
      <c r="AJ46" s="31">
        <f>AJ7-AJ44</f>
        <v/>
      </c>
      <c r="AK46" s="11">
        <f>IF(N46&lt;&gt;0,(AB46-N46)/ABS(N46),0)</f>
        <v/>
      </c>
      <c r="AL46" s="11">
        <f>IF(AB46&lt;&gt;0,(AJ46-AB46)/ABS(AB46),0)</f>
        <v/>
      </c>
    </row>
  </sheetData>
  <mergeCells count="8">
    <mergeCell ref="A10:AL10"/>
    <mergeCell ref="B1:N1"/>
    <mergeCell ref="A23:AL23"/>
    <mergeCell ref="A32:AL32"/>
    <mergeCell ref="AC1:AJ1"/>
    <mergeCell ref="A9:AL9"/>
    <mergeCell ref="A3:AL3"/>
    <mergeCell ref="O1:A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4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9.5" customWidth="1" min="27" max="27"/>
    <col width="9.5" customWidth="1" min="28" max="28"/>
    <col width="9.5" customWidth="1" min="29" max="29"/>
    <col width="9.5" customWidth="1" min="30" max="30"/>
    <col width="9.5" customWidth="1" min="31" max="31"/>
    <col width="9.5" customWidth="1" min="32" max="32"/>
    <col width="9.5" customWidth="1" min="33" max="33"/>
    <col width="9.5" customWidth="1" min="34" max="34"/>
    <col width="9.5" customWidth="1" min="35" max="35"/>
    <col width="11" customWidth="1" min="36" max="36"/>
    <col width="10" customWidth="1" min="37" max="37"/>
    <col width="10" customWidth="1" min="38" max="38"/>
  </cols>
  <sheetData>
    <row r="1" ht="18" customHeight="1">
      <c r="A1" s="1" t="inlineStr">
        <is>
          <t>Bees Knees</t>
        </is>
      </c>
      <c r="B1" s="2" t="inlineStr">
        <is>
          <t>Actuals 2025</t>
        </is>
      </c>
      <c r="O1" s="2" t="inlineStr">
        <is>
          <t>2026 Actual / Forecast</t>
        </is>
      </c>
      <c r="AC1" s="2" t="inlineStr">
        <is>
          <t>2027 Forecast</t>
        </is>
      </c>
      <c r="AK1" s="3" t="inlineStr">
        <is>
          <t>YoY</t>
        </is>
      </c>
      <c r="AL1" s="3" t="inlineStr">
        <is>
          <t>YoY</t>
        </is>
      </c>
    </row>
    <row r="2" ht="22" customHeight="1">
      <c r="B2" s="4" t="inlineStr">
        <is>
          <t>Jan</t>
        </is>
      </c>
      <c r="C2" s="4" t="inlineStr">
        <is>
          <t>Feb</t>
        </is>
      </c>
      <c r="D2" s="4" t="inlineStr">
        <is>
          <t>Mar</t>
        </is>
      </c>
      <c r="E2" s="4" t="inlineStr">
        <is>
          <t>Apr</t>
        </is>
      </c>
      <c r="F2" s="4" t="inlineStr">
        <is>
          <t>May</t>
        </is>
      </c>
      <c r="G2" s="4" t="inlineStr">
        <is>
          <t>Jun</t>
        </is>
      </c>
      <c r="H2" s="4" t="inlineStr">
        <is>
          <t>Jul</t>
        </is>
      </c>
      <c r="I2" s="4" t="inlineStr">
        <is>
          <t>Aug</t>
        </is>
      </c>
      <c r="J2" s="4" t="inlineStr">
        <is>
          <t>Sep</t>
        </is>
      </c>
      <c r="K2" s="4" t="inlineStr">
        <is>
          <t>Oct</t>
        </is>
      </c>
      <c r="L2" s="4" t="inlineStr">
        <is>
          <t>Nov</t>
        </is>
      </c>
      <c r="M2" s="4" t="inlineStr">
        <is>
          <t>Dec</t>
        </is>
      </c>
      <c r="N2" s="5" t="inlineStr">
        <is>
          <t>FY2025
Total</t>
        </is>
      </c>
      <c r="O2" s="4" t="inlineStr">
        <is>
          <t>Jan</t>
        </is>
      </c>
      <c r="P2" s="4" t="inlineStr">
        <is>
          <t>Feb</t>
        </is>
      </c>
      <c r="Q2" s="4" t="inlineStr">
        <is>
          <t>Mar</t>
        </is>
      </c>
      <c r="R2" s="4" t="inlineStr">
        <is>
          <t>Apr</t>
        </is>
      </c>
      <c r="S2" s="4" t="inlineStr">
        <is>
          <t>May</t>
        </is>
      </c>
      <c r="T2" s="4" t="inlineStr">
        <is>
          <t>Jun</t>
        </is>
      </c>
      <c r="U2" s="4" t="inlineStr">
        <is>
          <t>Jul</t>
        </is>
      </c>
      <c r="V2" s="4" t="inlineStr">
        <is>
          <t>Aug</t>
        </is>
      </c>
      <c r="W2" s="4" t="inlineStr">
        <is>
          <t>Sep</t>
        </is>
      </c>
      <c r="X2" s="4" t="inlineStr">
        <is>
          <t>Oct</t>
        </is>
      </c>
      <c r="Y2" s="4" t="inlineStr">
        <is>
          <t>Nov</t>
        </is>
      </c>
      <c r="Z2" s="4" t="inlineStr">
        <is>
          <t>Dec</t>
        </is>
      </c>
      <c r="AA2" s="4" t="inlineStr">
        <is>
          <t>YTD</t>
        </is>
      </c>
      <c r="AB2" s="5" t="inlineStr">
        <is>
          <t>FY2026
Outlook</t>
        </is>
      </c>
      <c r="AC2" s="4" t="inlineStr">
        <is>
          <t>Jan</t>
        </is>
      </c>
      <c r="AD2" s="4" t="inlineStr">
        <is>
          <t>Feb</t>
        </is>
      </c>
      <c r="AE2" s="4" t="inlineStr">
        <is>
          <t>Mar</t>
        </is>
      </c>
      <c r="AF2" s="4" t="inlineStr">
        <is>
          <t>Apr</t>
        </is>
      </c>
      <c r="AG2" s="4" t="inlineStr">
        <is>
          <t>May</t>
        </is>
      </c>
      <c r="AH2" s="4" t="inlineStr">
        <is>
          <t>Jun</t>
        </is>
      </c>
      <c r="AI2" s="6" t="inlineStr">
        <is>
          <t>Jul-Dec
Proj.</t>
        </is>
      </c>
      <c r="AJ2" s="4" t="inlineStr">
        <is>
          <t>FY2027</t>
        </is>
      </c>
      <c r="AK2" s="6" t="inlineStr">
        <is>
          <t>25→26
%</t>
        </is>
      </c>
      <c r="AL2" s="6" t="inlineStr">
        <is>
          <t>26→27
%</t>
        </is>
      </c>
    </row>
    <row r="3" ht="15" customHeight="1">
      <c r="A3" s="7" t="inlineStr">
        <is>
          <t>INCOME</t>
        </is>
      </c>
    </row>
    <row r="4" ht="13" customHeight="1">
      <c r="A4" s="8" t="inlineStr">
        <is>
          <t xml:space="preserve">    Fee Income Regular</t>
        </is>
      </c>
      <c r="B4" s="9" t="n">
        <v>28822.91</v>
      </c>
      <c r="C4" s="9" t="n">
        <v>27527.48</v>
      </c>
      <c r="D4" s="9" t="n">
        <v>31969.83</v>
      </c>
      <c r="E4" s="9" t="n">
        <v>35157.71</v>
      </c>
      <c r="F4" s="9" t="n">
        <v>28423.99</v>
      </c>
      <c r="G4" s="9" t="n">
        <v>26822.46</v>
      </c>
      <c r="H4" s="9" t="n">
        <v>35071.73</v>
      </c>
      <c r="I4" s="9" t="n">
        <v>29292.16</v>
      </c>
      <c r="J4" s="9" t="n">
        <v>20414.75</v>
      </c>
      <c r="K4" s="9" t="n">
        <v>19819.13</v>
      </c>
      <c r="L4" s="9" t="n">
        <v>18348.67</v>
      </c>
      <c r="M4" s="9" t="n">
        <v>27249.99</v>
      </c>
      <c r="N4" s="9">
        <f>SUM(B4:M4)</f>
        <v/>
      </c>
      <c r="O4" s="9" t="n">
        <v>23326.89999999999</v>
      </c>
      <c r="P4" s="9" t="n">
        <v>20657.48</v>
      </c>
      <c r="Q4" s="9" t="n">
        <v>21148.33</v>
      </c>
      <c r="R4" s="9" t="n">
        <v>24565.23000000001</v>
      </c>
      <c r="S4" s="9" t="n">
        <v>21826.64</v>
      </c>
      <c r="T4" s="9" t="n">
        <v>23094.61</v>
      </c>
      <c r="U4" s="9" t="n">
        <v>27100.72</v>
      </c>
      <c r="AA4" s="9">
        <f>SUM(O4:U4)</f>
        <v/>
      </c>
      <c r="AB4" s="9">
        <f>SUM(O4:Z4)</f>
        <v/>
      </c>
      <c r="AC4" s="9" t="n">
        <v>33849.27</v>
      </c>
      <c r="AD4" s="9" t="n">
        <v>40863.29</v>
      </c>
      <c r="AE4" s="9" t="n">
        <v>33168.87</v>
      </c>
      <c r="AF4" s="9" t="n">
        <v>37302.1</v>
      </c>
      <c r="AG4" s="9" t="n">
        <v>39624.94</v>
      </c>
      <c r="AH4" s="9" t="n">
        <v>49227.72</v>
      </c>
      <c r="AI4" s="10">
        <f>SUM(AC4:AH4)</f>
        <v/>
      </c>
      <c r="AJ4" s="9">
        <f>SUM(AC4:AH4)+AI4</f>
        <v/>
      </c>
      <c r="AK4" s="11">
        <f>IF(N4&lt;&gt;0,(AB4-N4)/ABS(N4),0)</f>
        <v/>
      </c>
      <c r="AL4" s="11">
        <f>IF(AB4&lt;&gt;0,(AJ4-AB4)/ABS(AB4),0)</f>
        <v/>
      </c>
    </row>
    <row r="5" ht="13" customHeight="1">
      <c r="A5" s="8" t="inlineStr">
        <is>
          <t xml:space="preserve">    EEEF Embedded</t>
        </is>
      </c>
      <c r="B5" s="9" t="n">
        <v>8562.4</v>
      </c>
      <c r="C5" s="9" t="n">
        <v>8562.4</v>
      </c>
      <c r="D5" s="9" t="n">
        <v>33256.45</v>
      </c>
      <c r="E5" s="9" t="n">
        <v>10591.2</v>
      </c>
      <c r="F5" s="9" t="n">
        <v>10591.2</v>
      </c>
      <c r="G5" s="9" t="n">
        <v>21480.3</v>
      </c>
      <c r="H5" s="9" t="n">
        <v>21480.3</v>
      </c>
      <c r="I5" s="9" t="n">
        <v>0</v>
      </c>
      <c r="J5" s="9" t="n">
        <v>15872.22</v>
      </c>
      <c r="K5" s="9" t="n">
        <v>15872.22</v>
      </c>
      <c r="L5" s="9" t="n">
        <v>18615.75</v>
      </c>
      <c r="M5" s="9" t="n">
        <v>19798.35</v>
      </c>
      <c r="N5" s="9">
        <f>SUM(B5:M5)</f>
        <v/>
      </c>
      <c r="O5" s="9" t="n">
        <v>18772.32</v>
      </c>
      <c r="P5" s="9" t="n">
        <v>23544.12</v>
      </c>
      <c r="Q5" s="9" t="n">
        <v>23544.12</v>
      </c>
      <c r="R5" s="9" t="n">
        <v>16732.05</v>
      </c>
      <c r="S5" s="9" t="n">
        <v>16732.05</v>
      </c>
      <c r="T5" s="9" t="n">
        <v>18043.28</v>
      </c>
      <c r="U5" s="9" t="n">
        <v>18043.28</v>
      </c>
      <c r="AA5" s="9">
        <f>SUM(O5:U5)</f>
        <v/>
      </c>
      <c r="AB5" s="9">
        <f>SUM(O5:Z5)</f>
        <v/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10">
        <f>SUM(AC5:AH5)</f>
        <v/>
      </c>
      <c r="AJ5" s="9">
        <f>SUM(AC5:AH5)+AI5</f>
        <v/>
      </c>
      <c r="AK5" s="11">
        <f>IF(N5&lt;&gt;0,(AB5-N5)/ABS(N5),0)</f>
        <v/>
      </c>
      <c r="AL5" s="11">
        <f>IF(AB5&lt;&gt;0,(AJ5-AB5)/ABS(AB5),0)</f>
        <v/>
      </c>
    </row>
    <row r="6" ht="13" customHeight="1">
      <c r="A6" s="8" t="inlineStr">
        <is>
          <t xml:space="preserve">    Other Income</t>
        </is>
      </c>
      <c r="B6" s="9" t="n">
        <v>100</v>
      </c>
      <c r="C6" s="9" t="n">
        <v>0</v>
      </c>
      <c r="D6" s="9" t="n">
        <v>100</v>
      </c>
      <c r="E6" s="9" t="n">
        <v>300</v>
      </c>
      <c r="F6" s="9" t="n">
        <v>0</v>
      </c>
      <c r="G6" s="9" t="n">
        <v>300</v>
      </c>
      <c r="H6" s="9" t="n">
        <v>0</v>
      </c>
      <c r="I6" s="9" t="n">
        <v>2568.76</v>
      </c>
      <c r="J6" s="9" t="n">
        <v>450</v>
      </c>
      <c r="K6" s="9" t="n">
        <v>150</v>
      </c>
      <c r="L6" s="9" t="n">
        <v>300</v>
      </c>
      <c r="M6" s="9" t="n">
        <v>300</v>
      </c>
      <c r="N6" s="9">
        <f>SUM(B6:M6)</f>
        <v/>
      </c>
      <c r="O6" s="9" t="n">
        <v>650</v>
      </c>
      <c r="P6" s="9" t="n">
        <v>150</v>
      </c>
      <c r="Q6" s="9" t="n">
        <v>300</v>
      </c>
      <c r="R6" s="9" t="n">
        <v>150</v>
      </c>
      <c r="S6" s="9" t="n">
        <v>150</v>
      </c>
      <c r="T6" s="9" t="n">
        <v>0</v>
      </c>
      <c r="U6" s="9" t="n">
        <v>300</v>
      </c>
      <c r="AA6" s="9">
        <f>SUM(O6:U6)</f>
        <v/>
      </c>
      <c r="AB6" s="9">
        <f>SUM(O6:Z6)</f>
        <v/>
      </c>
      <c r="AC6" s="9" t="n">
        <v>0</v>
      </c>
      <c r="AD6" s="9" t="n">
        <v>0</v>
      </c>
      <c r="AE6" s="9" t="n">
        <v>0</v>
      </c>
      <c r="AF6" s="9" t="n">
        <v>0</v>
      </c>
      <c r="AG6" s="9" t="n">
        <v>0</v>
      </c>
      <c r="AH6" s="9" t="n">
        <v>0</v>
      </c>
      <c r="AI6" s="10">
        <f>SUM(AC6:AH6)</f>
        <v/>
      </c>
      <c r="AJ6" s="9">
        <f>SUM(AC6:AH6)+AI6</f>
        <v/>
      </c>
      <c r="AK6" s="11">
        <f>IF(N6&lt;&gt;0,(AB6-N6)/ABS(N6),0)</f>
        <v/>
      </c>
      <c r="AL6" s="11">
        <f>IF(AB6&lt;&gt;0,(AJ6-AB6)/ABS(AB6),0)</f>
        <v/>
      </c>
    </row>
    <row r="7" ht="13" customHeight="1">
      <c r="A7" s="12" t="inlineStr">
        <is>
          <t>Total Income</t>
        </is>
      </c>
      <c r="B7" s="13">
        <f>B4+B5+B6</f>
        <v/>
      </c>
      <c r="C7" s="13">
        <f>C4+C5+C6</f>
        <v/>
      </c>
      <c r="D7" s="13">
        <f>D4+D5+D6</f>
        <v/>
      </c>
      <c r="E7" s="13">
        <f>E4+E5+E6</f>
        <v/>
      </c>
      <c r="F7" s="13">
        <f>F4+F5+F6</f>
        <v/>
      </c>
      <c r="G7" s="13">
        <f>G4+G5+G6</f>
        <v/>
      </c>
      <c r="H7" s="13">
        <f>H4+H5+H6</f>
        <v/>
      </c>
      <c r="I7" s="13">
        <f>I4+I5+I6</f>
        <v/>
      </c>
      <c r="J7" s="13">
        <f>J4+J5+J6</f>
        <v/>
      </c>
      <c r="K7" s="13">
        <f>K4+K5+K6</f>
        <v/>
      </c>
      <c r="L7" s="13">
        <f>L4+L5+L6</f>
        <v/>
      </c>
      <c r="M7" s="13">
        <f>M4+M5+M6</f>
        <v/>
      </c>
      <c r="N7" s="13">
        <f>N4+N5+N6</f>
        <v/>
      </c>
      <c r="O7" s="13">
        <f>O4+O5+O6</f>
        <v/>
      </c>
      <c r="P7" s="13">
        <f>P4+P5+P6</f>
        <v/>
      </c>
      <c r="Q7" s="13">
        <f>Q4+Q5+Q6</f>
        <v/>
      </c>
      <c r="R7" s="13">
        <f>R4+R5+R6</f>
        <v/>
      </c>
      <c r="S7" s="13">
        <f>S4+S5+S6</f>
        <v/>
      </c>
      <c r="T7" s="13">
        <f>T4+T5+T6</f>
        <v/>
      </c>
      <c r="U7" s="13">
        <f>U4+U5+U6</f>
        <v/>
      </c>
      <c r="V7" s="13">
        <f>V4+V5+V6</f>
        <v/>
      </c>
      <c r="W7" s="13">
        <f>W4+W5+W6</f>
        <v/>
      </c>
      <c r="X7" s="13">
        <f>X4+X5+X6</f>
        <v/>
      </c>
      <c r="Y7" s="13">
        <f>Y4+Y5+Y6</f>
        <v/>
      </c>
      <c r="Z7" s="13">
        <f>Z4+Z5+Z6</f>
        <v/>
      </c>
      <c r="AA7" s="13">
        <f>AA4+AA5+AA6</f>
        <v/>
      </c>
      <c r="AB7" s="13">
        <f>AB4+AB5+AB6</f>
        <v/>
      </c>
      <c r="AC7" s="13">
        <f>AC4+AC5+AC6</f>
        <v/>
      </c>
      <c r="AD7" s="13">
        <f>AD4+AD5+AD6</f>
        <v/>
      </c>
      <c r="AE7" s="13">
        <f>AE4+AE5+AE6</f>
        <v/>
      </c>
      <c r="AF7" s="13">
        <f>AF4+AF5+AF6</f>
        <v/>
      </c>
      <c r="AG7" s="13">
        <f>AG4+AG5+AG6</f>
        <v/>
      </c>
      <c r="AH7" s="13">
        <f>AH4+AH5+AH6</f>
        <v/>
      </c>
      <c r="AI7" s="13">
        <f>AI4+AI5+AI6</f>
        <v/>
      </c>
      <c r="AJ7" s="13">
        <f>AJ4+AJ5+AJ6</f>
        <v/>
      </c>
      <c r="AK7" s="11">
        <f>IF(N7&lt;&gt;0,(AB7-N7)/ABS(N7),0)</f>
        <v/>
      </c>
      <c r="AL7" s="11">
        <f>IF(AB7&lt;&gt;0,(AJ7-AB7)/ABS(AB7),0)</f>
        <v/>
      </c>
    </row>
    <row r="8" ht="5" customHeight="1"/>
    <row r="9" ht="15" customHeight="1">
      <c r="A9" s="7" t="inlineStr">
        <is>
          <t>DIRECT COSTS</t>
        </is>
      </c>
    </row>
    <row r="10" ht="13" customHeight="1">
      <c r="A10" s="14" t="inlineStr">
        <is>
          <t>Personnel</t>
        </is>
      </c>
    </row>
    <row r="11" ht="13" customHeight="1">
      <c r="A11" s="15" t="inlineStr">
        <is>
          <t xml:space="preserve">    Nursery Salaries</t>
        </is>
      </c>
      <c r="B11" s="16" t="n">
        <v>17812.5</v>
      </c>
      <c r="C11" s="16" t="n">
        <v>17339.68</v>
      </c>
      <c r="D11" s="16" t="n">
        <v>20177.72</v>
      </c>
      <c r="E11" s="16" t="n">
        <v>22232.54</v>
      </c>
      <c r="F11" s="16" t="n">
        <v>22270.94</v>
      </c>
      <c r="G11" s="16" t="n">
        <v>23588.71</v>
      </c>
      <c r="H11" s="16" t="n">
        <v>23343.5</v>
      </c>
      <c r="I11" s="16" t="n">
        <v>23511.85</v>
      </c>
      <c r="J11" s="16" t="n">
        <v>20681.56</v>
      </c>
      <c r="K11" s="16" t="n">
        <v>22301.58</v>
      </c>
      <c r="L11" s="16" t="n">
        <v>19748.45</v>
      </c>
      <c r="M11" s="16" t="n">
        <v>21714.13</v>
      </c>
      <c r="N11" s="16">
        <f>SUM(B11:M11)</f>
        <v/>
      </c>
      <c r="O11" s="16" t="n">
        <v>22032.4</v>
      </c>
      <c r="P11" s="16" t="n">
        <v>23448.09</v>
      </c>
      <c r="Q11" s="16" t="n">
        <v>21766.47</v>
      </c>
      <c r="R11" s="16" t="n">
        <v>24395.78</v>
      </c>
      <c r="S11" s="16" t="n">
        <v>23187.74</v>
      </c>
      <c r="T11" s="16" t="n">
        <v>23614.63</v>
      </c>
      <c r="U11" s="16" t="n">
        <v>23226.6</v>
      </c>
      <c r="AA11" s="16">
        <f>SUM(O11:U11)</f>
        <v/>
      </c>
      <c r="AB11" s="16">
        <f>SUM(O11:Z11)</f>
        <v/>
      </c>
      <c r="AC11" s="16" t="n">
        <v>23226.6</v>
      </c>
      <c r="AD11" s="16" t="n">
        <v>23226.6</v>
      </c>
      <c r="AE11" s="16" t="n">
        <v>23226.6</v>
      </c>
      <c r="AF11" s="16" t="n">
        <v>23226.6</v>
      </c>
      <c r="AG11" s="16" t="n">
        <v>23226.6</v>
      </c>
      <c r="AH11" s="16" t="n">
        <v>23226.6</v>
      </c>
      <c r="AI11" s="10">
        <f>SUM(AC11:AH11)</f>
        <v/>
      </c>
      <c r="AJ11" s="16">
        <f>SUM(AC11:AH11)+AI11</f>
        <v/>
      </c>
      <c r="AK11" s="11">
        <f>IF(N11&lt;&gt;0,(AB11-N11)/ABS(N11),0)</f>
        <v/>
      </c>
      <c r="AL11" s="11">
        <f>IF(AB11&lt;&gt;0,(AJ11-AB11)/ABS(AB11),0)</f>
        <v/>
      </c>
    </row>
    <row r="12" ht="13" customHeight="1">
      <c r="A12" s="15" t="inlineStr">
        <is>
          <t xml:space="preserve">    Nursery NI</t>
        </is>
      </c>
      <c r="B12" s="16" t="n">
        <v>1475.26</v>
      </c>
      <c r="C12" s="16" t="n">
        <v>1417.07</v>
      </c>
      <c r="D12" s="16" t="n">
        <v>1686.46</v>
      </c>
      <c r="E12" s="16" t="n">
        <v>2563.92</v>
      </c>
      <c r="F12" s="16" t="n">
        <v>2567.89</v>
      </c>
      <c r="G12" s="16" t="n">
        <v>2767.34</v>
      </c>
      <c r="H12" s="16" t="n">
        <v>2749.77</v>
      </c>
      <c r="I12" s="16" t="n">
        <v>2755.82</v>
      </c>
      <c r="J12" s="16" t="n">
        <v>2340.87</v>
      </c>
      <c r="K12" s="16" t="n">
        <v>2518.95</v>
      </c>
      <c r="L12" s="16" t="n">
        <v>2309.57</v>
      </c>
      <c r="M12" s="16" t="n">
        <v>2480.48</v>
      </c>
      <c r="N12" s="16">
        <f>SUM(B12:M12)</f>
        <v/>
      </c>
      <c r="O12" s="16" t="n">
        <v>2577.7</v>
      </c>
      <c r="P12" s="16" t="n">
        <v>2679.93</v>
      </c>
      <c r="Q12" s="16" t="n">
        <v>2363.36</v>
      </c>
      <c r="R12" s="16" t="n">
        <v>2662.5</v>
      </c>
      <c r="S12" s="16" t="n">
        <v>2390.53</v>
      </c>
      <c r="T12" s="16" t="n">
        <v>2246.22</v>
      </c>
      <c r="U12" s="16" t="n">
        <v>2177.1</v>
      </c>
      <c r="AA12" s="16">
        <f>SUM(O12:U12)</f>
        <v/>
      </c>
      <c r="AB12" s="16">
        <f>SUM(O12:Z12)</f>
        <v/>
      </c>
      <c r="AC12" s="16" t="n">
        <v>2177.1</v>
      </c>
      <c r="AD12" s="16" t="n">
        <v>2177.1</v>
      </c>
      <c r="AE12" s="16" t="n">
        <v>2177.1</v>
      </c>
      <c r="AF12" s="16" t="n">
        <v>2177.1</v>
      </c>
      <c r="AG12" s="16" t="n">
        <v>2177.1</v>
      </c>
      <c r="AH12" s="16" t="n">
        <v>2177.1</v>
      </c>
      <c r="AI12" s="10">
        <f>SUM(AC12:AH12)</f>
        <v/>
      </c>
      <c r="AJ12" s="16">
        <f>SUM(AC12:AH12)+AI12</f>
        <v/>
      </c>
      <c r="AK12" s="11">
        <f>IF(N12&lt;&gt;0,(AB12-N12)/ABS(N12),0)</f>
        <v/>
      </c>
      <c r="AL12" s="11">
        <f>IF(AB12&lt;&gt;0,(AJ12-AB12)/ABS(AB12),0)</f>
        <v/>
      </c>
    </row>
    <row r="13" ht="13" customHeight="1">
      <c r="A13" s="15" t="inlineStr">
        <is>
          <t xml:space="preserve">    Nursery Pension</t>
        </is>
      </c>
      <c r="B13" s="16" t="n">
        <v>347.13</v>
      </c>
      <c r="C13" s="16" t="n">
        <v>330.13</v>
      </c>
      <c r="D13" s="16" t="n">
        <v>333.41</v>
      </c>
      <c r="E13" s="16" t="n">
        <v>342.51</v>
      </c>
      <c r="F13" s="16" t="n">
        <v>397.67</v>
      </c>
      <c r="G13" s="16" t="n">
        <v>473.08</v>
      </c>
      <c r="H13" s="16" t="n">
        <v>489.34</v>
      </c>
      <c r="I13" s="16" t="n">
        <v>523.3099999999999</v>
      </c>
      <c r="J13" s="16" t="n">
        <v>440.32</v>
      </c>
      <c r="K13" s="16" t="n">
        <v>418.9</v>
      </c>
      <c r="L13" s="16" t="n">
        <v>382.73</v>
      </c>
      <c r="M13" s="16" t="n">
        <v>421.5700000000001</v>
      </c>
      <c r="N13" s="16">
        <f>SUM(B13:M13)</f>
        <v/>
      </c>
      <c r="O13" s="16" t="n">
        <v>404.05</v>
      </c>
      <c r="P13" s="16" t="n">
        <v>451.49</v>
      </c>
      <c r="Q13" s="16" t="n">
        <v>394.61</v>
      </c>
      <c r="R13" s="16" t="n">
        <v>507.74</v>
      </c>
      <c r="S13" s="16" t="n">
        <v>453.36</v>
      </c>
      <c r="T13" s="16" t="n">
        <v>427.58</v>
      </c>
      <c r="U13" s="16" t="n">
        <v>413.76</v>
      </c>
      <c r="AA13" s="16">
        <f>SUM(O13:U13)</f>
        <v/>
      </c>
      <c r="AB13" s="16">
        <f>SUM(O13:Z13)</f>
        <v/>
      </c>
      <c r="AC13" s="16" t="n">
        <v>413.76</v>
      </c>
      <c r="AD13" s="16" t="n">
        <v>413.76</v>
      </c>
      <c r="AE13" s="16" t="n">
        <v>413.76</v>
      </c>
      <c r="AF13" s="16" t="n">
        <v>413.76</v>
      </c>
      <c r="AG13" s="16" t="n">
        <v>413.76</v>
      </c>
      <c r="AH13" s="16" t="n">
        <v>413.76</v>
      </c>
      <c r="AI13" s="10">
        <f>SUM(AC13:AH13)</f>
        <v/>
      </c>
      <c r="AJ13" s="16">
        <f>SUM(AC13:AH13)+AI13</f>
        <v/>
      </c>
      <c r="AK13" s="11">
        <f>IF(N13&lt;&gt;0,(AB13-N13)/ABS(N13),0)</f>
        <v/>
      </c>
      <c r="AL13" s="11">
        <f>IF(AB13&lt;&gt;0,(AJ13-AB13)/ABS(AB13),0)</f>
        <v/>
      </c>
    </row>
    <row r="14" ht="13" customHeight="1">
      <c r="A14" s="15" t="inlineStr">
        <is>
          <t xml:space="preserve">    Uniform</t>
        </is>
      </c>
      <c r="B14" s="16" t="n">
        <v>0</v>
      </c>
      <c r="C14" s="16" t="n">
        <v>59.28</v>
      </c>
      <c r="D14" s="16" t="n">
        <v>0</v>
      </c>
      <c r="E14" s="16" t="n">
        <v>105.18</v>
      </c>
      <c r="F14" s="16" t="n">
        <v>155.4</v>
      </c>
      <c r="G14" s="16" t="n">
        <v>104.69</v>
      </c>
      <c r="H14" s="16" t="n">
        <v>11.99</v>
      </c>
      <c r="I14" s="16" t="n">
        <v>0</v>
      </c>
      <c r="J14" s="16" t="n">
        <v>0</v>
      </c>
      <c r="K14" s="16" t="n">
        <v>0</v>
      </c>
      <c r="L14" s="16" t="n">
        <v>0</v>
      </c>
      <c r="M14" s="16" t="n">
        <v>401.76</v>
      </c>
      <c r="N14" s="16">
        <f>SUM(B14:M14)</f>
        <v/>
      </c>
      <c r="O14" s="16" t="n">
        <v>0</v>
      </c>
      <c r="P14" s="16" t="n">
        <v>38.12</v>
      </c>
      <c r="Q14" s="16" t="n">
        <v>85.02</v>
      </c>
      <c r="R14" s="16" t="n">
        <v>51.5</v>
      </c>
      <c r="S14" s="16" t="n">
        <v>0</v>
      </c>
      <c r="T14" s="16" t="n">
        <v>0</v>
      </c>
      <c r="U14" s="16" t="n">
        <v>110.94</v>
      </c>
      <c r="AA14" s="16">
        <f>SUM(O14:U14)</f>
        <v/>
      </c>
      <c r="AB14" s="16">
        <f>SUM(O14:Z14)</f>
        <v/>
      </c>
      <c r="AC14" s="16" t="n">
        <v>50</v>
      </c>
      <c r="AD14" s="16" t="n">
        <v>50</v>
      </c>
      <c r="AE14" s="16" t="n">
        <v>50</v>
      </c>
      <c r="AF14" s="16" t="n">
        <v>50</v>
      </c>
      <c r="AG14" s="16" t="n">
        <v>50</v>
      </c>
      <c r="AH14" s="16" t="n">
        <v>50</v>
      </c>
      <c r="AI14" s="10">
        <f>SUM(AC14:AH14)</f>
        <v/>
      </c>
      <c r="AJ14" s="16">
        <f>SUM(AC14:AH14)+AI14</f>
        <v/>
      </c>
      <c r="AK14" s="11">
        <f>IF(N14&lt;&gt;0,(AB14-N14)/ABS(N14),0)</f>
        <v/>
      </c>
      <c r="AL14" s="11">
        <f>IF(AB14&lt;&gt;0,(AJ14-AB14)/ABS(AB14),0)</f>
        <v/>
      </c>
    </row>
    <row r="15" ht="13" customHeight="1">
      <c r="A15" s="15" t="inlineStr">
        <is>
          <t xml:space="preserve">    Training</t>
        </is>
      </c>
      <c r="B15" s="16" t="n">
        <v>57</v>
      </c>
      <c r="C15" s="16" t="n">
        <v>0</v>
      </c>
      <c r="D15" s="16" t="n">
        <v>0</v>
      </c>
      <c r="E15" s="16" t="n">
        <v>0</v>
      </c>
      <c r="F15" s="16" t="n">
        <v>0</v>
      </c>
      <c r="G15" s="16" t="n">
        <v>24</v>
      </c>
      <c r="H15" s="16" t="n">
        <v>0</v>
      </c>
      <c r="I15" s="16" t="n">
        <v>33</v>
      </c>
      <c r="J15" s="16" t="n">
        <v>0</v>
      </c>
      <c r="K15" s="16" t="n">
        <v>684</v>
      </c>
      <c r="L15" s="16" t="n">
        <v>172.6</v>
      </c>
      <c r="M15" s="16" t="n">
        <v>384</v>
      </c>
      <c r="N15" s="16">
        <f>SUM(B15:M15)</f>
        <v/>
      </c>
      <c r="O15" s="16" t="n">
        <v>0</v>
      </c>
      <c r="P15" s="16" t="n">
        <v>114</v>
      </c>
      <c r="Q15" s="16" t="n">
        <v>480</v>
      </c>
      <c r="R15" s="16" t="n">
        <v>0</v>
      </c>
      <c r="S15" s="16" t="n">
        <v>0</v>
      </c>
      <c r="T15" s="16" t="n">
        <v>0</v>
      </c>
      <c r="U15" s="16" t="n">
        <v>83.88</v>
      </c>
      <c r="AA15" s="16">
        <f>SUM(O15:U15)</f>
        <v/>
      </c>
      <c r="AB15" s="16">
        <f>SUM(O15:Z15)</f>
        <v/>
      </c>
      <c r="AC15" s="16" t="n">
        <v>0</v>
      </c>
      <c r="AD15" s="16" t="n">
        <v>0</v>
      </c>
      <c r="AE15" s="16" t="n">
        <v>0</v>
      </c>
      <c r="AF15" s="16" t="n">
        <v>0</v>
      </c>
      <c r="AG15" s="16" t="n">
        <v>0</v>
      </c>
      <c r="AH15" s="16" t="n">
        <v>0</v>
      </c>
      <c r="AI15" s="10">
        <f>SUM(AC15:AH15)</f>
        <v/>
      </c>
      <c r="AJ15" s="16">
        <f>SUM(AC15:AH15)+AI15</f>
        <v/>
      </c>
      <c r="AK15" s="11">
        <f>IF(N15&lt;&gt;0,(AB15-N15)/ABS(N15),0)</f>
        <v/>
      </c>
      <c r="AL15" s="11">
        <f>IF(AB15&lt;&gt;0,(AJ15-AB15)/ABS(AB15),0)</f>
        <v/>
      </c>
    </row>
    <row r="16" ht="13" customHeight="1">
      <c r="A16" s="15" t="inlineStr">
        <is>
          <t xml:space="preserve">    Staff Welfare</t>
        </is>
      </c>
      <c r="B16" s="16" t="n">
        <v>53.68</v>
      </c>
      <c r="C16" s="16" t="n">
        <v>350.21</v>
      </c>
      <c r="D16" s="16" t="n">
        <v>17.06</v>
      </c>
      <c r="E16" s="16" t="n">
        <v>46.05</v>
      </c>
      <c r="F16" s="16" t="n">
        <v>300.11</v>
      </c>
      <c r="G16" s="16" t="n">
        <v>272.05</v>
      </c>
      <c r="H16" s="16" t="n">
        <v>224.64</v>
      </c>
      <c r="I16" s="16" t="n">
        <v>246.79</v>
      </c>
      <c r="J16" s="16" t="n">
        <v>129.2</v>
      </c>
      <c r="K16" s="16" t="n">
        <v>88.43000000000001</v>
      </c>
      <c r="L16" s="16" t="n">
        <v>342.9</v>
      </c>
      <c r="M16" s="16" t="n">
        <v>243.13</v>
      </c>
      <c r="N16" s="16">
        <f>SUM(B16:M16)</f>
        <v/>
      </c>
      <c r="O16" s="16" t="n">
        <v>727.6899999999999</v>
      </c>
      <c r="P16" s="16" t="n">
        <v>91.99000000000001</v>
      </c>
      <c r="Q16" s="16" t="n">
        <v>354.17</v>
      </c>
      <c r="R16" s="16" t="n">
        <v>348.94</v>
      </c>
      <c r="S16" s="16" t="n">
        <v>77.08</v>
      </c>
      <c r="T16" s="16" t="n">
        <v>154.95</v>
      </c>
      <c r="U16" s="16" t="n">
        <v>550.89</v>
      </c>
      <c r="AA16" s="16">
        <f>SUM(O16:U16)</f>
        <v/>
      </c>
      <c r="AB16" s="16">
        <f>SUM(O16:Z16)</f>
        <v/>
      </c>
      <c r="AC16" s="16" t="n">
        <v>80</v>
      </c>
      <c r="AD16" s="16" t="n">
        <v>80</v>
      </c>
      <c r="AE16" s="16" t="n">
        <v>80</v>
      </c>
      <c r="AF16" s="16" t="n">
        <v>80</v>
      </c>
      <c r="AG16" s="16" t="n">
        <v>80</v>
      </c>
      <c r="AH16" s="16" t="n">
        <v>80</v>
      </c>
      <c r="AI16" s="10">
        <f>SUM(AC16:AH16)</f>
        <v/>
      </c>
      <c r="AJ16" s="16">
        <f>SUM(AC16:AH16)+AI16</f>
        <v/>
      </c>
      <c r="AK16" s="11">
        <f>IF(N16&lt;&gt;0,(AB16-N16)/ABS(N16),0)</f>
        <v/>
      </c>
      <c r="AL16" s="11">
        <f>IF(AB16&lt;&gt;0,(AJ16-AB16)/ABS(AB16),0)</f>
        <v/>
      </c>
    </row>
    <row r="17" ht="13" customHeight="1">
      <c r="A17" s="15" t="inlineStr">
        <is>
          <t xml:space="preserve">    Recruitment</t>
        </is>
      </c>
      <c r="B17" s="16" t="n">
        <v>0</v>
      </c>
      <c r="C17" s="16" t="n">
        <v>0</v>
      </c>
      <c r="D17" s="16" t="n">
        <v>0</v>
      </c>
      <c r="E17" s="16" t="n">
        <v>0</v>
      </c>
      <c r="F17" s="16" t="n">
        <v>0</v>
      </c>
      <c r="G17" s="16" t="n">
        <v>0</v>
      </c>
      <c r="H17" s="16" t="n">
        <v>0</v>
      </c>
      <c r="I17" s="16" t="n">
        <v>0</v>
      </c>
      <c r="J17" s="16" t="n">
        <v>3861</v>
      </c>
      <c r="K17" s="16" t="n">
        <v>0</v>
      </c>
      <c r="L17" s="16" t="n">
        <v>0</v>
      </c>
      <c r="M17" s="16" t="n">
        <v>0</v>
      </c>
      <c r="N17" s="16">
        <f>SUM(B17:M17)</f>
        <v/>
      </c>
      <c r="O17" s="16" t="n">
        <v>0</v>
      </c>
      <c r="P17" s="16" t="n">
        <v>0</v>
      </c>
      <c r="Q17" s="16" t="n">
        <v>0</v>
      </c>
      <c r="R17" s="16" t="n">
        <v>0</v>
      </c>
      <c r="S17" s="16" t="n">
        <v>0</v>
      </c>
      <c r="T17" s="16" t="n">
        <v>0</v>
      </c>
      <c r="U17" s="16" t="n">
        <v>0</v>
      </c>
      <c r="V17" s="16" t="n">
        <v>0</v>
      </c>
      <c r="W17" s="16" t="n">
        <v>0</v>
      </c>
      <c r="X17" s="16" t="n">
        <v>0</v>
      </c>
      <c r="Y17" s="16" t="n">
        <v>0</v>
      </c>
      <c r="Z17" s="16" t="n">
        <v>0</v>
      </c>
      <c r="AA17" s="16">
        <f>SUM(O17:U17)</f>
        <v/>
      </c>
      <c r="AB17" s="16">
        <f>SUM(O17:Z17)</f>
        <v/>
      </c>
      <c r="AC17" s="16" t="n">
        <v>0</v>
      </c>
      <c r="AD17" s="16" t="n">
        <v>0</v>
      </c>
      <c r="AE17" s="16" t="n">
        <v>0</v>
      </c>
      <c r="AF17" s="16" t="n">
        <v>0</v>
      </c>
      <c r="AG17" s="16" t="n">
        <v>0</v>
      </c>
      <c r="AH17" s="16" t="n">
        <v>0</v>
      </c>
      <c r="AI17" s="10">
        <f>SUM(AC17:AH17)</f>
        <v/>
      </c>
      <c r="AJ17" s="16">
        <f>SUM(AC17:AH17)+AI17</f>
        <v/>
      </c>
      <c r="AK17" s="11">
        <f>IF(N17&lt;&gt;0,(AB17-N17)/ABS(N17),0)</f>
        <v/>
      </c>
      <c r="AL17" s="11">
        <f>IF(AB17&lt;&gt;0,(AJ17-AB17)/ABS(AB17),0)</f>
        <v/>
      </c>
    </row>
    <row r="18" ht="13" customHeight="1">
      <c r="A18" s="15" t="inlineStr">
        <is>
          <t xml:space="preserve">    Rewards &amp; Recognition</t>
        </is>
      </c>
      <c r="B18" s="16" t="n">
        <v>0</v>
      </c>
      <c r="C18" s="16" t="n">
        <v>0</v>
      </c>
      <c r="D18" s="16" t="n">
        <v>0</v>
      </c>
      <c r="E18" s="16" t="n">
        <v>0</v>
      </c>
      <c r="F18" s="16" t="n">
        <v>0</v>
      </c>
      <c r="G18" s="16" t="n">
        <v>0</v>
      </c>
      <c r="H18" s="16" t="n">
        <v>12.8</v>
      </c>
      <c r="I18" s="16" t="n">
        <v>0</v>
      </c>
      <c r="J18" s="16" t="n">
        <v>22.88</v>
      </c>
      <c r="K18" s="16" t="n">
        <v>0</v>
      </c>
      <c r="L18" s="16" t="n">
        <v>50.97</v>
      </c>
      <c r="M18" s="16" t="n">
        <v>88.44</v>
      </c>
      <c r="N18" s="16">
        <f>SUM(B18:M18)</f>
        <v/>
      </c>
      <c r="O18" s="16" t="n">
        <v>0</v>
      </c>
      <c r="P18" s="16" t="n">
        <v>0</v>
      </c>
      <c r="Q18" s="16" t="n">
        <v>0</v>
      </c>
      <c r="R18" s="16" t="n">
        <v>55.97</v>
      </c>
      <c r="S18" s="16" t="n">
        <v>47.98</v>
      </c>
      <c r="T18" s="16" t="n">
        <v>7.99</v>
      </c>
      <c r="U18" s="16" t="n">
        <v>38.98</v>
      </c>
      <c r="AA18" s="16">
        <f>SUM(O18:U18)</f>
        <v/>
      </c>
      <c r="AB18" s="16">
        <f>SUM(O18:Z18)</f>
        <v/>
      </c>
      <c r="AC18" s="16" t="n">
        <v>33</v>
      </c>
      <c r="AD18" s="16" t="n">
        <v>33</v>
      </c>
      <c r="AE18" s="16" t="n">
        <v>33</v>
      </c>
      <c r="AF18" s="16" t="n">
        <v>33</v>
      </c>
      <c r="AG18" s="16" t="n">
        <v>33</v>
      </c>
      <c r="AH18" s="16" t="n">
        <v>33</v>
      </c>
      <c r="AI18" s="10">
        <f>SUM(AC18:AH18)</f>
        <v/>
      </c>
      <c r="AJ18" s="16">
        <f>SUM(AC18:AH18)+AI18</f>
        <v/>
      </c>
      <c r="AK18" s="11">
        <f>IF(N18&lt;&gt;0,(AB18-N18)/ABS(N18),0)</f>
        <v/>
      </c>
      <c r="AL18" s="11">
        <f>IF(AB18&lt;&gt;0,(AJ18-AB18)/ABS(AB18),0)</f>
        <v/>
      </c>
    </row>
    <row r="19" ht="13" customHeight="1">
      <c r="A19" s="15" t="inlineStr">
        <is>
          <t xml:space="preserve">    Temps</t>
        </is>
      </c>
      <c r="B19" s="16" t="n">
        <v>0</v>
      </c>
      <c r="C19" s="16" t="n">
        <v>0</v>
      </c>
      <c r="D19" s="16" t="n">
        <v>0</v>
      </c>
      <c r="E19" s="16" t="n">
        <v>0</v>
      </c>
      <c r="F19" s="16" t="n">
        <v>0</v>
      </c>
      <c r="G19" s="16" t="n">
        <v>0</v>
      </c>
      <c r="H19" s="16" t="n">
        <v>0</v>
      </c>
      <c r="I19" s="16" t="n">
        <v>0</v>
      </c>
      <c r="J19" s="16" t="n">
        <v>0</v>
      </c>
      <c r="K19" s="16" t="n">
        <v>475.44</v>
      </c>
      <c r="L19" s="16" t="n">
        <v>0</v>
      </c>
      <c r="M19" s="16" t="n">
        <v>0</v>
      </c>
      <c r="N19" s="16">
        <f>SUM(B19:M19)</f>
        <v/>
      </c>
      <c r="O19" s="16" t="n">
        <v>0</v>
      </c>
      <c r="P19" s="16" t="n">
        <v>0</v>
      </c>
      <c r="Q19" s="16" t="n">
        <v>0</v>
      </c>
      <c r="R19" s="16" t="n">
        <v>0</v>
      </c>
      <c r="S19" s="16" t="n">
        <v>0</v>
      </c>
      <c r="T19" s="16" t="n">
        <v>0</v>
      </c>
      <c r="U19" s="16" t="n">
        <v>0</v>
      </c>
      <c r="V19" s="16" t="n">
        <v>0</v>
      </c>
      <c r="W19" s="16" t="n">
        <v>0</v>
      </c>
      <c r="X19" s="16" t="n">
        <v>0</v>
      </c>
      <c r="Y19" s="16" t="n">
        <v>0</v>
      </c>
      <c r="Z19" s="16" t="n">
        <v>0</v>
      </c>
      <c r="AA19" s="16">
        <f>SUM(O19:U19)</f>
        <v/>
      </c>
      <c r="AB19" s="16">
        <f>SUM(O19:Z19)</f>
        <v/>
      </c>
      <c r="AC19" s="16" t="n">
        <v>0</v>
      </c>
      <c r="AD19" s="16" t="n">
        <v>0</v>
      </c>
      <c r="AE19" s="16" t="n">
        <v>0</v>
      </c>
      <c r="AF19" s="16" t="n">
        <v>0</v>
      </c>
      <c r="AG19" s="16" t="n">
        <v>0</v>
      </c>
      <c r="AH19" s="16" t="n">
        <v>0</v>
      </c>
      <c r="AI19" s="10">
        <f>SUM(AC19:AH19)</f>
        <v/>
      </c>
      <c r="AJ19" s="16">
        <f>SUM(AC19:AH19)+AI19</f>
        <v/>
      </c>
      <c r="AK19" s="11">
        <f>IF(N19&lt;&gt;0,(AB19-N19)/ABS(N19),0)</f>
        <v/>
      </c>
      <c r="AL19" s="11">
        <f>IF(AB19&lt;&gt;0,(AJ19-AB19)/ABS(AB19),0)</f>
        <v/>
      </c>
    </row>
    <row r="20" ht="13" customHeight="1">
      <c r="A20" s="17" t="inlineStr">
        <is>
          <t>Total Personnel</t>
        </is>
      </c>
      <c r="B20" s="18">
        <f>B11+B12+B13+B14+B15+B16+B17+B18+B19</f>
        <v/>
      </c>
      <c r="C20" s="18">
        <f>C11+C12+C13+C14+C15+C16+C17+C18+C19</f>
        <v/>
      </c>
      <c r="D20" s="18">
        <f>D11+D12+D13+D14+D15+D16+D17+D18+D19</f>
        <v/>
      </c>
      <c r="E20" s="18">
        <f>E11+E12+E13+E14+E15+E16+E17+E18+E19</f>
        <v/>
      </c>
      <c r="F20" s="18">
        <f>F11+F12+F13+F14+F15+F16+F17+F18+F19</f>
        <v/>
      </c>
      <c r="G20" s="18">
        <f>G11+G12+G13+G14+G15+G16+G17+G18+G19</f>
        <v/>
      </c>
      <c r="H20" s="18">
        <f>H11+H12+H13+H14+H15+H16+H17+H18+H19</f>
        <v/>
      </c>
      <c r="I20" s="18">
        <f>I11+I12+I13+I14+I15+I16+I17+I18+I19</f>
        <v/>
      </c>
      <c r="J20" s="18">
        <f>J11+J12+J13+J14+J15+J16+J17+J18+J19</f>
        <v/>
      </c>
      <c r="K20" s="18">
        <f>K11+K12+K13+K14+K15+K16+K17+K18+K19</f>
        <v/>
      </c>
      <c r="L20" s="18">
        <f>L11+L12+L13+L14+L15+L16+L17+L18+L19</f>
        <v/>
      </c>
      <c r="M20" s="18">
        <f>M11+M12+M13+M14+M15+M16+M17+M18+M19</f>
        <v/>
      </c>
      <c r="N20" s="18">
        <f>N11+N12+N13+N14+N15+N16+N17+N18+N19</f>
        <v/>
      </c>
      <c r="O20" s="18">
        <f>O11+O12+O13+O14+O15+O16+O17+O18+O19</f>
        <v/>
      </c>
      <c r="P20" s="18">
        <f>P11+P12+P13+P14+P15+P16+P17+P18+P19</f>
        <v/>
      </c>
      <c r="Q20" s="18">
        <f>Q11+Q12+Q13+Q14+Q15+Q16+Q17+Q18+Q19</f>
        <v/>
      </c>
      <c r="R20" s="18">
        <f>R11+R12+R13+R14+R15+R16+R17+R18+R19</f>
        <v/>
      </c>
      <c r="S20" s="18">
        <f>S11+S12+S13+S14+S15+S16+S17+S18+S19</f>
        <v/>
      </c>
      <c r="T20" s="18">
        <f>T11+T12+T13+T14+T15+T16+T17+T18+T19</f>
        <v/>
      </c>
      <c r="U20" s="18">
        <f>U11+U12+U13+U14+U15+U16+U17+U18+U19</f>
        <v/>
      </c>
      <c r="V20" s="18">
        <f>V11+V12+V13+V14+V15+V16+V17+V18+V19</f>
        <v/>
      </c>
      <c r="W20" s="18">
        <f>W11+W12+W13+W14+W15+W16+W17+W18+W19</f>
        <v/>
      </c>
      <c r="X20" s="18">
        <f>X11+X12+X13+X14+X15+X16+X17+X18+X19</f>
        <v/>
      </c>
      <c r="Y20" s="18">
        <f>Y11+Y12+Y13+Y14+Y15+Y16+Y17+Y18+Y19</f>
        <v/>
      </c>
      <c r="Z20" s="18">
        <f>Z11+Z12+Z13+Z14+Z15+Z16+Z17+Z18+Z19</f>
        <v/>
      </c>
      <c r="AA20" s="18">
        <f>AA11+AA12+AA13+AA14+AA15+AA16+AA17+AA18+AA19</f>
        <v/>
      </c>
      <c r="AB20" s="18">
        <f>AB11+AB12+AB13+AB14+AB15+AB16+AB17+AB18+AB19</f>
        <v/>
      </c>
      <c r="AC20" s="18">
        <f>AC11+AC12+AC13+AC14+AC15+AC16+AC17+AC18+AC19</f>
        <v/>
      </c>
      <c r="AD20" s="18">
        <f>AD11+AD12+AD13+AD14+AD15+AD16+AD17+AD18+AD19</f>
        <v/>
      </c>
      <c r="AE20" s="18">
        <f>AE11+AE12+AE13+AE14+AE15+AE16+AE17+AE18+AE19</f>
        <v/>
      </c>
      <c r="AF20" s="18">
        <f>AF11+AF12+AF13+AF14+AF15+AF16+AF17+AF18+AF19</f>
        <v/>
      </c>
      <c r="AG20" s="18">
        <f>AG11+AG12+AG13+AG14+AG15+AG16+AG17+AG18+AG19</f>
        <v/>
      </c>
      <c r="AH20" s="18">
        <f>AH11+AH12+AH13+AH14+AH15+AH16+AH17+AH18+AH19</f>
        <v/>
      </c>
      <c r="AI20" s="18">
        <f>AI11+AI12+AI13+AI14+AI15+AI16+AI17+AI18+AI19</f>
        <v/>
      </c>
      <c r="AJ20" s="18">
        <f>AJ11+AJ12+AJ13+AJ14+AJ15+AJ16+AJ17+AJ18+AJ19</f>
        <v/>
      </c>
      <c r="AK20" s="11">
        <f>IF(N20&lt;&gt;0,(AB20-N20)/ABS(N20),0)</f>
        <v/>
      </c>
      <c r="AL20" s="11">
        <f>IF(AB20&lt;&gt;0,(AJ20-AB20)/ABS(AB20),0)</f>
        <v/>
      </c>
    </row>
    <row r="21" ht="13" customHeight="1">
      <c r="A21" s="19" t="inlineStr">
        <is>
          <t xml:space="preserve">    Sal:Rev</t>
        </is>
      </c>
      <c r="B21" s="20">
        <f>IF(B7&gt;0,B20/B7,0)</f>
        <v/>
      </c>
      <c r="C21" s="20">
        <f>IF(C7&gt;0,C20/C7,0)</f>
        <v/>
      </c>
      <c r="D21" s="20">
        <f>IF(D7&gt;0,D20/D7,0)</f>
        <v/>
      </c>
      <c r="E21" s="20">
        <f>IF(E7&gt;0,E20/E7,0)</f>
        <v/>
      </c>
      <c r="F21" s="20">
        <f>IF(F7&gt;0,F20/F7,0)</f>
        <v/>
      </c>
      <c r="G21" s="20">
        <f>IF(G7&gt;0,G20/G7,0)</f>
        <v/>
      </c>
      <c r="H21" s="20">
        <f>IF(H7&gt;0,H20/H7,0)</f>
        <v/>
      </c>
      <c r="I21" s="20">
        <f>IF(I7&gt;0,I20/I7,0)</f>
        <v/>
      </c>
      <c r="J21" s="20">
        <f>IF(J7&gt;0,J20/J7,0)</f>
        <v/>
      </c>
      <c r="K21" s="20">
        <f>IF(K7&gt;0,K20/K7,0)</f>
        <v/>
      </c>
      <c r="L21" s="20">
        <f>IF(L7&gt;0,L20/L7,0)</f>
        <v/>
      </c>
      <c r="M21" s="20">
        <f>IF(M7&gt;0,M20/M7,0)</f>
        <v/>
      </c>
      <c r="N21" s="20">
        <f>IF(N7&gt;0,N20/N7,0)</f>
        <v/>
      </c>
      <c r="O21" s="20">
        <f>IF(O7&gt;0,O20/O7,0)</f>
        <v/>
      </c>
      <c r="P21" s="20">
        <f>IF(P7&gt;0,P20/P7,0)</f>
        <v/>
      </c>
      <c r="Q21" s="20">
        <f>IF(Q7&gt;0,Q20/Q7,0)</f>
        <v/>
      </c>
      <c r="R21" s="20">
        <f>IF(R7&gt;0,R20/R7,0)</f>
        <v/>
      </c>
      <c r="S21" s="20">
        <f>IF(S7&gt;0,S20/S7,0)</f>
        <v/>
      </c>
      <c r="T21" s="20">
        <f>IF(T7&gt;0,T20/T7,0)</f>
        <v/>
      </c>
      <c r="U21" s="20">
        <f>IF(U7&gt;0,U20/U7,0)</f>
        <v/>
      </c>
      <c r="V21" s="20">
        <f>IF(V7&gt;0,V20/V7,0)</f>
        <v/>
      </c>
      <c r="W21" s="20">
        <f>IF(W7&gt;0,W20/W7,0)</f>
        <v/>
      </c>
      <c r="X21" s="20">
        <f>IF(X7&gt;0,X20/X7,0)</f>
        <v/>
      </c>
      <c r="Y21" s="20">
        <f>IF(Y7&gt;0,Y20/Y7,0)</f>
        <v/>
      </c>
      <c r="Z21" s="20">
        <f>IF(Z7&gt;0,Z20/Z7,0)</f>
        <v/>
      </c>
      <c r="AA21" s="20">
        <f>IF(AA7&gt;0,AA20/AA7,0)</f>
        <v/>
      </c>
      <c r="AB21" s="20">
        <f>IF(AB7&gt;0,AB20/AB7,0)</f>
        <v/>
      </c>
      <c r="AC21" s="20">
        <f>IF(AC7&gt;0,AC20/AC7,0)</f>
        <v/>
      </c>
      <c r="AD21" s="20">
        <f>IF(AD7&gt;0,AD20/AD7,0)</f>
        <v/>
      </c>
      <c r="AE21" s="20">
        <f>IF(AE7&gt;0,AE20/AE7,0)</f>
        <v/>
      </c>
      <c r="AF21" s="20">
        <f>IF(AF7&gt;0,AF20/AF7,0)</f>
        <v/>
      </c>
      <c r="AG21" s="20">
        <f>IF(AG7&gt;0,AG20/AG7,0)</f>
        <v/>
      </c>
      <c r="AH21" s="20">
        <f>IF(AH7&gt;0,AH20/AH7,0)</f>
        <v/>
      </c>
      <c r="AI21" s="20">
        <f>IF(AI7&gt;0,AI20/AI7,0)</f>
        <v/>
      </c>
      <c r="AJ21" s="20">
        <f>IF(AJ7&gt;0,AJ20/AJ7,0)</f>
        <v/>
      </c>
    </row>
    <row r="22" ht="5" customHeight="1"/>
    <row r="23" ht="13" customHeight="1">
      <c r="A23" s="14" t="inlineStr">
        <is>
          <t>Childcare</t>
        </is>
      </c>
    </row>
    <row r="24" ht="13" customHeight="1">
      <c r="A24" s="21" t="inlineStr">
        <is>
          <t xml:space="preserve">    Catering Costs</t>
        </is>
      </c>
      <c r="N24" s="22">
        <f>SUM(B24:M24)</f>
        <v/>
      </c>
      <c r="O24" s="22" t="n">
        <v>930.5700000000001</v>
      </c>
      <c r="P24" s="22" t="n">
        <v>1165.35</v>
      </c>
      <c r="Q24" s="22" t="n">
        <v>1341.06</v>
      </c>
      <c r="R24" s="22" t="n">
        <v>1180.59</v>
      </c>
      <c r="S24" s="22" t="n">
        <v>1129.19</v>
      </c>
      <c r="T24" s="22" t="n">
        <v>1238.46</v>
      </c>
      <c r="U24" s="22" t="n">
        <v>1343.35</v>
      </c>
      <c r="V24" s="22" t="n">
        <v>710.6111999999999</v>
      </c>
      <c r="W24" s="22" t="n">
        <v>1009.258224</v>
      </c>
      <c r="X24" s="22" t="n">
        <v>1029.8808</v>
      </c>
      <c r="Y24" s="22" t="n">
        <v>989.6952</v>
      </c>
      <c r="Z24" s="22" t="n">
        <v>926.5463999999999</v>
      </c>
      <c r="AA24" s="22">
        <f>SUM(O24:U24)</f>
        <v/>
      </c>
      <c r="AB24" s="22">
        <f>SUM(O24:Z24)</f>
        <v/>
      </c>
      <c r="AC24" s="22" t="n">
        <v>1056.097224</v>
      </c>
      <c r="AD24" s="22" t="n">
        <v>1274.934648</v>
      </c>
      <c r="AE24" s="22" t="n">
        <v>1034.868744</v>
      </c>
      <c r="AF24" s="22" t="n">
        <v>1163.82552</v>
      </c>
      <c r="AG24" s="22" t="n">
        <v>1236.298128</v>
      </c>
      <c r="AH24" s="22" t="n">
        <v>1535.904864</v>
      </c>
      <c r="AI24" s="10">
        <f>SUM(AC24:AH24)</f>
        <v/>
      </c>
      <c r="AJ24" s="22">
        <f>SUM(AC24:AH24)+AI24</f>
        <v/>
      </c>
      <c r="AK24" s="11">
        <f>IF(N24&lt;&gt;0,(AB24-N24)/ABS(N24),0)</f>
        <v/>
      </c>
      <c r="AL24" s="11">
        <f>IF(AB24&lt;&gt;0,(AJ24-AB24)/ABS(AB24),0)</f>
        <v/>
      </c>
    </row>
    <row r="25" ht="13" customHeight="1">
      <c r="A25" s="21" t="inlineStr">
        <is>
          <t xml:space="preserve">    Toys and Games</t>
        </is>
      </c>
      <c r="B25" s="22" t="n">
        <v>85.72</v>
      </c>
      <c r="C25" s="22" t="n">
        <v>41.48999999999999</v>
      </c>
      <c r="D25" s="22" t="n">
        <v>55.22</v>
      </c>
      <c r="E25" s="22" t="n">
        <v>133.77</v>
      </c>
      <c r="F25" s="22" t="n">
        <v>115.2</v>
      </c>
      <c r="G25" s="22" t="n">
        <v>40.97</v>
      </c>
      <c r="H25" s="22" t="n">
        <v>119.18</v>
      </c>
      <c r="I25" s="22" t="n">
        <v>0</v>
      </c>
      <c r="J25" s="22" t="n">
        <v>937.3900000000001</v>
      </c>
      <c r="K25" s="22" t="n">
        <v>75.81999999999999</v>
      </c>
      <c r="L25" s="22" t="n">
        <v>34</v>
      </c>
      <c r="M25" s="22" t="n">
        <v>44.21</v>
      </c>
      <c r="N25" s="22">
        <f>SUM(B25:M25)</f>
        <v/>
      </c>
      <c r="O25" s="22" t="n">
        <v>158.33</v>
      </c>
      <c r="P25" s="22" t="n">
        <v>73.69</v>
      </c>
      <c r="Q25" s="22" t="n">
        <v>139.02</v>
      </c>
      <c r="R25" s="22" t="n">
        <v>64.22999999999999</v>
      </c>
      <c r="S25" s="22" t="n">
        <v>65.86</v>
      </c>
      <c r="T25" s="22" t="n">
        <v>40.92</v>
      </c>
      <c r="U25" s="22" t="n">
        <v>61.05</v>
      </c>
      <c r="AA25" s="22">
        <f>SUM(O25:U25)</f>
        <v/>
      </c>
      <c r="AB25" s="22">
        <f>SUM(O25:Z25)</f>
        <v/>
      </c>
      <c r="AC25" s="22" t="n">
        <v>50</v>
      </c>
      <c r="AD25" s="22" t="n">
        <v>50</v>
      </c>
      <c r="AE25" s="22" t="n">
        <v>50</v>
      </c>
      <c r="AF25" s="22" t="n">
        <v>50</v>
      </c>
      <c r="AG25" s="22" t="n">
        <v>50</v>
      </c>
      <c r="AH25" s="22" t="n">
        <v>50</v>
      </c>
      <c r="AI25" s="10">
        <f>SUM(AC25:AH25)</f>
        <v/>
      </c>
      <c r="AJ25" s="22">
        <f>SUM(AC25:AH25)+AI25</f>
        <v/>
      </c>
      <c r="AK25" s="11">
        <f>IF(N25&lt;&gt;0,(AB25-N25)/ABS(N25),0)</f>
        <v/>
      </c>
      <c r="AL25" s="11">
        <f>IF(AB25&lt;&gt;0,(AJ25-AB25)/ABS(AB25),0)</f>
        <v/>
      </c>
    </row>
    <row r="26" ht="13" customHeight="1">
      <c r="A26" s="21" t="inlineStr">
        <is>
          <t xml:space="preserve">    Art Materials</t>
        </is>
      </c>
      <c r="N26" s="22">
        <f>SUM(B26:M26)</f>
        <v/>
      </c>
      <c r="O26" s="22" t="n">
        <v>36.95</v>
      </c>
      <c r="P26" s="22" t="n">
        <v>132.23</v>
      </c>
      <c r="Q26" s="22" t="n">
        <v>184.1</v>
      </c>
      <c r="R26" s="22" t="n">
        <v>15.97</v>
      </c>
      <c r="S26" s="22" t="n">
        <v>0</v>
      </c>
      <c r="T26" s="22" t="n">
        <v>39.16</v>
      </c>
      <c r="U26" s="22" t="n">
        <v>29.81</v>
      </c>
      <c r="V26" s="22" t="n">
        <v>94.74816000000003</v>
      </c>
      <c r="W26" s="22" t="n">
        <v>134.5677632000001</v>
      </c>
      <c r="X26" s="22" t="n">
        <v>137.31744</v>
      </c>
      <c r="Y26" s="22" t="n">
        <v>131.95936</v>
      </c>
      <c r="Z26" s="22" t="n">
        <v>123.53952</v>
      </c>
      <c r="AA26" s="22">
        <f>SUM(O26:U26)</f>
        <v/>
      </c>
      <c r="AB26" s="22">
        <f>SUM(O26:Z26)</f>
        <v/>
      </c>
      <c r="AC26" s="22" t="n">
        <v>140.8129632</v>
      </c>
      <c r="AD26" s="22" t="n">
        <v>169.9912864000001</v>
      </c>
      <c r="AE26" s="22" t="n">
        <v>137.9824992000001</v>
      </c>
      <c r="AF26" s="22" t="n">
        <v>155.176736</v>
      </c>
      <c r="AG26" s="22" t="n">
        <v>164.8397504000001</v>
      </c>
      <c r="AH26" s="22" t="n">
        <v>204.7873152000001</v>
      </c>
      <c r="AI26" s="10">
        <f>SUM(AC26:AH26)</f>
        <v/>
      </c>
      <c r="AJ26" s="22">
        <f>SUM(AC26:AH26)+AI26</f>
        <v/>
      </c>
      <c r="AK26" s="11">
        <f>IF(N26&lt;&gt;0,(AB26-N26)/ABS(N26),0)</f>
        <v/>
      </c>
      <c r="AL26" s="11">
        <f>IF(AB26&lt;&gt;0,(AJ26-AB26)/ABS(AB26),0)</f>
        <v/>
      </c>
    </row>
    <row r="27" ht="13" customHeight="1">
      <c r="A27" s="21" t="inlineStr">
        <is>
          <t xml:space="preserve">    Nursery Stationery</t>
        </is>
      </c>
      <c r="B27" s="22" t="n">
        <v>7.64</v>
      </c>
      <c r="C27" s="22" t="n">
        <v>23.2</v>
      </c>
      <c r="D27" s="22" t="n">
        <v>31.14</v>
      </c>
      <c r="E27" s="22" t="n">
        <v>14.94</v>
      </c>
      <c r="F27" s="22" t="n">
        <v>11.95</v>
      </c>
      <c r="G27" s="22" t="n">
        <v>23.88</v>
      </c>
      <c r="H27" s="22" t="n">
        <v>107.69</v>
      </c>
      <c r="I27" s="22" t="n">
        <v>201.64</v>
      </c>
      <c r="J27" s="22" t="n">
        <v>13.58</v>
      </c>
      <c r="K27" s="22" t="n">
        <v>61.35</v>
      </c>
      <c r="L27" s="22" t="n">
        <v>13.78</v>
      </c>
      <c r="M27" s="22" t="n">
        <v>158.03</v>
      </c>
      <c r="N27" s="22">
        <f>SUM(B27:M27)</f>
        <v/>
      </c>
      <c r="O27" s="22" t="n">
        <v>72.57000000000001</v>
      </c>
      <c r="P27" s="22" t="n">
        <v>85.80000000000001</v>
      </c>
      <c r="Q27" s="22" t="n">
        <v>0</v>
      </c>
      <c r="R27" s="22" t="n">
        <v>49.71</v>
      </c>
      <c r="S27" s="22" t="n">
        <v>47.25</v>
      </c>
      <c r="T27" s="22" t="n">
        <v>25.12</v>
      </c>
      <c r="U27" s="22" t="n">
        <v>15.98</v>
      </c>
      <c r="AA27" s="22">
        <f>SUM(O27:U27)</f>
        <v/>
      </c>
      <c r="AB27" s="22">
        <f>SUM(O27:Z27)</f>
        <v/>
      </c>
      <c r="AC27" s="22" t="n">
        <v>50</v>
      </c>
      <c r="AD27" s="22" t="n">
        <v>50</v>
      </c>
      <c r="AE27" s="22" t="n">
        <v>50</v>
      </c>
      <c r="AF27" s="22" t="n">
        <v>50</v>
      </c>
      <c r="AG27" s="22" t="n">
        <v>50</v>
      </c>
      <c r="AH27" s="22" t="n">
        <v>50</v>
      </c>
      <c r="AI27" s="10">
        <f>SUM(AC27:AH27)</f>
        <v/>
      </c>
      <c r="AJ27" s="22">
        <f>SUM(AC27:AH27)+AI27</f>
        <v/>
      </c>
      <c r="AK27" s="11">
        <f>IF(N27&lt;&gt;0,(AB27-N27)/ABS(N27),0)</f>
        <v/>
      </c>
      <c r="AL27" s="11">
        <f>IF(AB27&lt;&gt;0,(AJ27-AB27)/ABS(AB27),0)</f>
        <v/>
      </c>
    </row>
    <row r="28" ht="13" customHeight="1">
      <c r="A28" s="21" t="inlineStr">
        <is>
          <t xml:space="preserve">    Nursery Equipment</t>
        </is>
      </c>
      <c r="B28" s="22" t="n">
        <v>7.99</v>
      </c>
      <c r="C28" s="22" t="n">
        <v>25.96</v>
      </c>
      <c r="D28" s="22" t="n">
        <v>0</v>
      </c>
      <c r="E28" s="22" t="n">
        <v>57.87</v>
      </c>
      <c r="F28" s="22" t="n">
        <v>0</v>
      </c>
      <c r="G28" s="22" t="n">
        <v>152.18</v>
      </c>
      <c r="H28" s="22" t="n">
        <v>18.98</v>
      </c>
      <c r="I28" s="22" t="n">
        <v>40.86</v>
      </c>
      <c r="J28" s="22" t="n">
        <v>0</v>
      </c>
      <c r="K28" s="22" t="n">
        <v>337.45</v>
      </c>
      <c r="L28" s="22" t="n">
        <v>777.25</v>
      </c>
      <c r="M28" s="22" t="n">
        <v>160.58</v>
      </c>
      <c r="N28" s="22">
        <f>SUM(B28:M28)</f>
        <v/>
      </c>
      <c r="O28" s="22" t="n">
        <v>42.68</v>
      </c>
      <c r="P28" s="22" t="n">
        <v>26.97</v>
      </c>
      <c r="Q28" s="22" t="n">
        <v>40.95</v>
      </c>
      <c r="R28" s="22" t="n">
        <v>46.3</v>
      </c>
      <c r="S28" s="22" t="n">
        <v>49.99</v>
      </c>
      <c r="T28" s="22" t="n">
        <v>44.99</v>
      </c>
      <c r="U28" s="22" t="n">
        <v>0</v>
      </c>
      <c r="AA28" s="22">
        <f>SUM(O28:U28)</f>
        <v/>
      </c>
      <c r="AB28" s="22">
        <f>SUM(O28:Z28)</f>
        <v/>
      </c>
      <c r="AC28" s="22" t="n">
        <v>50</v>
      </c>
      <c r="AD28" s="22" t="n">
        <v>50</v>
      </c>
      <c r="AE28" s="22" t="n">
        <v>50</v>
      </c>
      <c r="AF28" s="22" t="n">
        <v>50</v>
      </c>
      <c r="AG28" s="22" t="n">
        <v>50</v>
      </c>
      <c r="AH28" s="22" t="n">
        <v>50</v>
      </c>
      <c r="AI28" s="10">
        <f>SUM(AC28:AH28)</f>
        <v/>
      </c>
      <c r="AJ28" s="22">
        <f>SUM(AC28:AH28)+AI28</f>
        <v/>
      </c>
      <c r="AK28" s="11">
        <f>IF(N28&lt;&gt;0,(AB28-N28)/ABS(N28),0)</f>
        <v/>
      </c>
      <c r="AL28" s="11">
        <f>IF(AB28&lt;&gt;0,(AJ28-AB28)/ABS(AB28),0)</f>
        <v/>
      </c>
    </row>
    <row r="29" ht="13" customHeight="1">
      <c r="A29" s="21" t="inlineStr">
        <is>
          <t xml:space="preserve">    Nursery Consumables</t>
        </is>
      </c>
      <c r="N29" s="22">
        <f>SUM(B29:M29)</f>
        <v/>
      </c>
      <c r="O29" s="22" t="n">
        <v>175.68</v>
      </c>
      <c r="P29" s="22" t="n">
        <v>336.46</v>
      </c>
      <c r="Q29" s="22" t="n">
        <v>254.99</v>
      </c>
      <c r="R29" s="22" t="n">
        <v>144.3</v>
      </c>
      <c r="S29" s="22" t="n">
        <v>200.22</v>
      </c>
      <c r="T29" s="22" t="n">
        <v>395.74</v>
      </c>
      <c r="U29" s="22" t="n">
        <v>20.35</v>
      </c>
      <c r="V29" s="22" t="n">
        <v>94.74816000000003</v>
      </c>
      <c r="W29" s="22" t="n">
        <v>134.5677632000001</v>
      </c>
      <c r="X29" s="22" t="n">
        <v>137.31744</v>
      </c>
      <c r="Y29" s="22" t="n">
        <v>131.95936</v>
      </c>
      <c r="Z29" s="22" t="n">
        <v>123.53952</v>
      </c>
      <c r="AA29" s="22">
        <f>SUM(O29:U29)</f>
        <v/>
      </c>
      <c r="AB29" s="22">
        <f>SUM(O29:Z29)</f>
        <v/>
      </c>
      <c r="AC29" s="22" t="n">
        <v>140.8129632</v>
      </c>
      <c r="AD29" s="22" t="n">
        <v>169.9912864000001</v>
      </c>
      <c r="AE29" s="22" t="n">
        <v>137.9824992000001</v>
      </c>
      <c r="AF29" s="22" t="n">
        <v>155.176736</v>
      </c>
      <c r="AG29" s="22" t="n">
        <v>164.8397504000001</v>
      </c>
      <c r="AH29" s="22" t="n">
        <v>204.7873152000001</v>
      </c>
      <c r="AI29" s="10">
        <f>SUM(AC29:AH29)</f>
        <v/>
      </c>
      <c r="AJ29" s="22">
        <f>SUM(AC29:AH29)+AI29</f>
        <v/>
      </c>
      <c r="AK29" s="11">
        <f>IF(N29&lt;&gt;0,(AB29-N29)/ABS(N29),0)</f>
        <v/>
      </c>
      <c r="AL29" s="11">
        <f>IF(AB29&lt;&gt;0,(AJ29-AB29)/ABS(AB29),0)</f>
        <v/>
      </c>
    </row>
    <row r="30" ht="13" customHeight="1">
      <c r="A30" s="23" t="inlineStr">
        <is>
          <t>Total Childcare Costs</t>
        </is>
      </c>
      <c r="B30" s="24">
        <f>B24+B25+B26+B27+B28+B29</f>
        <v/>
      </c>
      <c r="C30" s="24">
        <f>C24+C25+C26+C27+C28+C29</f>
        <v/>
      </c>
      <c r="D30" s="24">
        <f>D24+D25+D26+D27+D28+D29</f>
        <v/>
      </c>
      <c r="E30" s="24">
        <f>E24+E25+E26+E27+E28+E29</f>
        <v/>
      </c>
      <c r="F30" s="24">
        <f>F24+F25+F26+F27+F28+F29</f>
        <v/>
      </c>
      <c r="G30" s="24">
        <f>G24+G25+G26+G27+G28+G29</f>
        <v/>
      </c>
      <c r="H30" s="24">
        <f>H24+H25+H26+H27+H28+H29</f>
        <v/>
      </c>
      <c r="I30" s="24">
        <f>I24+I25+I26+I27+I28+I29</f>
        <v/>
      </c>
      <c r="J30" s="24">
        <f>J24+J25+J26+J27+J28+J29</f>
        <v/>
      </c>
      <c r="K30" s="24">
        <f>K24+K25+K26+K27+K28+K29</f>
        <v/>
      </c>
      <c r="L30" s="24">
        <f>L24+L25+L26+L27+L28+L29</f>
        <v/>
      </c>
      <c r="M30" s="24">
        <f>M24+M25+M26+M27+M28+M29</f>
        <v/>
      </c>
      <c r="N30" s="24">
        <f>N24+N25+N26+N27+N28+N29</f>
        <v/>
      </c>
      <c r="O30" s="24">
        <f>O24+O25+O26+O27+O28+O29</f>
        <v/>
      </c>
      <c r="P30" s="24">
        <f>P24+P25+P26+P27+P28+P29</f>
        <v/>
      </c>
      <c r="Q30" s="24">
        <f>Q24+Q25+Q26+Q27+Q28+Q29</f>
        <v/>
      </c>
      <c r="R30" s="24">
        <f>R24+R25+R26+R27+R28+R29</f>
        <v/>
      </c>
      <c r="S30" s="24">
        <f>S24+S25+S26+S27+S28+S29</f>
        <v/>
      </c>
      <c r="T30" s="24">
        <f>T24+T25+T26+T27+T28+T29</f>
        <v/>
      </c>
      <c r="U30" s="24">
        <f>U24+U25+U26+U27+U28+U29</f>
        <v/>
      </c>
      <c r="V30" s="24">
        <f>V24+V25+V26+V27+V28+V29</f>
        <v/>
      </c>
      <c r="W30" s="24">
        <f>W24+W25+W26+W27+W28+W29</f>
        <v/>
      </c>
      <c r="X30" s="24">
        <f>X24+X25+X26+X27+X28+X29</f>
        <v/>
      </c>
      <c r="Y30" s="24">
        <f>Y24+Y25+Y26+Y27+Y28+Y29</f>
        <v/>
      </c>
      <c r="Z30" s="24">
        <f>Z24+Z25+Z26+Z27+Z28+Z29</f>
        <v/>
      </c>
      <c r="AA30" s="24">
        <f>AA24+AA25+AA26+AA27+AA28+AA29</f>
        <v/>
      </c>
      <c r="AB30" s="24">
        <f>AB24+AB25+AB26+AB27+AB28+AB29</f>
        <v/>
      </c>
      <c r="AC30" s="24">
        <f>AC24+AC25+AC26+AC27+AC28+AC29</f>
        <v/>
      </c>
      <c r="AD30" s="24">
        <f>AD24+AD25+AD26+AD27+AD28+AD29</f>
        <v/>
      </c>
      <c r="AE30" s="24">
        <f>AE24+AE25+AE26+AE27+AE28+AE29</f>
        <v/>
      </c>
      <c r="AF30" s="24">
        <f>AF24+AF25+AF26+AF27+AF28+AF29</f>
        <v/>
      </c>
      <c r="AG30" s="24">
        <f>AG24+AG25+AG26+AG27+AG28+AG29</f>
        <v/>
      </c>
      <c r="AH30" s="24">
        <f>AH24+AH25+AH26+AH27+AH28+AH29</f>
        <v/>
      </c>
      <c r="AI30" s="24">
        <f>AI24+AI25+AI26+AI27+AI28+AI29</f>
        <v/>
      </c>
      <c r="AJ30" s="24">
        <f>AJ24+AJ25+AJ26+AJ27+AJ28+AJ29</f>
        <v/>
      </c>
      <c r="AK30" s="11">
        <f>IF(N30&lt;&gt;0,(AB30-N30)/ABS(N30),0)</f>
        <v/>
      </c>
      <c r="AL30" s="11">
        <f>IF(AB30&lt;&gt;0,(AJ30-AB30)/ABS(AB30),0)</f>
        <v/>
      </c>
    </row>
    <row r="31" ht="5" customHeight="1"/>
    <row r="32" ht="13" customHeight="1">
      <c r="A32" s="14" t="inlineStr">
        <is>
          <t>Premises &amp; Admin</t>
        </is>
      </c>
    </row>
    <row r="33" ht="13" customHeight="1">
      <c r="A33" s="25" t="inlineStr">
        <is>
          <t xml:space="preserve">    Rent</t>
        </is>
      </c>
      <c r="B33" s="26" t="n">
        <v>0</v>
      </c>
      <c r="C33" s="26" t="n">
        <v>0</v>
      </c>
      <c r="D33" s="26" t="n">
        <v>0</v>
      </c>
      <c r="E33" s="26" t="n">
        <v>0</v>
      </c>
      <c r="F33" s="26" t="n">
        <v>0</v>
      </c>
      <c r="G33" s="26" t="n">
        <v>0</v>
      </c>
      <c r="H33" s="26" t="n">
        <v>0</v>
      </c>
      <c r="I33" s="26" t="n">
        <v>0</v>
      </c>
      <c r="J33" s="26" t="n">
        <v>0</v>
      </c>
      <c r="K33" s="26" t="n">
        <v>0</v>
      </c>
      <c r="L33" s="26" t="n">
        <v>0</v>
      </c>
      <c r="M33" s="26" t="n">
        <v>0</v>
      </c>
      <c r="N33" s="26">
        <f>SUM(B33:M33)</f>
        <v/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  <c r="V33" s="26" t="n">
        <v>0</v>
      </c>
      <c r="W33" s="26" t="n">
        <v>0</v>
      </c>
      <c r="X33" s="26" t="n">
        <v>0</v>
      </c>
      <c r="Y33" s="26" t="n">
        <v>0</v>
      </c>
      <c r="Z33" s="26" t="n">
        <v>0</v>
      </c>
      <c r="AA33" s="26">
        <f>SUM(O33:U33)</f>
        <v/>
      </c>
      <c r="AB33" s="26">
        <f>SUM(O33:Z33)</f>
        <v/>
      </c>
      <c r="AC33" s="26" t="n">
        <v>0</v>
      </c>
      <c r="AD33" s="26" t="n">
        <v>0</v>
      </c>
      <c r="AE33" s="26" t="n">
        <v>0</v>
      </c>
      <c r="AF33" s="26" t="n">
        <v>0</v>
      </c>
      <c r="AG33" s="26" t="n">
        <v>0</v>
      </c>
      <c r="AH33" s="26" t="n">
        <v>0</v>
      </c>
      <c r="AI33" s="10">
        <f>SUM(AC33:AH33)</f>
        <v/>
      </c>
      <c r="AJ33" s="26">
        <f>SUM(AC33:AH33)+AI33</f>
        <v/>
      </c>
      <c r="AK33" s="11">
        <f>IF(N33&lt;&gt;0,(AB33-N33)/ABS(N33),0)</f>
        <v/>
      </c>
      <c r="AL33" s="11">
        <f>IF(AB33&lt;&gt;0,(AJ33-AB33)/ABS(AB33),0)</f>
        <v/>
      </c>
    </row>
    <row r="34" ht="13" customHeight="1">
      <c r="A34" s="25" t="inlineStr">
        <is>
          <t xml:space="preserve">    Business Rates</t>
        </is>
      </c>
      <c r="B34" s="26" t="n">
        <v>1060.38</v>
      </c>
      <c r="C34" s="26" t="n">
        <v>1060.38</v>
      </c>
      <c r="D34" s="26" t="n">
        <v>1060.38</v>
      </c>
      <c r="E34" s="26" t="n">
        <v>1060.38</v>
      </c>
      <c r="F34" s="26" t="n">
        <v>1060.38</v>
      </c>
      <c r="G34" s="26" t="n">
        <v>1060.38</v>
      </c>
      <c r="H34" s="26" t="n">
        <v>1060.38</v>
      </c>
      <c r="I34" s="26" t="n">
        <v>1060.38</v>
      </c>
      <c r="J34" s="26" t="n">
        <v>1060.38</v>
      </c>
      <c r="K34" s="26" t="n">
        <v>1060.38</v>
      </c>
      <c r="L34" s="26" t="n">
        <v>1060.38</v>
      </c>
      <c r="M34" s="26" t="n">
        <v>1060.38</v>
      </c>
      <c r="N34" s="26">
        <f>SUM(B34:M34)</f>
        <v/>
      </c>
      <c r="O34" s="26" t="n">
        <v>1060.36</v>
      </c>
      <c r="P34" s="26" t="n">
        <v>1060.36</v>
      </c>
      <c r="Q34" s="26" t="n">
        <v>1060.36</v>
      </c>
      <c r="R34" s="26" t="n">
        <v>1178.67</v>
      </c>
      <c r="S34" s="26" t="n">
        <v>1178.67</v>
      </c>
      <c r="T34" s="26" t="n">
        <v>1178.67</v>
      </c>
      <c r="U34" s="26" t="n">
        <v>1178.67</v>
      </c>
      <c r="AA34" s="26">
        <f>SUM(O34:U34)</f>
        <v/>
      </c>
      <c r="AB34" s="26">
        <f>SUM(O34:Z34)</f>
        <v/>
      </c>
      <c r="AC34" s="26" t="n">
        <v>1178.666666666667</v>
      </c>
      <c r="AD34" s="26" t="n">
        <v>1178.666666666667</v>
      </c>
      <c r="AE34" s="26" t="n">
        <v>1178.666666666667</v>
      </c>
      <c r="AF34" s="26" t="n">
        <v>1178.666666666667</v>
      </c>
      <c r="AG34" s="26" t="n">
        <v>1178.666666666667</v>
      </c>
      <c r="AH34" s="26" t="n">
        <v>1178.666666666667</v>
      </c>
      <c r="AI34" s="10">
        <f>SUM(AC34:AH34)</f>
        <v/>
      </c>
      <c r="AJ34" s="26">
        <f>SUM(AC34:AH34)+AI34</f>
        <v/>
      </c>
      <c r="AK34" s="11">
        <f>IF(N34&lt;&gt;0,(AB34-N34)/ABS(N34),0)</f>
        <v/>
      </c>
      <c r="AL34" s="11">
        <f>IF(AB34&lt;&gt;0,(AJ34-AB34)/ABS(AB34),0)</f>
        <v/>
      </c>
    </row>
    <row r="35" ht="13" customHeight="1">
      <c r="A35" s="25" t="inlineStr">
        <is>
          <t xml:space="preserve">    Utilities</t>
        </is>
      </c>
      <c r="B35" s="26" t="n">
        <v>1084.35</v>
      </c>
      <c r="C35" s="26" t="n">
        <v>1856.09</v>
      </c>
      <c r="D35" s="26" t="n">
        <v>680.11</v>
      </c>
      <c r="E35" s="26" t="n">
        <v>1041.36</v>
      </c>
      <c r="F35" s="26" t="n">
        <v>1404.7</v>
      </c>
      <c r="G35" s="26" t="n">
        <v>49.78000000000003</v>
      </c>
      <c r="H35" s="26" t="n">
        <v>566.46</v>
      </c>
      <c r="I35" s="26" t="n">
        <v>748.4400000000001</v>
      </c>
      <c r="J35" s="26" t="n">
        <v>123.63</v>
      </c>
      <c r="K35" s="26" t="n">
        <v>557.7</v>
      </c>
      <c r="L35" s="26" t="n">
        <v>914.73</v>
      </c>
      <c r="M35" s="26" t="n">
        <v>843.45</v>
      </c>
      <c r="N35" s="26">
        <f>SUM(B35:M35)</f>
        <v/>
      </c>
      <c r="O35" s="26" t="n">
        <v>976.8799999999999</v>
      </c>
      <c r="P35" s="26" t="n">
        <v>1232.13</v>
      </c>
      <c r="Q35" s="26" t="n">
        <v>699.2399999999998</v>
      </c>
      <c r="R35" s="26" t="n">
        <v>870</v>
      </c>
      <c r="S35" s="26" t="n">
        <v>652.4200000000001</v>
      </c>
      <c r="T35" s="26" t="n">
        <v>416.51</v>
      </c>
      <c r="U35" s="26" t="n">
        <v>537.1300000000001</v>
      </c>
      <c r="AA35" s="26">
        <f>SUM(O35:U35)</f>
        <v/>
      </c>
      <c r="AB35" s="26">
        <f>SUM(O35:Z35)</f>
        <v/>
      </c>
      <c r="AC35" s="26" t="n">
        <v>808</v>
      </c>
      <c r="AD35" s="26" t="n">
        <v>808</v>
      </c>
      <c r="AE35" s="26" t="n">
        <v>808</v>
      </c>
      <c r="AF35" s="26" t="n">
        <v>808</v>
      </c>
      <c r="AG35" s="26" t="n">
        <v>808</v>
      </c>
      <c r="AH35" s="26" t="n">
        <v>808</v>
      </c>
      <c r="AI35" s="10">
        <f>SUM(AC35:AH35)</f>
        <v/>
      </c>
      <c r="AJ35" s="26">
        <f>SUM(AC35:AH35)+AI35</f>
        <v/>
      </c>
      <c r="AK35" s="11">
        <f>IF(N35&lt;&gt;0,(AB35-N35)/ABS(N35),0)</f>
        <v/>
      </c>
      <c r="AL35" s="11">
        <f>IF(AB35&lt;&gt;0,(AJ35-AB35)/ABS(AB35),0)</f>
        <v/>
      </c>
    </row>
    <row r="36" ht="13" customHeight="1">
      <c r="A36" s="25" t="inlineStr">
        <is>
          <t xml:space="preserve">    Repairs &amp; Maintenance</t>
        </is>
      </c>
      <c r="B36" s="26" t="n">
        <v>1970.4</v>
      </c>
      <c r="C36" s="26" t="n">
        <v>4574.36</v>
      </c>
      <c r="D36" s="26" t="n">
        <v>3343.43</v>
      </c>
      <c r="E36" s="26" t="n">
        <v>2248.52</v>
      </c>
      <c r="F36" s="26" t="n">
        <v>1000.26</v>
      </c>
      <c r="G36" s="26" t="n">
        <v>36.5</v>
      </c>
      <c r="H36" s="26" t="n">
        <v>1663.64</v>
      </c>
      <c r="I36" s="26" t="n">
        <v>470.86</v>
      </c>
      <c r="J36" s="26" t="n">
        <v>14.64</v>
      </c>
      <c r="K36" s="26" t="n">
        <v>856.8200000000001</v>
      </c>
      <c r="L36" s="26" t="n">
        <v>36</v>
      </c>
      <c r="M36" s="26" t="n">
        <v>171.36</v>
      </c>
      <c r="N36" s="26">
        <f>SUM(B36:M36)</f>
        <v/>
      </c>
      <c r="O36" s="26" t="n">
        <v>0</v>
      </c>
      <c r="P36" s="26" t="n">
        <v>0</v>
      </c>
      <c r="Q36" s="26" t="n">
        <v>9.98</v>
      </c>
      <c r="R36" s="26" t="n">
        <v>0</v>
      </c>
      <c r="S36" s="26" t="n">
        <v>29.27</v>
      </c>
      <c r="T36" s="26" t="n">
        <v>121.79</v>
      </c>
      <c r="U36" s="26" t="n">
        <v>108</v>
      </c>
      <c r="AA36" s="26">
        <f>SUM(O36:U36)</f>
        <v/>
      </c>
      <c r="AB36" s="26">
        <f>SUM(O36:Z36)</f>
        <v/>
      </c>
      <c r="AC36" s="26" t="n">
        <v>0</v>
      </c>
      <c r="AD36" s="26" t="n">
        <v>0</v>
      </c>
      <c r="AE36" s="26" t="n">
        <v>0</v>
      </c>
      <c r="AF36" s="26" t="n">
        <v>0</v>
      </c>
      <c r="AG36" s="26" t="n">
        <v>0</v>
      </c>
      <c r="AH36" s="26" t="n">
        <v>0</v>
      </c>
      <c r="AI36" s="10">
        <f>SUM(AC36:AH36)</f>
        <v/>
      </c>
      <c r="AJ36" s="26">
        <f>SUM(AC36:AH36)+AI36</f>
        <v/>
      </c>
      <c r="AK36" s="11">
        <f>IF(N36&lt;&gt;0,(AB36-N36)/ABS(N36),0)</f>
        <v/>
      </c>
      <c r="AL36" s="11">
        <f>IF(AB36&lt;&gt;0,(AJ36-AB36)/ABS(AB36),0)</f>
        <v/>
      </c>
    </row>
    <row r="37" ht="13" customHeight="1">
      <c r="A37" s="25" t="inlineStr">
        <is>
          <t xml:space="preserve">    Cleaning</t>
        </is>
      </c>
      <c r="B37" s="26" t="n">
        <v>188.6</v>
      </c>
      <c r="C37" s="26" t="n">
        <v>249.73</v>
      </c>
      <c r="D37" s="26" t="n">
        <v>292.16</v>
      </c>
      <c r="E37" s="26" t="n">
        <v>49.57</v>
      </c>
      <c r="F37" s="26" t="n">
        <v>542.98</v>
      </c>
      <c r="G37" s="26" t="n">
        <v>335.03</v>
      </c>
      <c r="H37" s="26" t="n">
        <v>284.16</v>
      </c>
      <c r="I37" s="26" t="n">
        <v>299.86</v>
      </c>
      <c r="J37" s="26" t="n">
        <v>559.89</v>
      </c>
      <c r="K37" s="26" t="n">
        <v>291.24</v>
      </c>
      <c r="L37" s="26" t="n">
        <v>101.59</v>
      </c>
      <c r="M37" s="26" t="n">
        <v>113.21</v>
      </c>
      <c r="N37" s="26">
        <f>SUM(B37:M37)</f>
        <v/>
      </c>
      <c r="O37" s="26" t="n">
        <v>203.38</v>
      </c>
      <c r="P37" s="26" t="n">
        <v>611.38</v>
      </c>
      <c r="Q37" s="26" t="n">
        <v>303.73</v>
      </c>
      <c r="R37" s="26" t="n">
        <v>143.24</v>
      </c>
      <c r="S37" s="26" t="n">
        <v>217.05</v>
      </c>
      <c r="T37" s="26" t="n">
        <v>365.89</v>
      </c>
      <c r="U37" s="26" t="n">
        <v>206.52</v>
      </c>
      <c r="AA37" s="26">
        <f>SUM(O37:U37)</f>
        <v/>
      </c>
      <c r="AB37" s="26">
        <f>SUM(O37:Z37)</f>
        <v/>
      </c>
      <c r="AC37" s="26" t="n">
        <v>310</v>
      </c>
      <c r="AD37" s="26" t="n">
        <v>310</v>
      </c>
      <c r="AE37" s="26" t="n">
        <v>310</v>
      </c>
      <c r="AF37" s="26" t="n">
        <v>310</v>
      </c>
      <c r="AG37" s="26" t="n">
        <v>310</v>
      </c>
      <c r="AH37" s="26" t="n">
        <v>310</v>
      </c>
      <c r="AI37" s="10">
        <f>SUM(AC37:AH37)</f>
        <v/>
      </c>
      <c r="AJ37" s="26">
        <f>SUM(AC37:AH37)+AI37</f>
        <v/>
      </c>
      <c r="AK37" s="11">
        <f>IF(N37&lt;&gt;0,(AB37-N37)/ABS(N37),0)</f>
        <v/>
      </c>
      <c r="AL37" s="11">
        <f>IF(AB37&lt;&gt;0,(AJ37-AB37)/ABS(AB37),0)</f>
        <v/>
      </c>
    </row>
    <row r="38" ht="13" customHeight="1">
      <c r="A38" s="25" t="inlineStr">
        <is>
          <t xml:space="preserve">    Waste Disposal</t>
        </is>
      </c>
      <c r="B38" s="26" t="n">
        <v>332.71</v>
      </c>
      <c r="C38" s="26" t="n">
        <v>364.75</v>
      </c>
      <c r="D38" s="26" t="n">
        <v>380.11</v>
      </c>
      <c r="E38" s="26" t="n">
        <v>561.51</v>
      </c>
      <c r="F38" s="26" t="n">
        <v>426.52</v>
      </c>
      <c r="G38" s="26" t="n">
        <v>400.96</v>
      </c>
      <c r="H38" s="26" t="n">
        <v>339.75</v>
      </c>
      <c r="I38" s="26" t="n">
        <v>354.05</v>
      </c>
      <c r="J38" s="26" t="n">
        <v>630.6600000000001</v>
      </c>
      <c r="K38" s="26" t="n">
        <v>354.05</v>
      </c>
      <c r="L38" s="26" t="n">
        <v>404.45</v>
      </c>
      <c r="M38" s="26" t="n">
        <v>415.26</v>
      </c>
      <c r="N38" s="26">
        <f>SUM(B38:M38)</f>
        <v/>
      </c>
      <c r="O38" s="26" t="n">
        <v>354.05</v>
      </c>
      <c r="P38" s="26" t="n">
        <v>363.36</v>
      </c>
      <c r="Q38" s="26" t="n">
        <v>474.96</v>
      </c>
      <c r="R38" s="26" t="n">
        <v>471.4</v>
      </c>
      <c r="S38" s="26" t="n">
        <v>390.36</v>
      </c>
      <c r="T38" s="26" t="n">
        <v>255.3</v>
      </c>
      <c r="U38" s="26" t="n">
        <v>494.27</v>
      </c>
      <c r="AA38" s="26">
        <f>SUM(O38:U38)</f>
        <v/>
      </c>
      <c r="AB38" s="26">
        <f>SUM(O38:Z38)</f>
        <v/>
      </c>
      <c r="AC38" s="26" t="n">
        <v>385</v>
      </c>
      <c r="AD38" s="26" t="n">
        <v>385</v>
      </c>
      <c r="AE38" s="26" t="n">
        <v>385</v>
      </c>
      <c r="AF38" s="26" t="n">
        <v>385</v>
      </c>
      <c r="AG38" s="26" t="n">
        <v>385</v>
      </c>
      <c r="AH38" s="26" t="n">
        <v>385</v>
      </c>
      <c r="AI38" s="10">
        <f>SUM(AC38:AH38)</f>
        <v/>
      </c>
      <c r="AJ38" s="26">
        <f>SUM(AC38:AH38)+AI38</f>
        <v/>
      </c>
      <c r="AK38" s="11">
        <f>IF(N38&lt;&gt;0,(AB38-N38)/ABS(N38),0)</f>
        <v/>
      </c>
      <c r="AL38" s="11">
        <f>IF(AB38&lt;&gt;0,(AJ38-AB38)/ABS(AB38),0)</f>
        <v/>
      </c>
    </row>
    <row r="39" ht="13" customHeight="1">
      <c r="A39" s="25" t="inlineStr">
        <is>
          <t xml:space="preserve">    Postage/Printing/Stationery</t>
        </is>
      </c>
      <c r="B39" s="26" t="n">
        <v>52.03</v>
      </c>
      <c r="C39" s="26" t="n">
        <v>23.34</v>
      </c>
      <c r="D39" s="26" t="n">
        <v>21.74</v>
      </c>
      <c r="E39" s="26" t="n">
        <v>61.92</v>
      </c>
      <c r="F39" s="26" t="n">
        <v>81.43000000000001</v>
      </c>
      <c r="G39" s="26" t="n">
        <v>32.69</v>
      </c>
      <c r="H39" s="26" t="n">
        <v>84.15000000000001</v>
      </c>
      <c r="I39" s="26" t="n">
        <v>53.12</v>
      </c>
      <c r="J39" s="26" t="n">
        <v>75.13</v>
      </c>
      <c r="K39" s="26" t="n">
        <v>81.78999999999999</v>
      </c>
      <c r="L39" s="26" t="n">
        <v>68.56999999999999</v>
      </c>
      <c r="M39" s="26" t="n">
        <v>86.96000000000001</v>
      </c>
      <c r="N39" s="26">
        <f>SUM(B39:M39)</f>
        <v/>
      </c>
      <c r="O39" s="26" t="n">
        <v>87.21000000000001</v>
      </c>
      <c r="P39" s="26" t="n">
        <v>82.62</v>
      </c>
      <c r="Q39" s="26" t="n">
        <v>91.55999999999999</v>
      </c>
      <c r="R39" s="26" t="n">
        <v>93.77</v>
      </c>
      <c r="S39" s="26" t="n">
        <v>73.19</v>
      </c>
      <c r="T39" s="26" t="n">
        <v>98.50999999999999</v>
      </c>
      <c r="U39" s="26" t="n">
        <v>78.42</v>
      </c>
      <c r="AA39" s="26">
        <f>SUM(O39:U39)</f>
        <v/>
      </c>
      <c r="AB39" s="26">
        <f>SUM(O39:Z39)</f>
        <v/>
      </c>
      <c r="AC39" s="26" t="n">
        <v>0</v>
      </c>
      <c r="AD39" s="26" t="n">
        <v>0</v>
      </c>
      <c r="AE39" s="26" t="n">
        <v>0</v>
      </c>
      <c r="AF39" s="26" t="n">
        <v>0</v>
      </c>
      <c r="AG39" s="26" t="n">
        <v>0</v>
      </c>
      <c r="AH39" s="26" t="n">
        <v>0</v>
      </c>
      <c r="AI39" s="10">
        <f>SUM(AC39:AH39)</f>
        <v/>
      </c>
      <c r="AJ39" s="26">
        <f>SUM(AC39:AH39)+AI39</f>
        <v/>
      </c>
      <c r="AK39" s="11">
        <f>IF(N39&lt;&gt;0,(AB39-N39)/ABS(N39),0)</f>
        <v/>
      </c>
      <c r="AL39" s="11">
        <f>IF(AB39&lt;&gt;0,(AJ39-AB39)/ABS(AB39),0)</f>
        <v/>
      </c>
    </row>
    <row r="40" ht="13" customHeight="1">
      <c r="A40" s="25" t="inlineStr">
        <is>
          <t xml:space="preserve">    Telephone</t>
        </is>
      </c>
      <c r="B40" s="26" t="n">
        <v>0</v>
      </c>
      <c r="C40" s="26" t="n">
        <v>0</v>
      </c>
      <c r="D40" s="26" t="n">
        <v>0</v>
      </c>
      <c r="E40" s="26" t="n">
        <v>0</v>
      </c>
      <c r="F40" s="26" t="n">
        <v>0</v>
      </c>
      <c r="G40" s="26" t="n">
        <v>0</v>
      </c>
      <c r="H40" s="26" t="n">
        <v>0</v>
      </c>
      <c r="I40" s="26" t="n">
        <v>0</v>
      </c>
      <c r="J40" s="26" t="n">
        <v>0</v>
      </c>
      <c r="K40" s="26" t="n">
        <v>0</v>
      </c>
      <c r="L40" s="26" t="n">
        <v>0</v>
      </c>
      <c r="M40" s="26" t="n">
        <v>0</v>
      </c>
      <c r="N40" s="26">
        <f>SUM(B40:M40)</f>
        <v/>
      </c>
      <c r="O40" s="26" t="n">
        <v>0</v>
      </c>
      <c r="P40" s="26" t="n">
        <v>0</v>
      </c>
      <c r="Q40" s="26" t="n">
        <v>0</v>
      </c>
      <c r="R40" s="26" t="n">
        <v>0</v>
      </c>
      <c r="S40" s="26" t="n">
        <v>0</v>
      </c>
      <c r="T40" s="26" t="n">
        <v>22</v>
      </c>
      <c r="U40" s="26" t="n">
        <v>0</v>
      </c>
      <c r="AA40" s="26">
        <f>SUM(O40:U40)</f>
        <v/>
      </c>
      <c r="AB40" s="26">
        <f>SUM(O40:Z40)</f>
        <v/>
      </c>
      <c r="AC40" s="26" t="n">
        <v>0</v>
      </c>
      <c r="AD40" s="26" t="n">
        <v>0</v>
      </c>
      <c r="AE40" s="26" t="n">
        <v>0</v>
      </c>
      <c r="AF40" s="26" t="n">
        <v>0</v>
      </c>
      <c r="AG40" s="26" t="n">
        <v>0</v>
      </c>
      <c r="AH40" s="26" t="n">
        <v>0</v>
      </c>
      <c r="AI40" s="10">
        <f>SUM(AC40:AH40)</f>
        <v/>
      </c>
      <c r="AJ40" s="26">
        <f>SUM(AC40:AH40)+AI40</f>
        <v/>
      </c>
      <c r="AK40" s="11">
        <f>IF(N40&lt;&gt;0,(AB40-N40)/ABS(N40),0)</f>
        <v/>
      </c>
      <c r="AL40" s="11">
        <f>IF(AB40&lt;&gt;0,(AJ40-AB40)/ABS(AB40),0)</f>
        <v/>
      </c>
    </row>
    <row r="41" ht="13" customHeight="1">
      <c r="A41" s="25" t="inlineStr">
        <is>
          <t xml:space="preserve">    Marketing</t>
        </is>
      </c>
      <c r="B41" s="26" t="n">
        <v>14.58</v>
      </c>
      <c r="C41" s="26" t="n">
        <v>14.58</v>
      </c>
      <c r="D41" s="26" t="n">
        <v>149.79</v>
      </c>
      <c r="E41" s="26" t="n">
        <v>234.58</v>
      </c>
      <c r="F41" s="26" t="n">
        <v>1.59</v>
      </c>
      <c r="G41" s="26" t="n">
        <v>46.59</v>
      </c>
      <c r="H41" s="26" t="n">
        <v>-1.3</v>
      </c>
      <c r="I41" s="26" t="n">
        <v>45</v>
      </c>
      <c r="J41" s="26" t="n">
        <v>0</v>
      </c>
      <c r="K41" s="26" t="n">
        <v>0</v>
      </c>
      <c r="L41" s="26" t="n">
        <v>0</v>
      </c>
      <c r="M41" s="26" t="n">
        <v>0</v>
      </c>
      <c r="N41" s="26">
        <f>SUM(B41:M41)</f>
        <v/>
      </c>
      <c r="O41" s="26" t="n">
        <v>66</v>
      </c>
      <c r="P41" s="26" t="n">
        <v>0</v>
      </c>
      <c r="Q41" s="26" t="n">
        <v>0</v>
      </c>
      <c r="R41" s="26" t="n">
        <v>72</v>
      </c>
      <c r="S41" s="26" t="n">
        <v>0</v>
      </c>
      <c r="T41" s="26" t="n">
        <v>0</v>
      </c>
      <c r="U41" s="26" t="n">
        <v>4.99</v>
      </c>
      <c r="AA41" s="26">
        <f>SUM(O41:U41)</f>
        <v/>
      </c>
      <c r="AB41" s="26">
        <f>SUM(O41:Z41)</f>
        <v/>
      </c>
      <c r="AC41" s="26" t="n">
        <v>100</v>
      </c>
      <c r="AD41" s="26" t="n">
        <v>100</v>
      </c>
      <c r="AE41" s="26" t="n">
        <v>100</v>
      </c>
      <c r="AF41" s="26" t="n">
        <v>100</v>
      </c>
      <c r="AG41" s="26" t="n">
        <v>100</v>
      </c>
      <c r="AH41" s="26" t="n">
        <v>100</v>
      </c>
      <c r="AI41" s="10">
        <f>SUM(AC41:AH41)</f>
        <v/>
      </c>
      <c r="AJ41" s="26">
        <f>SUM(AC41:AH41)+AI41</f>
        <v/>
      </c>
      <c r="AK41" s="11">
        <f>IF(N41&lt;&gt;0,(AB41-N41)/ABS(N41),0)</f>
        <v/>
      </c>
      <c r="AL41" s="11">
        <f>IF(AB41&lt;&gt;0,(AJ41-AB41)/ABS(AB41),0)</f>
        <v/>
      </c>
    </row>
    <row r="42" ht="13" customHeight="1">
      <c r="A42" s="27" t="inlineStr">
        <is>
          <t>Total Premises &amp; Admin</t>
        </is>
      </c>
      <c r="B42" s="28">
        <f>B33+B34+B35+B36+B37+B38+B39+B40+B41</f>
        <v/>
      </c>
      <c r="C42" s="28">
        <f>C33+C34+C35+C36+C37+C38+C39+C40+C41</f>
        <v/>
      </c>
      <c r="D42" s="28">
        <f>D33+D34+D35+D36+D37+D38+D39+D40+D41</f>
        <v/>
      </c>
      <c r="E42" s="28">
        <f>E33+E34+E35+E36+E37+E38+E39+E40+E41</f>
        <v/>
      </c>
      <c r="F42" s="28">
        <f>F33+F34+F35+F36+F37+F38+F39+F40+F41</f>
        <v/>
      </c>
      <c r="G42" s="28">
        <f>G33+G34+G35+G36+G37+G38+G39+G40+G41</f>
        <v/>
      </c>
      <c r="H42" s="28">
        <f>H33+H34+H35+H36+H37+H38+H39+H40+H41</f>
        <v/>
      </c>
      <c r="I42" s="28">
        <f>I33+I34+I35+I36+I37+I38+I39+I40+I41</f>
        <v/>
      </c>
      <c r="J42" s="28">
        <f>J33+J34+J35+J36+J37+J38+J39+J40+J41</f>
        <v/>
      </c>
      <c r="K42" s="28">
        <f>K33+K34+K35+K36+K37+K38+K39+K40+K41</f>
        <v/>
      </c>
      <c r="L42" s="28">
        <f>L33+L34+L35+L36+L37+L38+L39+L40+L41</f>
        <v/>
      </c>
      <c r="M42" s="28">
        <f>M33+M34+M35+M36+M37+M38+M39+M40+M41</f>
        <v/>
      </c>
      <c r="N42" s="28">
        <f>N33+N34+N35+N36+N37+N38+N39+N40+N41</f>
        <v/>
      </c>
      <c r="O42" s="28">
        <f>O33+O34+O35+O36+O37+O38+O39+O40+O41</f>
        <v/>
      </c>
      <c r="P42" s="28">
        <f>P33+P34+P35+P36+P37+P38+P39+P40+P41</f>
        <v/>
      </c>
      <c r="Q42" s="28">
        <f>Q33+Q34+Q35+Q36+Q37+Q38+Q39+Q40+Q41</f>
        <v/>
      </c>
      <c r="R42" s="28">
        <f>R33+R34+R35+R36+R37+R38+R39+R40+R41</f>
        <v/>
      </c>
      <c r="S42" s="28">
        <f>S33+S34+S35+S36+S37+S38+S39+S40+S41</f>
        <v/>
      </c>
      <c r="T42" s="28">
        <f>T33+T34+T35+T36+T37+T38+T39+T40+T41</f>
        <v/>
      </c>
      <c r="U42" s="28">
        <f>U33+U34+U35+U36+U37+U38+U39+U40+U41</f>
        <v/>
      </c>
      <c r="V42" s="28">
        <f>V33+V34+V35+V36+V37+V38+V39+V40+V41</f>
        <v/>
      </c>
      <c r="W42" s="28">
        <f>W33+W34+W35+W36+W37+W38+W39+W40+W41</f>
        <v/>
      </c>
      <c r="X42" s="28">
        <f>X33+X34+X35+X36+X37+X38+X39+X40+X41</f>
        <v/>
      </c>
      <c r="Y42" s="28">
        <f>Y33+Y34+Y35+Y36+Y37+Y38+Y39+Y40+Y41</f>
        <v/>
      </c>
      <c r="Z42" s="28">
        <f>Z33+Z34+Z35+Z36+Z37+Z38+Z39+Z40+Z41</f>
        <v/>
      </c>
      <c r="AA42" s="28">
        <f>AA33+AA34+AA35+AA36+AA37+AA38+AA39+AA40+AA41</f>
        <v/>
      </c>
      <c r="AB42" s="28">
        <f>AB33+AB34+AB35+AB36+AB37+AB38+AB39+AB40+AB41</f>
        <v/>
      </c>
      <c r="AC42" s="28">
        <f>AC33+AC34+AC35+AC36+AC37+AC38+AC39+AC40+AC41</f>
        <v/>
      </c>
      <c r="AD42" s="28">
        <f>AD33+AD34+AD35+AD36+AD37+AD38+AD39+AD40+AD41</f>
        <v/>
      </c>
      <c r="AE42" s="28">
        <f>AE33+AE34+AE35+AE36+AE37+AE38+AE39+AE40+AE41</f>
        <v/>
      </c>
      <c r="AF42" s="28">
        <f>AF33+AF34+AF35+AF36+AF37+AF38+AF39+AF40+AF41</f>
        <v/>
      </c>
      <c r="AG42" s="28">
        <f>AG33+AG34+AG35+AG36+AG37+AG38+AG39+AG40+AG41</f>
        <v/>
      </c>
      <c r="AH42" s="28">
        <f>AH33+AH34+AH35+AH36+AH37+AH38+AH39+AH40+AH41</f>
        <v/>
      </c>
      <c r="AI42" s="28">
        <f>AI33+AI34+AI35+AI36+AI37+AI38+AI39+AI40+AI41</f>
        <v/>
      </c>
      <c r="AJ42" s="28">
        <f>AJ33+AJ34+AJ35+AJ36+AJ37+AJ38+AJ39+AJ40+AJ41</f>
        <v/>
      </c>
      <c r="AK42" s="11">
        <f>IF(N42&lt;&gt;0,(AB42-N42)/ABS(N42),0)</f>
        <v/>
      </c>
      <c r="AL42" s="11">
        <f>IF(AB42&lt;&gt;0,(AJ42-AB42)/ABS(AB42),0)</f>
        <v/>
      </c>
    </row>
    <row r="43" ht="5" customHeight="1"/>
    <row r="44" ht="13" customHeight="1">
      <c r="A44" s="29" t="inlineStr">
        <is>
          <t>Total Direct Costs</t>
        </is>
      </c>
      <c r="AK44" s="11">
        <f>IF(N44&lt;&gt;0,(AB44-N44)/ABS(N44),0)</f>
        <v/>
      </c>
      <c r="AL44" s="11">
        <f>IF(AB44&lt;&gt;0,(AJ44-AB44)/ABS(AB44),0)</f>
        <v/>
      </c>
    </row>
    <row r="45" ht="5" customHeight="1"/>
    <row r="46" ht="15" customHeight="1">
      <c r="A46" s="30" t="inlineStr">
        <is>
          <t>CONTRIBUTION</t>
        </is>
      </c>
      <c r="B46" s="31">
        <f>B7-B44</f>
        <v/>
      </c>
      <c r="C46" s="31">
        <f>C7-C44</f>
        <v/>
      </c>
      <c r="D46" s="31">
        <f>D7-D44</f>
        <v/>
      </c>
      <c r="E46" s="31">
        <f>E7-E44</f>
        <v/>
      </c>
      <c r="F46" s="31">
        <f>F7-F44</f>
        <v/>
      </c>
      <c r="G46" s="31">
        <f>G7-G44</f>
        <v/>
      </c>
      <c r="H46" s="31">
        <f>H7-H44</f>
        <v/>
      </c>
      <c r="I46" s="31">
        <f>I7-I44</f>
        <v/>
      </c>
      <c r="J46" s="31">
        <f>J7-J44</f>
        <v/>
      </c>
      <c r="K46" s="31">
        <f>K7-K44</f>
        <v/>
      </c>
      <c r="L46" s="31">
        <f>L7-L44</f>
        <v/>
      </c>
      <c r="M46" s="31">
        <f>M7-M44</f>
        <v/>
      </c>
      <c r="N46" s="31">
        <f>N7-N44</f>
        <v/>
      </c>
      <c r="O46" s="31">
        <f>O7-O44</f>
        <v/>
      </c>
      <c r="P46" s="31">
        <f>P7-P44</f>
        <v/>
      </c>
      <c r="Q46" s="31">
        <f>Q7-Q44</f>
        <v/>
      </c>
      <c r="R46" s="31">
        <f>R7-R44</f>
        <v/>
      </c>
      <c r="S46" s="31">
        <f>S7-S44</f>
        <v/>
      </c>
      <c r="T46" s="31">
        <f>T7-T44</f>
        <v/>
      </c>
      <c r="U46" s="31">
        <f>U7-U44</f>
        <v/>
      </c>
      <c r="V46" s="31">
        <f>V7-V44</f>
        <v/>
      </c>
      <c r="W46" s="31">
        <f>W7-W44</f>
        <v/>
      </c>
      <c r="X46" s="31">
        <f>X7-X44</f>
        <v/>
      </c>
      <c r="Y46" s="31">
        <f>Y7-Y44</f>
        <v/>
      </c>
      <c r="Z46" s="31">
        <f>Z7-Z44</f>
        <v/>
      </c>
      <c r="AA46" s="31">
        <f>AA7-AA44</f>
        <v/>
      </c>
      <c r="AB46" s="31">
        <f>AB7-AB44</f>
        <v/>
      </c>
      <c r="AC46" s="31">
        <f>AC7-AC44</f>
        <v/>
      </c>
      <c r="AD46" s="31">
        <f>AD7-AD44</f>
        <v/>
      </c>
      <c r="AE46" s="31">
        <f>AE7-AE44</f>
        <v/>
      </c>
      <c r="AF46" s="31">
        <f>AF7-AF44</f>
        <v/>
      </c>
      <c r="AG46" s="31">
        <f>AG7-AG44</f>
        <v/>
      </c>
      <c r="AH46" s="31">
        <f>AH7-AH44</f>
        <v/>
      </c>
      <c r="AI46" s="31">
        <f>AI7-AI44</f>
        <v/>
      </c>
      <c r="AJ46" s="31">
        <f>AJ7-AJ44</f>
        <v/>
      </c>
      <c r="AK46" s="11">
        <f>IF(N46&lt;&gt;0,(AB46-N46)/ABS(N46),0)</f>
        <v/>
      </c>
      <c r="AL46" s="11">
        <f>IF(AB46&lt;&gt;0,(AJ46-AB46)/ABS(AB46),0)</f>
        <v/>
      </c>
    </row>
  </sheetData>
  <mergeCells count="8">
    <mergeCell ref="A10:AL10"/>
    <mergeCell ref="B1:N1"/>
    <mergeCell ref="A23:AL23"/>
    <mergeCell ref="A32:AL32"/>
    <mergeCell ref="AC1:AJ1"/>
    <mergeCell ref="A9:AL9"/>
    <mergeCell ref="A3:AL3"/>
    <mergeCell ref="O1:A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4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9.5" customWidth="1" min="27" max="27"/>
    <col width="9.5" customWidth="1" min="28" max="28"/>
    <col width="9.5" customWidth="1" min="29" max="29"/>
    <col width="9.5" customWidth="1" min="30" max="30"/>
    <col width="9.5" customWidth="1" min="31" max="31"/>
    <col width="9.5" customWidth="1" min="32" max="32"/>
    <col width="9.5" customWidth="1" min="33" max="33"/>
    <col width="9.5" customWidth="1" min="34" max="34"/>
    <col width="9.5" customWidth="1" min="35" max="35"/>
    <col width="11" customWidth="1" min="36" max="36"/>
    <col width="10" customWidth="1" min="37" max="37"/>
    <col width="10" customWidth="1" min="38" max="38"/>
  </cols>
  <sheetData>
    <row r="1" ht="18" customHeight="1">
      <c r="A1" s="1" t="inlineStr">
        <is>
          <t>Bramley Wood</t>
        </is>
      </c>
      <c r="B1" s="2" t="inlineStr">
        <is>
          <t>Actuals 2025</t>
        </is>
      </c>
      <c r="O1" s="2" t="inlineStr">
        <is>
          <t>2026 Actual / Forecast</t>
        </is>
      </c>
      <c r="AC1" s="2" t="inlineStr">
        <is>
          <t>2027 Forecast</t>
        </is>
      </c>
      <c r="AK1" s="3" t="inlineStr">
        <is>
          <t>YoY</t>
        </is>
      </c>
      <c r="AL1" s="3" t="inlineStr">
        <is>
          <t>YoY</t>
        </is>
      </c>
    </row>
    <row r="2" ht="22" customHeight="1">
      <c r="B2" s="4" t="inlineStr">
        <is>
          <t>Jan</t>
        </is>
      </c>
      <c r="C2" s="4" t="inlineStr">
        <is>
          <t>Feb</t>
        </is>
      </c>
      <c r="D2" s="4" t="inlineStr">
        <is>
          <t>Mar</t>
        </is>
      </c>
      <c r="E2" s="4" t="inlineStr">
        <is>
          <t>Apr</t>
        </is>
      </c>
      <c r="F2" s="4" t="inlineStr">
        <is>
          <t>May</t>
        </is>
      </c>
      <c r="G2" s="4" t="inlineStr">
        <is>
          <t>Jun</t>
        </is>
      </c>
      <c r="H2" s="4" t="inlineStr">
        <is>
          <t>Jul</t>
        </is>
      </c>
      <c r="I2" s="4" t="inlineStr">
        <is>
          <t>Aug</t>
        </is>
      </c>
      <c r="J2" s="4" t="inlineStr">
        <is>
          <t>Sep</t>
        </is>
      </c>
      <c r="K2" s="4" t="inlineStr">
        <is>
          <t>Oct</t>
        </is>
      </c>
      <c r="L2" s="4" t="inlineStr">
        <is>
          <t>Nov</t>
        </is>
      </c>
      <c r="M2" s="4" t="inlineStr">
        <is>
          <t>Dec</t>
        </is>
      </c>
      <c r="N2" s="5" t="inlineStr">
        <is>
          <t>FY2025
Total</t>
        </is>
      </c>
      <c r="O2" s="4" t="inlineStr">
        <is>
          <t>Jan</t>
        </is>
      </c>
      <c r="P2" s="4" t="inlineStr">
        <is>
          <t>Feb</t>
        </is>
      </c>
      <c r="Q2" s="4" t="inlineStr">
        <is>
          <t>Mar</t>
        </is>
      </c>
      <c r="R2" s="4" t="inlineStr">
        <is>
          <t>Apr</t>
        </is>
      </c>
      <c r="S2" s="4" t="inlineStr">
        <is>
          <t>May</t>
        </is>
      </c>
      <c r="T2" s="4" t="inlineStr">
        <is>
          <t>Jun</t>
        </is>
      </c>
      <c r="U2" s="4" t="inlineStr">
        <is>
          <t>Jul</t>
        </is>
      </c>
      <c r="V2" s="4" t="inlineStr">
        <is>
          <t>Aug</t>
        </is>
      </c>
      <c r="W2" s="4" t="inlineStr">
        <is>
          <t>Sep</t>
        </is>
      </c>
      <c r="X2" s="4" t="inlineStr">
        <is>
          <t>Oct</t>
        </is>
      </c>
      <c r="Y2" s="4" t="inlineStr">
        <is>
          <t>Nov</t>
        </is>
      </c>
      <c r="Z2" s="4" t="inlineStr">
        <is>
          <t>Dec</t>
        </is>
      </c>
      <c r="AA2" s="4" t="inlineStr">
        <is>
          <t>YTD</t>
        </is>
      </c>
      <c r="AB2" s="5" t="inlineStr">
        <is>
          <t>FY2026
Outlook</t>
        </is>
      </c>
      <c r="AC2" s="4" t="inlineStr">
        <is>
          <t>Jan</t>
        </is>
      </c>
      <c r="AD2" s="4" t="inlineStr">
        <is>
          <t>Feb</t>
        </is>
      </c>
      <c r="AE2" s="4" t="inlineStr">
        <is>
          <t>Mar</t>
        </is>
      </c>
      <c r="AF2" s="4" t="inlineStr">
        <is>
          <t>Apr</t>
        </is>
      </c>
      <c r="AG2" s="4" t="inlineStr">
        <is>
          <t>May</t>
        </is>
      </c>
      <c r="AH2" s="4" t="inlineStr">
        <is>
          <t>Jun</t>
        </is>
      </c>
      <c r="AI2" s="6" t="inlineStr">
        <is>
          <t>Jul-Dec
Proj.</t>
        </is>
      </c>
      <c r="AJ2" s="4" t="inlineStr">
        <is>
          <t>FY2027</t>
        </is>
      </c>
      <c r="AK2" s="6" t="inlineStr">
        <is>
          <t>25→26
%</t>
        </is>
      </c>
      <c r="AL2" s="6" t="inlineStr">
        <is>
          <t>26→27
%</t>
        </is>
      </c>
    </row>
    <row r="3" ht="15" customHeight="1">
      <c r="A3" s="7" t="inlineStr">
        <is>
          <t>INCOME</t>
        </is>
      </c>
    </row>
    <row r="4" ht="13" customHeight="1">
      <c r="A4" s="8" t="inlineStr">
        <is>
          <t xml:space="preserve">    Fee Income Regular</t>
        </is>
      </c>
      <c r="B4" s="9" t="n">
        <v>122156.52</v>
      </c>
      <c r="C4" s="9" t="n">
        <v>106947.36</v>
      </c>
      <c r="D4" s="9" t="n">
        <v>128166.24</v>
      </c>
      <c r="E4" s="9" t="n">
        <v>139357.58</v>
      </c>
      <c r="F4" s="9" t="n">
        <v>114644.73</v>
      </c>
      <c r="G4" s="9" t="n">
        <v>108480.27</v>
      </c>
      <c r="H4" s="9" t="n">
        <v>145137.16</v>
      </c>
      <c r="I4" s="9" t="n">
        <v>119462.05</v>
      </c>
      <c r="J4" s="9" t="n">
        <v>97287.09</v>
      </c>
      <c r="K4" s="9" t="n">
        <v>96101.48</v>
      </c>
      <c r="L4" s="9" t="n">
        <v>84850.06000000001</v>
      </c>
      <c r="M4" s="9" t="n">
        <v>119634.28</v>
      </c>
      <c r="N4" s="9">
        <f>SUM(B4:M4)</f>
        <v/>
      </c>
      <c r="O4" s="9" t="n">
        <v>92712.5</v>
      </c>
      <c r="P4" s="9" t="n">
        <v>82084.3</v>
      </c>
      <c r="Q4" s="9" t="n">
        <v>99688.3</v>
      </c>
      <c r="R4" s="9" t="n">
        <v>113186</v>
      </c>
      <c r="S4" s="9" t="n">
        <v>93282.10000000001</v>
      </c>
      <c r="T4" s="9" t="n">
        <v>104024</v>
      </c>
      <c r="U4" s="9" t="n">
        <v>127224</v>
      </c>
      <c r="AA4" s="9">
        <f>SUM(O4:U4)</f>
        <v/>
      </c>
      <c r="AB4" s="9">
        <f>SUM(O4:Z4)</f>
        <v/>
      </c>
      <c r="AC4" s="9" t="n">
        <v>144535.68</v>
      </c>
      <c r="AD4" s="9" t="n">
        <v>132031.1</v>
      </c>
      <c r="AE4" s="9" t="n">
        <v>158165.89</v>
      </c>
      <c r="AF4" s="9" t="n">
        <v>141527.16</v>
      </c>
      <c r="AG4" s="9" t="n">
        <v>148240.86</v>
      </c>
      <c r="AH4" s="9" t="n">
        <v>153396.96</v>
      </c>
      <c r="AI4" s="10">
        <f>SUM(AC4:AH4)</f>
        <v/>
      </c>
      <c r="AJ4" s="9">
        <f>SUM(AC4:AH4)+AI4</f>
        <v/>
      </c>
      <c r="AK4" s="11">
        <f>IF(N4&lt;&gt;0,(AB4-N4)/ABS(N4),0)</f>
        <v/>
      </c>
      <c r="AL4" s="11">
        <f>IF(AB4&lt;&gt;0,(AJ4-AB4)/ABS(AB4),0)</f>
        <v/>
      </c>
    </row>
    <row r="5" ht="13" customHeight="1">
      <c r="A5" s="8" t="inlineStr">
        <is>
          <t xml:space="preserve">    EEEF Embedded</t>
        </is>
      </c>
      <c r="B5" s="9" t="n">
        <v>33585.45</v>
      </c>
      <c r="C5" s="9" t="n">
        <v>66581.12</v>
      </c>
      <c r="D5" s="9" t="n">
        <v>66581.12</v>
      </c>
      <c r="E5" s="9" t="n">
        <v>28706.8</v>
      </c>
      <c r="F5" s="9" t="n">
        <v>28706.8</v>
      </c>
      <c r="G5" s="9" t="n">
        <v>67317.07000000001</v>
      </c>
      <c r="H5" s="9" t="n">
        <v>67317.05</v>
      </c>
      <c r="I5" s="9" t="n">
        <v>0</v>
      </c>
      <c r="J5" s="9" t="n">
        <v>35210.21</v>
      </c>
      <c r="K5" s="9" t="n">
        <v>33827.21</v>
      </c>
      <c r="L5" s="9" t="n">
        <v>97735.45</v>
      </c>
      <c r="M5" s="9" t="n">
        <v>101444.41</v>
      </c>
      <c r="N5" s="9">
        <f>SUM(B5:M5)</f>
        <v/>
      </c>
      <c r="O5" s="9" t="n">
        <v>44989.2</v>
      </c>
      <c r="P5" s="9" t="n">
        <v>94001.8</v>
      </c>
      <c r="Q5" s="9" t="n">
        <v>103241</v>
      </c>
      <c r="R5" s="9" t="n">
        <v>48659.8</v>
      </c>
      <c r="S5" s="9" t="n">
        <v>48659.8</v>
      </c>
      <c r="T5" s="9" t="n">
        <v>112571</v>
      </c>
      <c r="U5" s="9" t="n">
        <v>69963.39999999999</v>
      </c>
      <c r="AA5" s="9">
        <f>SUM(O5:U5)</f>
        <v/>
      </c>
      <c r="AB5" s="9">
        <f>SUM(O5:Z5)</f>
        <v/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10">
        <f>SUM(AC5:AH5)</f>
        <v/>
      </c>
      <c r="AJ5" s="9">
        <f>SUM(AC5:AH5)+AI5</f>
        <v/>
      </c>
      <c r="AK5" s="11">
        <f>IF(N5&lt;&gt;0,(AB5-N5)/ABS(N5),0)</f>
        <v/>
      </c>
      <c r="AL5" s="11">
        <f>IF(AB5&lt;&gt;0,(AJ5-AB5)/ABS(AB5),0)</f>
        <v/>
      </c>
    </row>
    <row r="6" ht="13" customHeight="1">
      <c r="A6" s="8" t="inlineStr">
        <is>
          <t xml:space="preserve">    Other Income</t>
        </is>
      </c>
      <c r="B6" s="9" t="n">
        <v>200</v>
      </c>
      <c r="C6" s="9" t="n">
        <v>200</v>
      </c>
      <c r="D6" s="9" t="n">
        <v>250</v>
      </c>
      <c r="E6" s="9" t="n">
        <v>150</v>
      </c>
      <c r="F6" s="9" t="n">
        <v>150</v>
      </c>
      <c r="G6" s="9" t="n">
        <v>150</v>
      </c>
      <c r="H6" s="9" t="n">
        <v>150</v>
      </c>
      <c r="I6" s="9" t="n">
        <v>12901.66</v>
      </c>
      <c r="J6" s="9" t="n">
        <v>150</v>
      </c>
      <c r="K6" s="9" t="n">
        <v>150</v>
      </c>
      <c r="L6" s="9" t="n">
        <v>150</v>
      </c>
      <c r="M6" s="9" t="n">
        <v>150</v>
      </c>
      <c r="N6" s="9">
        <f>SUM(B6:M6)</f>
        <v/>
      </c>
      <c r="O6" s="9" t="n">
        <v>150</v>
      </c>
      <c r="P6" s="9" t="n">
        <v>150</v>
      </c>
      <c r="Q6" s="9" t="n">
        <v>150</v>
      </c>
      <c r="R6" s="9" t="n">
        <v>150</v>
      </c>
      <c r="S6" s="9" t="n">
        <v>150</v>
      </c>
      <c r="T6" s="9" t="n">
        <v>450</v>
      </c>
      <c r="U6" s="9" t="n">
        <v>150</v>
      </c>
      <c r="AA6" s="9">
        <f>SUM(O6:U6)</f>
        <v/>
      </c>
      <c r="AB6" s="9">
        <f>SUM(O6:Z6)</f>
        <v/>
      </c>
      <c r="AC6" s="9" t="n">
        <v>0</v>
      </c>
      <c r="AD6" s="9" t="n">
        <v>0</v>
      </c>
      <c r="AE6" s="9" t="n">
        <v>0</v>
      </c>
      <c r="AF6" s="9" t="n">
        <v>0</v>
      </c>
      <c r="AG6" s="9" t="n">
        <v>0</v>
      </c>
      <c r="AH6" s="9" t="n">
        <v>0</v>
      </c>
      <c r="AI6" s="10">
        <f>SUM(AC6:AH6)</f>
        <v/>
      </c>
      <c r="AJ6" s="9">
        <f>SUM(AC6:AH6)+AI6</f>
        <v/>
      </c>
      <c r="AK6" s="11">
        <f>IF(N6&lt;&gt;0,(AB6-N6)/ABS(N6),0)</f>
        <v/>
      </c>
      <c r="AL6" s="11">
        <f>IF(AB6&lt;&gt;0,(AJ6-AB6)/ABS(AB6),0)</f>
        <v/>
      </c>
    </row>
    <row r="7" ht="13" customHeight="1">
      <c r="A7" s="12" t="inlineStr">
        <is>
          <t>Total Income</t>
        </is>
      </c>
      <c r="B7" s="13">
        <f>B4+B5+B6</f>
        <v/>
      </c>
      <c r="C7" s="13">
        <f>C4+C5+C6</f>
        <v/>
      </c>
      <c r="D7" s="13">
        <f>D4+D5+D6</f>
        <v/>
      </c>
      <c r="E7" s="13">
        <f>E4+E5+E6</f>
        <v/>
      </c>
      <c r="F7" s="13">
        <f>F4+F5+F6</f>
        <v/>
      </c>
      <c r="G7" s="13">
        <f>G4+G5+G6</f>
        <v/>
      </c>
      <c r="H7" s="13">
        <f>H4+H5+H6</f>
        <v/>
      </c>
      <c r="I7" s="13">
        <f>I4+I5+I6</f>
        <v/>
      </c>
      <c r="J7" s="13">
        <f>J4+J5+J6</f>
        <v/>
      </c>
      <c r="K7" s="13">
        <f>K4+K5+K6</f>
        <v/>
      </c>
      <c r="L7" s="13">
        <f>L4+L5+L6</f>
        <v/>
      </c>
      <c r="M7" s="13">
        <f>M4+M5+M6</f>
        <v/>
      </c>
      <c r="N7" s="13">
        <f>N4+N5+N6</f>
        <v/>
      </c>
      <c r="O7" s="13">
        <f>O4+O5+O6</f>
        <v/>
      </c>
      <c r="P7" s="13">
        <f>P4+P5+P6</f>
        <v/>
      </c>
      <c r="Q7" s="13">
        <f>Q4+Q5+Q6</f>
        <v/>
      </c>
      <c r="R7" s="13">
        <f>R4+R5+R6</f>
        <v/>
      </c>
      <c r="S7" s="13">
        <f>S4+S5+S6</f>
        <v/>
      </c>
      <c r="T7" s="13">
        <f>T4+T5+T6</f>
        <v/>
      </c>
      <c r="U7" s="13">
        <f>U4+U5+U6</f>
        <v/>
      </c>
      <c r="V7" s="13">
        <f>V4+V5+V6</f>
        <v/>
      </c>
      <c r="W7" s="13">
        <f>W4+W5+W6</f>
        <v/>
      </c>
      <c r="X7" s="13">
        <f>X4+X5+X6</f>
        <v/>
      </c>
      <c r="Y7" s="13">
        <f>Y4+Y5+Y6</f>
        <v/>
      </c>
      <c r="Z7" s="13">
        <f>Z4+Z5+Z6</f>
        <v/>
      </c>
      <c r="AA7" s="13">
        <f>AA4+AA5+AA6</f>
        <v/>
      </c>
      <c r="AB7" s="13">
        <f>AB4+AB5+AB6</f>
        <v/>
      </c>
      <c r="AC7" s="13">
        <f>AC4+AC5+AC6</f>
        <v/>
      </c>
      <c r="AD7" s="13">
        <f>AD4+AD5+AD6</f>
        <v/>
      </c>
      <c r="AE7" s="13">
        <f>AE4+AE5+AE6</f>
        <v/>
      </c>
      <c r="AF7" s="13">
        <f>AF4+AF5+AF6</f>
        <v/>
      </c>
      <c r="AG7" s="13">
        <f>AG4+AG5+AG6</f>
        <v/>
      </c>
      <c r="AH7" s="13">
        <f>AH4+AH5+AH6</f>
        <v/>
      </c>
      <c r="AI7" s="13">
        <f>AI4+AI5+AI6</f>
        <v/>
      </c>
      <c r="AJ7" s="13">
        <f>AJ4+AJ5+AJ6</f>
        <v/>
      </c>
      <c r="AK7" s="11">
        <f>IF(N7&lt;&gt;0,(AB7-N7)/ABS(N7),0)</f>
        <v/>
      </c>
      <c r="AL7" s="11">
        <f>IF(AB7&lt;&gt;0,(AJ7-AB7)/ABS(AB7),0)</f>
        <v/>
      </c>
    </row>
    <row r="8" ht="5" customHeight="1"/>
    <row r="9" ht="15" customHeight="1">
      <c r="A9" s="7" t="inlineStr">
        <is>
          <t>DIRECT COSTS</t>
        </is>
      </c>
    </row>
    <row r="10" ht="13" customHeight="1">
      <c r="A10" s="14" t="inlineStr">
        <is>
          <t>Personnel</t>
        </is>
      </c>
    </row>
    <row r="11" ht="13" customHeight="1">
      <c r="A11" s="15" t="inlineStr">
        <is>
          <t xml:space="preserve">    Nursery Salaries</t>
        </is>
      </c>
      <c r="B11" s="16" t="n">
        <v>68586.24000000001</v>
      </c>
      <c r="C11" s="16" t="n">
        <v>60676.75</v>
      </c>
      <c r="D11" s="16" t="n">
        <v>61011.57</v>
      </c>
      <c r="E11" s="16" t="n">
        <v>67443.19</v>
      </c>
      <c r="F11" s="16" t="n">
        <v>72917.98</v>
      </c>
      <c r="G11" s="16" t="n">
        <v>67825.41</v>
      </c>
      <c r="H11" s="16" t="n">
        <v>75334.7</v>
      </c>
      <c r="I11" s="16" t="n">
        <v>72777.63</v>
      </c>
      <c r="J11" s="16" t="n">
        <v>80807.62</v>
      </c>
      <c r="K11" s="16" t="n">
        <v>70161.91</v>
      </c>
      <c r="L11" s="16" t="n">
        <v>67160.5</v>
      </c>
      <c r="M11" s="16" t="n">
        <v>64917.87</v>
      </c>
      <c r="N11" s="16">
        <f>SUM(B11:M11)</f>
        <v/>
      </c>
      <c r="O11" s="16" t="n">
        <v>67397.78999999999</v>
      </c>
      <c r="P11" s="16" t="n">
        <v>65169.32</v>
      </c>
      <c r="Q11" s="16" t="n">
        <v>57920.38</v>
      </c>
      <c r="R11" s="16" t="n">
        <v>61937.98</v>
      </c>
      <c r="S11" s="16" t="n">
        <v>66920.32000000001</v>
      </c>
      <c r="T11" s="16" t="n">
        <v>67131.92999999999</v>
      </c>
      <c r="U11" s="16" t="n">
        <v>67043.3</v>
      </c>
      <c r="AA11" s="16">
        <f>SUM(O11:U11)</f>
        <v/>
      </c>
      <c r="AB11" s="16">
        <f>SUM(O11:Z11)</f>
        <v/>
      </c>
      <c r="AC11" s="16" t="n">
        <v>67043.3</v>
      </c>
      <c r="AD11" s="16" t="n">
        <v>67043.3</v>
      </c>
      <c r="AE11" s="16" t="n">
        <v>67043.3</v>
      </c>
      <c r="AF11" s="16" t="n">
        <v>67043.3</v>
      </c>
      <c r="AG11" s="16" t="n">
        <v>67043.3</v>
      </c>
      <c r="AH11" s="16" t="n">
        <v>67043.3</v>
      </c>
      <c r="AI11" s="10">
        <f>SUM(AC11:AH11)</f>
        <v/>
      </c>
      <c r="AJ11" s="16">
        <f>SUM(AC11:AH11)+AI11</f>
        <v/>
      </c>
      <c r="AK11" s="11">
        <f>IF(N11&lt;&gt;0,(AB11-N11)/ABS(N11),0)</f>
        <v/>
      </c>
      <c r="AL11" s="11">
        <f>IF(AB11&lt;&gt;0,(AJ11-AB11)/ABS(AB11),0)</f>
        <v/>
      </c>
    </row>
    <row r="12" ht="13" customHeight="1">
      <c r="A12" s="15" t="inlineStr">
        <is>
          <t xml:space="preserve">    Nursery NI</t>
        </is>
      </c>
      <c r="B12" s="16" t="n">
        <v>5300.22</v>
      </c>
      <c r="C12" s="16" t="n">
        <v>4463.01</v>
      </c>
      <c r="D12" s="16" t="n">
        <v>4517.4</v>
      </c>
      <c r="E12" s="16" t="n">
        <v>6985.94</v>
      </c>
      <c r="F12" s="16" t="n">
        <v>7294.24</v>
      </c>
      <c r="G12" s="16" t="n">
        <v>6627.99</v>
      </c>
      <c r="H12" s="16" t="n">
        <v>7346.36</v>
      </c>
      <c r="I12" s="16" t="n">
        <v>7134.49</v>
      </c>
      <c r="J12" s="16" t="n">
        <v>9821.09</v>
      </c>
      <c r="K12" s="16" t="n">
        <v>6696.34</v>
      </c>
      <c r="L12" s="16" t="n">
        <v>6289.94</v>
      </c>
      <c r="M12" s="16" t="n">
        <v>6024.82</v>
      </c>
      <c r="N12" s="16">
        <f>SUM(B12:M12)</f>
        <v/>
      </c>
      <c r="O12" s="16" t="n">
        <v>6420.59</v>
      </c>
      <c r="P12" s="16" t="n">
        <v>5749.78</v>
      </c>
      <c r="Q12" s="16" t="n">
        <v>5741.09</v>
      </c>
      <c r="R12" s="16" t="n">
        <v>6217.05</v>
      </c>
      <c r="S12" s="16" t="n">
        <v>6359.57</v>
      </c>
      <c r="T12" s="16" t="n">
        <v>6618.61</v>
      </c>
      <c r="U12" s="16" t="n">
        <v>6517.08</v>
      </c>
      <c r="AA12" s="16">
        <f>SUM(O12:U12)</f>
        <v/>
      </c>
      <c r="AB12" s="16">
        <f>SUM(O12:Z12)</f>
        <v/>
      </c>
      <c r="AC12" s="16" t="n">
        <v>6517.08</v>
      </c>
      <c r="AD12" s="16" t="n">
        <v>6517.08</v>
      </c>
      <c r="AE12" s="16" t="n">
        <v>6517.08</v>
      </c>
      <c r="AF12" s="16" t="n">
        <v>6517.08</v>
      </c>
      <c r="AG12" s="16" t="n">
        <v>6517.08</v>
      </c>
      <c r="AH12" s="16" t="n">
        <v>6517.08</v>
      </c>
      <c r="AI12" s="10">
        <f>SUM(AC12:AH12)</f>
        <v/>
      </c>
      <c r="AJ12" s="16">
        <f>SUM(AC12:AH12)+AI12</f>
        <v/>
      </c>
      <c r="AK12" s="11">
        <f>IF(N12&lt;&gt;0,(AB12-N12)/ABS(N12),0)</f>
        <v/>
      </c>
      <c r="AL12" s="11">
        <f>IF(AB12&lt;&gt;0,(AJ12-AB12)/ABS(AB12),0)</f>
        <v/>
      </c>
    </row>
    <row r="13" ht="13" customHeight="1">
      <c r="A13" s="15" t="inlineStr">
        <is>
          <t xml:space="preserve">    Nursery Pension</t>
        </is>
      </c>
      <c r="B13" s="16" t="n">
        <v>1186.64</v>
      </c>
      <c r="C13" s="16" t="n">
        <v>1102.67</v>
      </c>
      <c r="D13" s="16" t="n">
        <v>1084.37</v>
      </c>
      <c r="E13" s="16" t="n">
        <v>1172.06</v>
      </c>
      <c r="F13" s="16" t="n">
        <v>1236.3</v>
      </c>
      <c r="G13" s="16" t="n">
        <v>1145.18</v>
      </c>
      <c r="H13" s="16" t="n">
        <v>1293.63</v>
      </c>
      <c r="I13" s="16" t="n">
        <v>1252.61</v>
      </c>
      <c r="J13" s="16" t="n">
        <v>1273.7</v>
      </c>
      <c r="K13" s="16" t="n">
        <v>1200.38</v>
      </c>
      <c r="L13" s="16" t="n">
        <v>1188.64</v>
      </c>
      <c r="M13" s="16" t="n">
        <v>1124.16</v>
      </c>
      <c r="N13" s="16">
        <f>SUM(B13:M13)</f>
        <v/>
      </c>
      <c r="O13" s="16" t="n">
        <v>1190.11</v>
      </c>
      <c r="P13" s="16" t="n">
        <v>1065.61</v>
      </c>
      <c r="Q13" s="16" t="n">
        <v>997.11</v>
      </c>
      <c r="R13" s="16" t="n">
        <v>1098.81</v>
      </c>
      <c r="S13" s="16" t="n">
        <v>1034.65</v>
      </c>
      <c r="T13" s="16" t="n">
        <v>1054.41</v>
      </c>
      <c r="U13" s="16" t="n">
        <v>1087.65</v>
      </c>
      <c r="AA13" s="16">
        <f>SUM(O13:U13)</f>
        <v/>
      </c>
      <c r="AB13" s="16">
        <f>SUM(O13:Z13)</f>
        <v/>
      </c>
      <c r="AC13" s="16" t="n">
        <v>1087.65</v>
      </c>
      <c r="AD13" s="16" t="n">
        <v>1087.65</v>
      </c>
      <c r="AE13" s="16" t="n">
        <v>1087.65</v>
      </c>
      <c r="AF13" s="16" t="n">
        <v>1087.65</v>
      </c>
      <c r="AG13" s="16" t="n">
        <v>1087.65</v>
      </c>
      <c r="AH13" s="16" t="n">
        <v>1087.65</v>
      </c>
      <c r="AI13" s="10">
        <f>SUM(AC13:AH13)</f>
        <v/>
      </c>
      <c r="AJ13" s="16">
        <f>SUM(AC13:AH13)+AI13</f>
        <v/>
      </c>
      <c r="AK13" s="11">
        <f>IF(N13&lt;&gt;0,(AB13-N13)/ABS(N13),0)</f>
        <v/>
      </c>
      <c r="AL13" s="11">
        <f>IF(AB13&lt;&gt;0,(AJ13-AB13)/ABS(AB13),0)</f>
        <v/>
      </c>
    </row>
    <row r="14" ht="13" customHeight="1">
      <c r="A14" s="15" t="inlineStr">
        <is>
          <t xml:space="preserve">    Uniform</t>
        </is>
      </c>
      <c r="B14" s="16" t="n">
        <v>149.22</v>
      </c>
      <c r="C14" s="16" t="n">
        <v>0</v>
      </c>
      <c r="D14" s="16" t="n">
        <v>79.08</v>
      </c>
      <c r="E14" s="16" t="n">
        <v>0</v>
      </c>
      <c r="F14" s="16" t="n">
        <v>0</v>
      </c>
      <c r="G14" s="16" t="n">
        <v>350.58</v>
      </c>
      <c r="H14" s="16" t="n">
        <v>0</v>
      </c>
      <c r="I14" s="16" t="n">
        <v>0</v>
      </c>
      <c r="J14" s="16" t="n">
        <v>0</v>
      </c>
      <c r="K14" s="16" t="n">
        <v>0</v>
      </c>
      <c r="L14" s="16" t="n">
        <v>77.22</v>
      </c>
      <c r="M14" s="16" t="n">
        <v>1091.59</v>
      </c>
      <c r="N14" s="16">
        <f>SUM(B14:M14)</f>
        <v/>
      </c>
      <c r="O14" s="16" t="n">
        <v>145.8</v>
      </c>
      <c r="P14" s="16" t="n">
        <v>0</v>
      </c>
      <c r="Q14" s="16" t="n">
        <v>0</v>
      </c>
      <c r="R14" s="16" t="n">
        <v>114.42</v>
      </c>
      <c r="S14" s="16" t="n">
        <v>0</v>
      </c>
      <c r="T14" s="16" t="n">
        <v>0</v>
      </c>
      <c r="U14" s="16" t="n">
        <v>0</v>
      </c>
      <c r="AA14" s="16">
        <f>SUM(O14:U14)</f>
        <v/>
      </c>
      <c r="AB14" s="16">
        <f>SUM(O14:Z14)</f>
        <v/>
      </c>
      <c r="AC14" s="16" t="n">
        <v>176</v>
      </c>
      <c r="AD14" s="16" t="n">
        <v>176</v>
      </c>
      <c r="AE14" s="16" t="n">
        <v>176</v>
      </c>
      <c r="AF14" s="16" t="n">
        <v>176</v>
      </c>
      <c r="AG14" s="16" t="n">
        <v>176</v>
      </c>
      <c r="AH14" s="16" t="n">
        <v>176</v>
      </c>
      <c r="AI14" s="10">
        <f>SUM(AC14:AH14)</f>
        <v/>
      </c>
      <c r="AJ14" s="16">
        <f>SUM(AC14:AH14)+AI14</f>
        <v/>
      </c>
      <c r="AK14" s="11">
        <f>IF(N14&lt;&gt;0,(AB14-N14)/ABS(N14),0)</f>
        <v/>
      </c>
      <c r="AL14" s="11">
        <f>IF(AB14&lt;&gt;0,(AJ14-AB14)/ABS(AB14),0)</f>
        <v/>
      </c>
    </row>
    <row r="15" ht="13" customHeight="1">
      <c r="A15" s="15" t="inlineStr">
        <is>
          <t xml:space="preserve">    Training</t>
        </is>
      </c>
      <c r="B15" s="16" t="n">
        <v>0</v>
      </c>
      <c r="C15" s="16" t="n">
        <v>30</v>
      </c>
      <c r="D15" s="16" t="n">
        <v>480</v>
      </c>
      <c r="E15" s="16" t="n">
        <v>0</v>
      </c>
      <c r="F15" s="16" t="n">
        <v>18</v>
      </c>
      <c r="G15" s="16" t="n">
        <v>540</v>
      </c>
      <c r="H15" s="16" t="n">
        <v>189.28</v>
      </c>
      <c r="I15" s="16" t="n">
        <v>0</v>
      </c>
      <c r="J15" s="16" t="n">
        <v>0</v>
      </c>
      <c r="K15" s="16" t="n">
        <v>384</v>
      </c>
      <c r="L15" s="16" t="n">
        <v>50</v>
      </c>
      <c r="M15" s="16" t="n">
        <v>-156</v>
      </c>
      <c r="N15" s="16">
        <f>SUM(B15:M15)</f>
        <v/>
      </c>
      <c r="O15" s="16" t="n">
        <v>1254</v>
      </c>
      <c r="P15" s="16" t="n">
        <v>100</v>
      </c>
      <c r="Q15" s="16" t="n">
        <v>0</v>
      </c>
      <c r="R15" s="16" t="n">
        <v>335</v>
      </c>
      <c r="S15" s="16" t="n">
        <v>-7.87</v>
      </c>
      <c r="T15" s="16" t="n">
        <v>55.86</v>
      </c>
      <c r="U15" s="16" t="n">
        <v>0</v>
      </c>
      <c r="AA15" s="16">
        <f>SUM(O15:U15)</f>
        <v/>
      </c>
      <c r="AB15" s="16">
        <f>SUM(O15:Z15)</f>
        <v/>
      </c>
      <c r="AC15" s="16" t="n">
        <v>500</v>
      </c>
      <c r="AD15" s="16" t="n">
        <v>500</v>
      </c>
      <c r="AE15" s="16" t="n">
        <v>500</v>
      </c>
      <c r="AF15" s="16" t="n">
        <v>500</v>
      </c>
      <c r="AG15" s="16" t="n">
        <v>500</v>
      </c>
      <c r="AH15" s="16" t="n">
        <v>500</v>
      </c>
      <c r="AI15" s="10">
        <f>SUM(AC15:AH15)</f>
        <v/>
      </c>
      <c r="AJ15" s="16">
        <f>SUM(AC15:AH15)+AI15</f>
        <v/>
      </c>
      <c r="AK15" s="11">
        <f>IF(N15&lt;&gt;0,(AB15-N15)/ABS(N15),0)</f>
        <v/>
      </c>
      <c r="AL15" s="11">
        <f>IF(AB15&lt;&gt;0,(AJ15-AB15)/ABS(AB15),0)</f>
        <v/>
      </c>
    </row>
    <row r="16" ht="13" customHeight="1">
      <c r="A16" s="15" t="inlineStr">
        <is>
          <t xml:space="preserve">    Staff Welfare</t>
        </is>
      </c>
      <c r="B16" s="16" t="n">
        <v>292.56</v>
      </c>
      <c r="C16" s="16" t="n">
        <v>327.49</v>
      </c>
      <c r="D16" s="16" t="n">
        <v>190</v>
      </c>
      <c r="E16" s="16" t="n">
        <v>238.69</v>
      </c>
      <c r="F16" s="16" t="n">
        <v>147.43</v>
      </c>
      <c r="G16" s="16" t="n">
        <v>436.17</v>
      </c>
      <c r="H16" s="16" t="n">
        <v>265.44</v>
      </c>
      <c r="I16" s="16" t="n">
        <v>187.74</v>
      </c>
      <c r="J16" s="16" t="n">
        <v>173.74</v>
      </c>
      <c r="K16" s="16" t="n">
        <v>173.74</v>
      </c>
      <c r="L16" s="16" t="n">
        <v>327.78</v>
      </c>
      <c r="M16" s="16" t="n">
        <v>302.37</v>
      </c>
      <c r="N16" s="16">
        <f>SUM(B16:M16)</f>
        <v/>
      </c>
      <c r="O16" s="16" t="n">
        <v>0</v>
      </c>
      <c r="P16" s="16" t="n">
        <v>212.72</v>
      </c>
      <c r="Q16" s="16" t="n">
        <v>232.51</v>
      </c>
      <c r="R16" s="16" t="n">
        <v>452.35</v>
      </c>
      <c r="S16" s="16" t="n">
        <v>231.54</v>
      </c>
      <c r="T16" s="16" t="n">
        <v>29.19</v>
      </c>
      <c r="U16" s="16" t="n">
        <v>139.62</v>
      </c>
      <c r="AA16" s="16">
        <f>SUM(O16:U16)</f>
        <v/>
      </c>
      <c r="AB16" s="16">
        <f>SUM(O16:Z16)</f>
        <v/>
      </c>
      <c r="AC16" s="16" t="n">
        <v>360</v>
      </c>
      <c r="AD16" s="16" t="n">
        <v>360</v>
      </c>
      <c r="AE16" s="16" t="n">
        <v>360</v>
      </c>
      <c r="AF16" s="16" t="n">
        <v>360</v>
      </c>
      <c r="AG16" s="16" t="n">
        <v>360</v>
      </c>
      <c r="AH16" s="16" t="n">
        <v>360</v>
      </c>
      <c r="AI16" s="10">
        <f>SUM(AC16:AH16)</f>
        <v/>
      </c>
      <c r="AJ16" s="16">
        <f>SUM(AC16:AH16)+AI16</f>
        <v/>
      </c>
      <c r="AK16" s="11">
        <f>IF(N16&lt;&gt;0,(AB16-N16)/ABS(N16),0)</f>
        <v/>
      </c>
      <c r="AL16" s="11">
        <f>IF(AB16&lt;&gt;0,(AJ16-AB16)/ABS(AB16),0)</f>
        <v/>
      </c>
    </row>
    <row r="17" ht="13" customHeight="1">
      <c r="A17" s="15" t="inlineStr">
        <is>
          <t xml:space="preserve">    Recruitment</t>
        </is>
      </c>
      <c r="B17" s="16" t="n">
        <v>0</v>
      </c>
      <c r="C17" s="16" t="n">
        <v>64.8</v>
      </c>
      <c r="D17" s="16" t="n">
        <v>0</v>
      </c>
      <c r="E17" s="16" t="n">
        <v>0</v>
      </c>
      <c r="F17" s="16" t="n">
        <v>0</v>
      </c>
      <c r="G17" s="16" t="n">
        <v>0</v>
      </c>
      <c r="H17" s="16" t="n">
        <v>0</v>
      </c>
      <c r="I17" s="16" t="n">
        <v>0</v>
      </c>
      <c r="J17" s="16" t="n">
        <v>0</v>
      </c>
      <c r="K17" s="16" t="n">
        <v>0</v>
      </c>
      <c r="L17" s="16" t="n">
        <v>0</v>
      </c>
      <c r="M17" s="16" t="n">
        <v>0</v>
      </c>
      <c r="N17" s="16">
        <f>SUM(B17:M17)</f>
        <v/>
      </c>
      <c r="O17" s="16" t="n">
        <v>0</v>
      </c>
      <c r="P17" s="16" t="n">
        <v>0</v>
      </c>
      <c r="Q17" s="16" t="n">
        <v>0</v>
      </c>
      <c r="R17" s="16" t="n">
        <v>0</v>
      </c>
      <c r="S17" s="16" t="n">
        <v>0</v>
      </c>
      <c r="T17" s="16" t="n">
        <v>0</v>
      </c>
      <c r="U17" s="16" t="n">
        <v>0</v>
      </c>
      <c r="V17" s="16" t="n">
        <v>0</v>
      </c>
      <c r="W17" s="16" t="n">
        <v>0</v>
      </c>
      <c r="X17" s="16" t="n">
        <v>0</v>
      </c>
      <c r="Y17" s="16" t="n">
        <v>0</v>
      </c>
      <c r="Z17" s="16" t="n">
        <v>0</v>
      </c>
      <c r="AA17" s="16">
        <f>SUM(O17:U17)</f>
        <v/>
      </c>
      <c r="AB17" s="16">
        <f>SUM(O17:Z17)</f>
        <v/>
      </c>
      <c r="AC17" s="16" t="n">
        <v>0</v>
      </c>
      <c r="AD17" s="16" t="n">
        <v>0</v>
      </c>
      <c r="AE17" s="16" t="n">
        <v>0</v>
      </c>
      <c r="AF17" s="16" t="n">
        <v>0</v>
      </c>
      <c r="AG17" s="16" t="n">
        <v>0</v>
      </c>
      <c r="AH17" s="16" t="n">
        <v>0</v>
      </c>
      <c r="AI17" s="10">
        <f>SUM(AC17:AH17)</f>
        <v/>
      </c>
      <c r="AJ17" s="16">
        <f>SUM(AC17:AH17)+AI17</f>
        <v/>
      </c>
      <c r="AK17" s="11">
        <f>IF(N17&lt;&gt;0,(AB17-N17)/ABS(N17),0)</f>
        <v/>
      </c>
      <c r="AL17" s="11">
        <f>IF(AB17&lt;&gt;0,(AJ17-AB17)/ABS(AB17),0)</f>
        <v/>
      </c>
    </row>
    <row r="18" ht="13" customHeight="1">
      <c r="A18" s="15" t="inlineStr">
        <is>
          <t xml:space="preserve">    Rewards &amp; Recognition</t>
        </is>
      </c>
      <c r="B18" s="16" t="n">
        <v>0</v>
      </c>
      <c r="C18" s="16" t="n">
        <v>0</v>
      </c>
      <c r="D18" s="16" t="n">
        <v>0</v>
      </c>
      <c r="E18" s="16" t="n">
        <v>0</v>
      </c>
      <c r="F18" s="16" t="n">
        <v>0</v>
      </c>
      <c r="G18" s="16" t="n">
        <v>0</v>
      </c>
      <c r="H18" s="16" t="n">
        <v>0</v>
      </c>
      <c r="I18" s="16" t="n">
        <v>0</v>
      </c>
      <c r="J18" s="16" t="n">
        <v>0</v>
      </c>
      <c r="K18" s="16" t="n">
        <v>47.96</v>
      </c>
      <c r="L18" s="16" t="n">
        <v>101.16</v>
      </c>
      <c r="M18" s="16" t="n">
        <v>0</v>
      </c>
      <c r="N18" s="16">
        <f>SUM(B18:M18)</f>
        <v/>
      </c>
      <c r="O18" s="16" t="n">
        <v>0</v>
      </c>
      <c r="P18" s="16" t="n">
        <v>0</v>
      </c>
      <c r="Q18" s="16" t="n">
        <v>0</v>
      </c>
      <c r="R18" s="16" t="n">
        <v>0</v>
      </c>
      <c r="S18" s="16" t="n">
        <v>0</v>
      </c>
      <c r="T18" s="16" t="n">
        <v>0</v>
      </c>
      <c r="U18" s="16" t="n">
        <v>0</v>
      </c>
      <c r="V18" s="16" t="n">
        <v>0</v>
      </c>
      <c r="W18" s="16" t="n">
        <v>0</v>
      </c>
      <c r="X18" s="16" t="n">
        <v>0</v>
      </c>
      <c r="Y18" s="16" t="n">
        <v>0</v>
      </c>
      <c r="Z18" s="16" t="n">
        <v>0</v>
      </c>
      <c r="AA18" s="16">
        <f>SUM(O18:U18)</f>
        <v/>
      </c>
      <c r="AB18" s="16">
        <f>SUM(O18:Z18)</f>
        <v/>
      </c>
      <c r="AC18" s="16" t="n">
        <v>150</v>
      </c>
      <c r="AD18" s="16" t="n">
        <v>150</v>
      </c>
      <c r="AE18" s="16" t="n">
        <v>150</v>
      </c>
      <c r="AF18" s="16" t="n">
        <v>150</v>
      </c>
      <c r="AG18" s="16" t="n">
        <v>150</v>
      </c>
      <c r="AH18" s="16" t="n">
        <v>150</v>
      </c>
      <c r="AI18" s="10">
        <f>SUM(AC18:AH18)</f>
        <v/>
      </c>
      <c r="AJ18" s="16">
        <f>SUM(AC18:AH18)+AI18</f>
        <v/>
      </c>
      <c r="AK18" s="11">
        <f>IF(N18&lt;&gt;0,(AB18-N18)/ABS(N18),0)</f>
        <v/>
      </c>
      <c r="AL18" s="11">
        <f>IF(AB18&lt;&gt;0,(AJ18-AB18)/ABS(AB18),0)</f>
        <v/>
      </c>
    </row>
    <row r="19" ht="13" customHeight="1">
      <c r="A19" s="15" t="inlineStr">
        <is>
          <t xml:space="preserve">    Temps</t>
        </is>
      </c>
      <c r="B19" s="16" t="n">
        <v>0</v>
      </c>
      <c r="C19" s="16" t="n">
        <v>0</v>
      </c>
      <c r="D19" s="16" t="n">
        <v>0</v>
      </c>
      <c r="E19" s="16" t="n">
        <v>0</v>
      </c>
      <c r="F19" s="16" t="n">
        <v>0</v>
      </c>
      <c r="G19" s="16" t="n">
        <v>0</v>
      </c>
      <c r="H19" s="16" t="n">
        <v>0</v>
      </c>
      <c r="I19" s="16" t="n">
        <v>0</v>
      </c>
      <c r="J19" s="16" t="n">
        <v>0</v>
      </c>
      <c r="K19" s="16" t="n">
        <v>0</v>
      </c>
      <c r="L19" s="16" t="n">
        <v>0</v>
      </c>
      <c r="M19" s="16" t="n">
        <v>0</v>
      </c>
      <c r="N19" s="16">
        <f>SUM(B19:M19)</f>
        <v/>
      </c>
      <c r="O19" s="16" t="n">
        <v>0</v>
      </c>
      <c r="P19" s="16" t="n">
        <v>0</v>
      </c>
      <c r="Q19" s="16" t="n">
        <v>0</v>
      </c>
      <c r="R19" s="16" t="n">
        <v>0</v>
      </c>
      <c r="S19" s="16" t="n">
        <v>0</v>
      </c>
      <c r="T19" s="16" t="n">
        <v>0</v>
      </c>
      <c r="U19" s="16" t="n">
        <v>0</v>
      </c>
      <c r="V19" s="16" t="n">
        <v>0</v>
      </c>
      <c r="W19" s="16" t="n">
        <v>0</v>
      </c>
      <c r="X19" s="16" t="n">
        <v>0</v>
      </c>
      <c r="Y19" s="16" t="n">
        <v>0</v>
      </c>
      <c r="Z19" s="16" t="n">
        <v>0</v>
      </c>
      <c r="AA19" s="16">
        <f>SUM(O19:U19)</f>
        <v/>
      </c>
      <c r="AB19" s="16">
        <f>SUM(O19:Z19)</f>
        <v/>
      </c>
      <c r="AC19" s="16" t="n">
        <v>0</v>
      </c>
      <c r="AD19" s="16" t="n">
        <v>0</v>
      </c>
      <c r="AE19" s="16" t="n">
        <v>0</v>
      </c>
      <c r="AF19" s="16" t="n">
        <v>0</v>
      </c>
      <c r="AG19" s="16" t="n">
        <v>0</v>
      </c>
      <c r="AH19" s="16" t="n">
        <v>0</v>
      </c>
      <c r="AI19" s="10">
        <f>SUM(AC19:AH19)</f>
        <v/>
      </c>
      <c r="AJ19" s="16">
        <f>SUM(AC19:AH19)+AI19</f>
        <v/>
      </c>
      <c r="AK19" s="11">
        <f>IF(N19&lt;&gt;0,(AB19-N19)/ABS(N19),0)</f>
        <v/>
      </c>
      <c r="AL19" s="11">
        <f>IF(AB19&lt;&gt;0,(AJ19-AB19)/ABS(AB19),0)</f>
        <v/>
      </c>
    </row>
    <row r="20" ht="13" customHeight="1">
      <c r="A20" s="17" t="inlineStr">
        <is>
          <t>Total Personnel</t>
        </is>
      </c>
      <c r="B20" s="18">
        <f>B11+B12+B13+B14+B15+B16+B17+B18+B19</f>
        <v/>
      </c>
      <c r="C20" s="18">
        <f>C11+C12+C13+C14+C15+C16+C17+C18+C19</f>
        <v/>
      </c>
      <c r="D20" s="18">
        <f>D11+D12+D13+D14+D15+D16+D17+D18+D19</f>
        <v/>
      </c>
      <c r="E20" s="18">
        <f>E11+E12+E13+E14+E15+E16+E17+E18+E19</f>
        <v/>
      </c>
      <c r="F20" s="18">
        <f>F11+F12+F13+F14+F15+F16+F17+F18+F19</f>
        <v/>
      </c>
      <c r="G20" s="18">
        <f>G11+G12+G13+G14+G15+G16+G17+G18+G19</f>
        <v/>
      </c>
      <c r="H20" s="18">
        <f>H11+H12+H13+H14+H15+H16+H17+H18+H19</f>
        <v/>
      </c>
      <c r="I20" s="18">
        <f>I11+I12+I13+I14+I15+I16+I17+I18+I19</f>
        <v/>
      </c>
      <c r="J20" s="18">
        <f>J11+J12+J13+J14+J15+J16+J17+J18+J19</f>
        <v/>
      </c>
      <c r="K20" s="18">
        <f>K11+K12+K13+K14+K15+K16+K17+K18+K19</f>
        <v/>
      </c>
      <c r="L20" s="18">
        <f>L11+L12+L13+L14+L15+L16+L17+L18+L19</f>
        <v/>
      </c>
      <c r="M20" s="18">
        <f>M11+M12+M13+M14+M15+M16+M17+M18+M19</f>
        <v/>
      </c>
      <c r="N20" s="18">
        <f>N11+N12+N13+N14+N15+N16+N17+N18+N19</f>
        <v/>
      </c>
      <c r="O20" s="18">
        <f>O11+O12+O13+O14+O15+O16+O17+O18+O19</f>
        <v/>
      </c>
      <c r="P20" s="18">
        <f>P11+P12+P13+P14+P15+P16+P17+P18+P19</f>
        <v/>
      </c>
      <c r="Q20" s="18">
        <f>Q11+Q12+Q13+Q14+Q15+Q16+Q17+Q18+Q19</f>
        <v/>
      </c>
      <c r="R20" s="18">
        <f>R11+R12+R13+R14+R15+R16+R17+R18+R19</f>
        <v/>
      </c>
      <c r="S20" s="18">
        <f>S11+S12+S13+S14+S15+S16+S17+S18+S19</f>
        <v/>
      </c>
      <c r="T20" s="18">
        <f>T11+T12+T13+T14+T15+T16+T17+T18+T19</f>
        <v/>
      </c>
      <c r="U20" s="18">
        <f>U11+U12+U13+U14+U15+U16+U17+U18+U19</f>
        <v/>
      </c>
      <c r="V20" s="18">
        <f>V11+V12+V13+V14+V15+V16+V17+V18+V19</f>
        <v/>
      </c>
      <c r="W20" s="18">
        <f>W11+W12+W13+W14+W15+W16+W17+W18+W19</f>
        <v/>
      </c>
      <c r="X20" s="18">
        <f>X11+X12+X13+X14+X15+X16+X17+X18+X19</f>
        <v/>
      </c>
      <c r="Y20" s="18">
        <f>Y11+Y12+Y13+Y14+Y15+Y16+Y17+Y18+Y19</f>
        <v/>
      </c>
      <c r="Z20" s="18">
        <f>Z11+Z12+Z13+Z14+Z15+Z16+Z17+Z18+Z19</f>
        <v/>
      </c>
      <c r="AA20" s="18">
        <f>AA11+AA12+AA13+AA14+AA15+AA16+AA17+AA18+AA19</f>
        <v/>
      </c>
      <c r="AB20" s="18">
        <f>AB11+AB12+AB13+AB14+AB15+AB16+AB17+AB18+AB19</f>
        <v/>
      </c>
      <c r="AC20" s="18">
        <f>AC11+AC12+AC13+AC14+AC15+AC16+AC17+AC18+AC19</f>
        <v/>
      </c>
      <c r="AD20" s="18">
        <f>AD11+AD12+AD13+AD14+AD15+AD16+AD17+AD18+AD19</f>
        <v/>
      </c>
      <c r="AE20" s="18">
        <f>AE11+AE12+AE13+AE14+AE15+AE16+AE17+AE18+AE19</f>
        <v/>
      </c>
      <c r="AF20" s="18">
        <f>AF11+AF12+AF13+AF14+AF15+AF16+AF17+AF18+AF19</f>
        <v/>
      </c>
      <c r="AG20" s="18">
        <f>AG11+AG12+AG13+AG14+AG15+AG16+AG17+AG18+AG19</f>
        <v/>
      </c>
      <c r="AH20" s="18">
        <f>AH11+AH12+AH13+AH14+AH15+AH16+AH17+AH18+AH19</f>
        <v/>
      </c>
      <c r="AI20" s="18">
        <f>AI11+AI12+AI13+AI14+AI15+AI16+AI17+AI18+AI19</f>
        <v/>
      </c>
      <c r="AJ20" s="18">
        <f>AJ11+AJ12+AJ13+AJ14+AJ15+AJ16+AJ17+AJ18+AJ19</f>
        <v/>
      </c>
      <c r="AK20" s="11">
        <f>IF(N20&lt;&gt;0,(AB20-N20)/ABS(N20),0)</f>
        <v/>
      </c>
      <c r="AL20" s="11">
        <f>IF(AB20&lt;&gt;0,(AJ20-AB20)/ABS(AB20),0)</f>
        <v/>
      </c>
    </row>
    <row r="21" ht="13" customHeight="1">
      <c r="A21" s="19" t="inlineStr">
        <is>
          <t xml:space="preserve">    Sal:Rev</t>
        </is>
      </c>
      <c r="B21" s="20">
        <f>IF(B7&gt;0,B20/B7,0)</f>
        <v/>
      </c>
      <c r="C21" s="20">
        <f>IF(C7&gt;0,C20/C7,0)</f>
        <v/>
      </c>
      <c r="D21" s="20">
        <f>IF(D7&gt;0,D20/D7,0)</f>
        <v/>
      </c>
      <c r="E21" s="20">
        <f>IF(E7&gt;0,E20/E7,0)</f>
        <v/>
      </c>
      <c r="F21" s="20">
        <f>IF(F7&gt;0,F20/F7,0)</f>
        <v/>
      </c>
      <c r="G21" s="20">
        <f>IF(G7&gt;0,G20/G7,0)</f>
        <v/>
      </c>
      <c r="H21" s="20">
        <f>IF(H7&gt;0,H20/H7,0)</f>
        <v/>
      </c>
      <c r="I21" s="20">
        <f>IF(I7&gt;0,I20/I7,0)</f>
        <v/>
      </c>
      <c r="J21" s="20">
        <f>IF(J7&gt;0,J20/J7,0)</f>
        <v/>
      </c>
      <c r="K21" s="20">
        <f>IF(K7&gt;0,K20/K7,0)</f>
        <v/>
      </c>
      <c r="L21" s="20">
        <f>IF(L7&gt;0,L20/L7,0)</f>
        <v/>
      </c>
      <c r="M21" s="20">
        <f>IF(M7&gt;0,M20/M7,0)</f>
        <v/>
      </c>
      <c r="N21" s="20">
        <f>IF(N7&gt;0,N20/N7,0)</f>
        <v/>
      </c>
      <c r="O21" s="20">
        <f>IF(O7&gt;0,O20/O7,0)</f>
        <v/>
      </c>
      <c r="P21" s="20">
        <f>IF(P7&gt;0,P20/P7,0)</f>
        <v/>
      </c>
      <c r="Q21" s="20">
        <f>IF(Q7&gt;0,Q20/Q7,0)</f>
        <v/>
      </c>
      <c r="R21" s="20">
        <f>IF(R7&gt;0,R20/R7,0)</f>
        <v/>
      </c>
      <c r="S21" s="20">
        <f>IF(S7&gt;0,S20/S7,0)</f>
        <v/>
      </c>
      <c r="T21" s="20">
        <f>IF(T7&gt;0,T20/T7,0)</f>
        <v/>
      </c>
      <c r="U21" s="20">
        <f>IF(U7&gt;0,U20/U7,0)</f>
        <v/>
      </c>
      <c r="V21" s="20">
        <f>IF(V7&gt;0,V20/V7,0)</f>
        <v/>
      </c>
      <c r="W21" s="20">
        <f>IF(W7&gt;0,W20/W7,0)</f>
        <v/>
      </c>
      <c r="X21" s="20">
        <f>IF(X7&gt;0,X20/X7,0)</f>
        <v/>
      </c>
      <c r="Y21" s="20">
        <f>IF(Y7&gt;0,Y20/Y7,0)</f>
        <v/>
      </c>
      <c r="Z21" s="20">
        <f>IF(Z7&gt;0,Z20/Z7,0)</f>
        <v/>
      </c>
      <c r="AA21" s="20">
        <f>IF(AA7&gt;0,AA20/AA7,0)</f>
        <v/>
      </c>
      <c r="AB21" s="20">
        <f>IF(AB7&gt;0,AB20/AB7,0)</f>
        <v/>
      </c>
      <c r="AC21" s="20">
        <f>IF(AC7&gt;0,AC20/AC7,0)</f>
        <v/>
      </c>
      <c r="AD21" s="20">
        <f>IF(AD7&gt;0,AD20/AD7,0)</f>
        <v/>
      </c>
      <c r="AE21" s="20">
        <f>IF(AE7&gt;0,AE20/AE7,0)</f>
        <v/>
      </c>
      <c r="AF21" s="20">
        <f>IF(AF7&gt;0,AF20/AF7,0)</f>
        <v/>
      </c>
      <c r="AG21" s="20">
        <f>IF(AG7&gt;0,AG20/AG7,0)</f>
        <v/>
      </c>
      <c r="AH21" s="20">
        <f>IF(AH7&gt;0,AH20/AH7,0)</f>
        <v/>
      </c>
      <c r="AI21" s="20">
        <f>IF(AI7&gt;0,AI20/AI7,0)</f>
        <v/>
      </c>
      <c r="AJ21" s="20">
        <f>IF(AJ7&gt;0,AJ20/AJ7,0)</f>
        <v/>
      </c>
    </row>
    <row r="22" ht="5" customHeight="1"/>
    <row r="23" ht="13" customHeight="1">
      <c r="A23" s="14" t="inlineStr">
        <is>
          <t>Childcare</t>
        </is>
      </c>
    </row>
    <row r="24" ht="13" customHeight="1">
      <c r="A24" s="21" t="inlineStr">
        <is>
          <t xml:space="preserve">    Catering Costs</t>
        </is>
      </c>
      <c r="N24" s="22">
        <f>SUM(B24:M24)</f>
        <v/>
      </c>
      <c r="O24" s="22" t="n">
        <v>4148.71</v>
      </c>
      <c r="P24" s="22" t="n">
        <v>4930.31</v>
      </c>
      <c r="Q24" s="22" t="n">
        <v>5124.93</v>
      </c>
      <c r="R24" s="22" t="n">
        <v>4010.78</v>
      </c>
      <c r="S24" s="22" t="n">
        <v>5788.22</v>
      </c>
      <c r="T24" s="22" t="n">
        <v>5150.48</v>
      </c>
      <c r="U24" s="22" t="n">
        <v>4936.23</v>
      </c>
      <c r="V24" s="22" t="n">
        <v>3546.587616</v>
      </c>
      <c r="W24" s="22" t="n">
        <v>4510.552799999999</v>
      </c>
      <c r="X24" s="22" t="n">
        <v>4607.5224</v>
      </c>
      <c r="Y24" s="22" t="n">
        <v>4439.916</v>
      </c>
      <c r="Z24" s="22" t="n">
        <v>4176.4632</v>
      </c>
      <c r="AA24" s="22">
        <f>SUM(O24:U24)</f>
        <v/>
      </c>
      <c r="AB24" s="22">
        <f>SUM(O24:Z24)</f>
        <v/>
      </c>
      <c r="AC24" s="22" t="n">
        <v>4509.513215999999</v>
      </c>
      <c r="AD24" s="22" t="n">
        <v>4119.37032</v>
      </c>
      <c r="AE24" s="22" t="n">
        <v>4934.775768</v>
      </c>
      <c r="AF24" s="22" t="n">
        <v>4415.647392</v>
      </c>
      <c r="AG24" s="22" t="n">
        <v>4625.114831999999</v>
      </c>
      <c r="AH24" s="22" t="n">
        <v>4785.985151999999</v>
      </c>
      <c r="AI24" s="10">
        <f>SUM(AC24:AH24)</f>
        <v/>
      </c>
      <c r="AJ24" s="22">
        <f>SUM(AC24:AH24)+AI24</f>
        <v/>
      </c>
      <c r="AK24" s="11">
        <f>IF(N24&lt;&gt;0,(AB24-N24)/ABS(N24),0)</f>
        <v/>
      </c>
      <c r="AL24" s="11">
        <f>IF(AB24&lt;&gt;0,(AJ24-AB24)/ABS(AB24),0)</f>
        <v/>
      </c>
    </row>
    <row r="25" ht="13" customHeight="1">
      <c r="A25" s="21" t="inlineStr">
        <is>
          <t xml:space="preserve">    Toys and Games</t>
        </is>
      </c>
      <c r="B25" s="22" t="n">
        <v>330.13</v>
      </c>
      <c r="C25" s="22" t="n">
        <v>1111.29</v>
      </c>
      <c r="D25" s="22" t="n">
        <v>135.72</v>
      </c>
      <c r="E25" s="22" t="n">
        <v>172.74</v>
      </c>
      <c r="F25" s="22" t="n">
        <v>1014.7</v>
      </c>
      <c r="G25" s="22" t="n">
        <v>1919.79</v>
      </c>
      <c r="H25" s="22" t="n">
        <v>265.47</v>
      </c>
      <c r="I25" s="22" t="n">
        <v>171.34</v>
      </c>
      <c r="J25" s="22" t="n">
        <v>0</v>
      </c>
      <c r="K25" s="22" t="n">
        <v>183.06</v>
      </c>
      <c r="L25" s="22" t="n">
        <v>257.43</v>
      </c>
      <c r="M25" s="22" t="n">
        <v>59.92</v>
      </c>
      <c r="N25" s="22">
        <f>SUM(B25:M25)</f>
        <v/>
      </c>
      <c r="O25" s="22" t="n">
        <v>91.2</v>
      </c>
      <c r="P25" s="22" t="n">
        <v>89.62</v>
      </c>
      <c r="Q25" s="22" t="n">
        <v>249.67</v>
      </c>
      <c r="R25" s="22" t="n">
        <v>456.76</v>
      </c>
      <c r="S25" s="22" t="n">
        <v>98.94</v>
      </c>
      <c r="T25" s="22" t="n">
        <v>1175.49</v>
      </c>
      <c r="U25" s="22" t="n">
        <v>39.09</v>
      </c>
      <c r="AA25" s="22">
        <f>SUM(O25:U25)</f>
        <v/>
      </c>
      <c r="AB25" s="22">
        <f>SUM(O25:Z25)</f>
        <v/>
      </c>
      <c r="AC25" s="22" t="n">
        <v>100</v>
      </c>
      <c r="AD25" s="22" t="n">
        <v>100</v>
      </c>
      <c r="AE25" s="22" t="n">
        <v>100</v>
      </c>
      <c r="AF25" s="22" t="n">
        <v>100</v>
      </c>
      <c r="AG25" s="22" t="n">
        <v>100</v>
      </c>
      <c r="AH25" s="22" t="n">
        <v>100</v>
      </c>
      <c r="AI25" s="10">
        <f>SUM(AC25:AH25)</f>
        <v/>
      </c>
      <c r="AJ25" s="22">
        <f>SUM(AC25:AH25)+AI25</f>
        <v/>
      </c>
      <c r="AK25" s="11">
        <f>IF(N25&lt;&gt;0,(AB25-N25)/ABS(N25),0)</f>
        <v/>
      </c>
      <c r="AL25" s="11">
        <f>IF(AB25&lt;&gt;0,(AJ25-AB25)/ABS(AB25),0)</f>
        <v/>
      </c>
    </row>
    <row r="26" ht="13" customHeight="1">
      <c r="A26" s="21" t="inlineStr">
        <is>
          <t xml:space="preserve">    Art Materials</t>
        </is>
      </c>
      <c r="N26" s="22">
        <f>SUM(B26:M26)</f>
        <v/>
      </c>
      <c r="O26" s="22" t="n">
        <v>0</v>
      </c>
      <c r="P26" s="22" t="n">
        <v>160.57</v>
      </c>
      <c r="Q26" s="22" t="n">
        <v>230.91</v>
      </c>
      <c r="R26" s="22" t="n">
        <v>143.14</v>
      </c>
      <c r="S26" s="22" t="n">
        <v>88.79000000000001</v>
      </c>
      <c r="T26" s="22" t="n">
        <v>256.61</v>
      </c>
      <c r="U26" s="22" t="n">
        <v>223.33</v>
      </c>
      <c r="V26" s="22" t="n">
        <v>236.4391744</v>
      </c>
      <c r="W26" s="22" t="n">
        <v>300.70352</v>
      </c>
      <c r="X26" s="22" t="n">
        <v>307.16816</v>
      </c>
      <c r="Y26" s="22" t="n">
        <v>295.9944</v>
      </c>
      <c r="Z26" s="22" t="n">
        <v>278.43088</v>
      </c>
      <c r="AA26" s="22">
        <f>SUM(O26:U26)</f>
        <v/>
      </c>
      <c r="AB26" s="22">
        <f>SUM(O26:Z26)</f>
        <v/>
      </c>
      <c r="AC26" s="22" t="n">
        <v>300.6342144</v>
      </c>
      <c r="AD26" s="22" t="n">
        <v>274.624688</v>
      </c>
      <c r="AE26" s="22" t="n">
        <v>328.9850512</v>
      </c>
      <c r="AF26" s="22" t="n">
        <v>294.3764928</v>
      </c>
      <c r="AG26" s="22" t="n">
        <v>308.3409887999999</v>
      </c>
      <c r="AH26" s="22" t="n">
        <v>319.0656767999999</v>
      </c>
      <c r="AI26" s="10">
        <f>SUM(AC26:AH26)</f>
        <v/>
      </c>
      <c r="AJ26" s="22">
        <f>SUM(AC26:AH26)+AI26</f>
        <v/>
      </c>
      <c r="AK26" s="11">
        <f>IF(N26&lt;&gt;0,(AB26-N26)/ABS(N26),0)</f>
        <v/>
      </c>
      <c r="AL26" s="11">
        <f>IF(AB26&lt;&gt;0,(AJ26-AB26)/ABS(AB26),0)</f>
        <v/>
      </c>
    </row>
    <row r="27" ht="13" customHeight="1">
      <c r="A27" s="21" t="inlineStr">
        <is>
          <t xml:space="preserve">    Nursery Stationery</t>
        </is>
      </c>
      <c r="B27" s="22" t="n">
        <v>15</v>
      </c>
      <c r="C27" s="22" t="n">
        <v>63.01</v>
      </c>
      <c r="D27" s="22" t="n">
        <v>61.27</v>
      </c>
      <c r="E27" s="22" t="n">
        <v>3.06</v>
      </c>
      <c r="F27" s="22" t="n">
        <v>1.38</v>
      </c>
      <c r="G27" s="22" t="n">
        <v>44.8</v>
      </c>
      <c r="H27" s="22" t="n">
        <v>112.74</v>
      </c>
      <c r="I27" s="22" t="n">
        <v>0</v>
      </c>
      <c r="J27" s="22" t="n">
        <v>104.18</v>
      </c>
      <c r="K27" s="22" t="n">
        <v>88.44</v>
      </c>
      <c r="L27" s="22" t="n">
        <v>41.01</v>
      </c>
      <c r="M27" s="22" t="n">
        <v>38.29</v>
      </c>
      <c r="N27" s="22">
        <f>SUM(B27:M27)</f>
        <v/>
      </c>
      <c r="O27" s="22" t="n">
        <v>6.39</v>
      </c>
      <c r="P27" s="22" t="n">
        <v>72.61</v>
      </c>
      <c r="Q27" s="22" t="n">
        <v>43.57</v>
      </c>
      <c r="R27" s="22" t="n">
        <v>35.07</v>
      </c>
      <c r="S27" s="22" t="n">
        <v>16.02</v>
      </c>
      <c r="T27" s="22" t="n">
        <v>69.76000000000001</v>
      </c>
      <c r="U27" s="22" t="n">
        <v>48.33</v>
      </c>
      <c r="AA27" s="22">
        <f>SUM(O27:U27)</f>
        <v/>
      </c>
      <c r="AB27" s="22">
        <f>SUM(O27:Z27)</f>
        <v/>
      </c>
      <c r="AC27" s="22" t="n">
        <v>278</v>
      </c>
      <c r="AD27" s="22" t="n">
        <v>278</v>
      </c>
      <c r="AE27" s="22" t="n">
        <v>278</v>
      </c>
      <c r="AF27" s="22" t="n">
        <v>278</v>
      </c>
      <c r="AG27" s="22" t="n">
        <v>278</v>
      </c>
      <c r="AH27" s="22" t="n">
        <v>278</v>
      </c>
      <c r="AI27" s="10">
        <f>SUM(AC27:AH27)</f>
        <v/>
      </c>
      <c r="AJ27" s="22">
        <f>SUM(AC27:AH27)+AI27</f>
        <v/>
      </c>
      <c r="AK27" s="11">
        <f>IF(N27&lt;&gt;0,(AB27-N27)/ABS(N27),0)</f>
        <v/>
      </c>
      <c r="AL27" s="11">
        <f>IF(AB27&lt;&gt;0,(AJ27-AB27)/ABS(AB27),0)</f>
        <v/>
      </c>
    </row>
    <row r="28" ht="13" customHeight="1">
      <c r="A28" s="21" t="inlineStr">
        <is>
          <t xml:space="preserve">    Nursery Equipment</t>
        </is>
      </c>
      <c r="B28" s="22" t="n">
        <v>134.83</v>
      </c>
      <c r="C28" s="22" t="n">
        <v>92.94</v>
      </c>
      <c r="D28" s="22" t="n">
        <v>339.69</v>
      </c>
      <c r="E28" s="22" t="n">
        <v>63.56</v>
      </c>
      <c r="F28" s="22" t="n">
        <v>390.09</v>
      </c>
      <c r="G28" s="22" t="n">
        <v>775.99</v>
      </c>
      <c r="H28" s="22" t="n">
        <v>63.76</v>
      </c>
      <c r="I28" s="22" t="n">
        <v>35.62</v>
      </c>
      <c r="J28" s="22" t="n">
        <v>45.98</v>
      </c>
      <c r="K28" s="22" t="n">
        <v>380.46</v>
      </c>
      <c r="L28" s="22" t="n">
        <v>86.03999999999999</v>
      </c>
      <c r="M28" s="22" t="n">
        <v>54.77</v>
      </c>
      <c r="N28" s="22">
        <f>SUM(B28:M28)</f>
        <v/>
      </c>
      <c r="O28" s="22" t="n">
        <v>55.86</v>
      </c>
      <c r="P28" s="22" t="n">
        <v>123.78</v>
      </c>
      <c r="Q28" s="22" t="n">
        <v>0</v>
      </c>
      <c r="R28" s="22" t="n">
        <v>22.45</v>
      </c>
      <c r="S28" s="22" t="n">
        <v>59.08</v>
      </c>
      <c r="T28" s="22" t="n">
        <v>466.76</v>
      </c>
      <c r="U28" s="22" t="n">
        <v>206.96</v>
      </c>
      <c r="AA28" s="22">
        <f>SUM(O28:U28)</f>
        <v/>
      </c>
      <c r="AB28" s="22">
        <f>SUM(O28:Z28)</f>
        <v/>
      </c>
      <c r="AC28" s="22" t="n">
        <v>100</v>
      </c>
      <c r="AD28" s="22" t="n">
        <v>100</v>
      </c>
      <c r="AE28" s="22" t="n">
        <v>100</v>
      </c>
      <c r="AF28" s="22" t="n">
        <v>100</v>
      </c>
      <c r="AG28" s="22" t="n">
        <v>100</v>
      </c>
      <c r="AH28" s="22" t="n">
        <v>100</v>
      </c>
      <c r="AI28" s="10">
        <f>SUM(AC28:AH28)</f>
        <v/>
      </c>
      <c r="AJ28" s="22">
        <f>SUM(AC28:AH28)+AI28</f>
        <v/>
      </c>
      <c r="AK28" s="11">
        <f>IF(N28&lt;&gt;0,(AB28-N28)/ABS(N28),0)</f>
        <v/>
      </c>
      <c r="AL28" s="11">
        <f>IF(AB28&lt;&gt;0,(AJ28-AB28)/ABS(AB28),0)</f>
        <v/>
      </c>
    </row>
    <row r="29" ht="13" customHeight="1">
      <c r="A29" s="21" t="inlineStr">
        <is>
          <t xml:space="preserve">    Nursery Consumables</t>
        </is>
      </c>
      <c r="N29" s="22">
        <f>SUM(B29:M29)</f>
        <v/>
      </c>
      <c r="O29" s="22" t="n">
        <v>1014.79</v>
      </c>
      <c r="P29" s="22" t="n">
        <v>667.24</v>
      </c>
      <c r="Q29" s="22" t="n">
        <v>625.97</v>
      </c>
      <c r="R29" s="22" t="n">
        <v>1223.46</v>
      </c>
      <c r="S29" s="22" t="n">
        <v>1072.87</v>
      </c>
      <c r="T29" s="22" t="n">
        <v>248.7</v>
      </c>
      <c r="U29" s="22" t="n">
        <v>985.75</v>
      </c>
      <c r="V29" s="22" t="n">
        <v>472.8783488000001</v>
      </c>
      <c r="W29" s="22" t="n">
        <v>601.4070400000002</v>
      </c>
      <c r="X29" s="22" t="n">
        <v>614.3363200000002</v>
      </c>
      <c r="Y29" s="22" t="n">
        <v>591.9888000000002</v>
      </c>
      <c r="Z29" s="22" t="n">
        <v>556.8617600000002</v>
      </c>
      <c r="AA29" s="22">
        <f>SUM(O29:U29)</f>
        <v/>
      </c>
      <c r="AB29" s="22">
        <f>SUM(O29:Z29)</f>
        <v/>
      </c>
      <c r="AC29" s="22" t="n">
        <v>601.2684288000002</v>
      </c>
      <c r="AD29" s="22" t="n">
        <v>549.2493760000002</v>
      </c>
      <c r="AE29" s="22" t="n">
        <v>657.9701024000003</v>
      </c>
      <c r="AF29" s="22" t="n">
        <v>588.7529856000002</v>
      </c>
      <c r="AG29" s="22" t="n">
        <v>616.6819776000001</v>
      </c>
      <c r="AH29" s="22" t="n">
        <v>638.1313536000001</v>
      </c>
      <c r="AI29" s="10">
        <f>SUM(AC29:AH29)</f>
        <v/>
      </c>
      <c r="AJ29" s="22">
        <f>SUM(AC29:AH29)+AI29</f>
        <v/>
      </c>
      <c r="AK29" s="11">
        <f>IF(N29&lt;&gt;0,(AB29-N29)/ABS(N29),0)</f>
        <v/>
      </c>
      <c r="AL29" s="11">
        <f>IF(AB29&lt;&gt;0,(AJ29-AB29)/ABS(AB29),0)</f>
        <v/>
      </c>
    </row>
    <row r="30" ht="13" customHeight="1">
      <c r="A30" s="23" t="inlineStr">
        <is>
          <t>Total Childcare Costs</t>
        </is>
      </c>
      <c r="B30" s="24">
        <f>B24+B25+B26+B27+B28+B29</f>
        <v/>
      </c>
      <c r="C30" s="24">
        <f>C24+C25+C26+C27+C28+C29</f>
        <v/>
      </c>
      <c r="D30" s="24">
        <f>D24+D25+D26+D27+D28+D29</f>
        <v/>
      </c>
      <c r="E30" s="24">
        <f>E24+E25+E26+E27+E28+E29</f>
        <v/>
      </c>
      <c r="F30" s="24">
        <f>F24+F25+F26+F27+F28+F29</f>
        <v/>
      </c>
      <c r="G30" s="24">
        <f>G24+G25+G26+G27+G28+G29</f>
        <v/>
      </c>
      <c r="H30" s="24">
        <f>H24+H25+H26+H27+H28+H29</f>
        <v/>
      </c>
      <c r="I30" s="24">
        <f>I24+I25+I26+I27+I28+I29</f>
        <v/>
      </c>
      <c r="J30" s="24">
        <f>J24+J25+J26+J27+J28+J29</f>
        <v/>
      </c>
      <c r="K30" s="24">
        <f>K24+K25+K26+K27+K28+K29</f>
        <v/>
      </c>
      <c r="L30" s="24">
        <f>L24+L25+L26+L27+L28+L29</f>
        <v/>
      </c>
      <c r="M30" s="24">
        <f>M24+M25+M26+M27+M28+M29</f>
        <v/>
      </c>
      <c r="N30" s="24">
        <f>N24+N25+N26+N27+N28+N29</f>
        <v/>
      </c>
      <c r="O30" s="24">
        <f>O24+O25+O26+O27+O28+O29</f>
        <v/>
      </c>
      <c r="P30" s="24">
        <f>P24+P25+P26+P27+P28+P29</f>
        <v/>
      </c>
      <c r="Q30" s="24">
        <f>Q24+Q25+Q26+Q27+Q28+Q29</f>
        <v/>
      </c>
      <c r="R30" s="24">
        <f>R24+R25+R26+R27+R28+R29</f>
        <v/>
      </c>
      <c r="S30" s="24">
        <f>S24+S25+S26+S27+S28+S29</f>
        <v/>
      </c>
      <c r="T30" s="24">
        <f>T24+T25+T26+T27+T28+T29</f>
        <v/>
      </c>
      <c r="U30" s="24">
        <f>U24+U25+U26+U27+U28+U29</f>
        <v/>
      </c>
      <c r="V30" s="24">
        <f>V24+V25+V26+V27+V28+V29</f>
        <v/>
      </c>
      <c r="W30" s="24">
        <f>W24+W25+W26+W27+W28+W29</f>
        <v/>
      </c>
      <c r="X30" s="24">
        <f>X24+X25+X26+X27+X28+X29</f>
        <v/>
      </c>
      <c r="Y30" s="24">
        <f>Y24+Y25+Y26+Y27+Y28+Y29</f>
        <v/>
      </c>
      <c r="Z30" s="24">
        <f>Z24+Z25+Z26+Z27+Z28+Z29</f>
        <v/>
      </c>
      <c r="AA30" s="24">
        <f>AA24+AA25+AA26+AA27+AA28+AA29</f>
        <v/>
      </c>
      <c r="AB30" s="24">
        <f>AB24+AB25+AB26+AB27+AB28+AB29</f>
        <v/>
      </c>
      <c r="AC30" s="24">
        <f>AC24+AC25+AC26+AC27+AC28+AC29</f>
        <v/>
      </c>
      <c r="AD30" s="24">
        <f>AD24+AD25+AD26+AD27+AD28+AD29</f>
        <v/>
      </c>
      <c r="AE30" s="24">
        <f>AE24+AE25+AE26+AE27+AE28+AE29</f>
        <v/>
      </c>
      <c r="AF30" s="24">
        <f>AF24+AF25+AF26+AF27+AF28+AF29</f>
        <v/>
      </c>
      <c r="AG30" s="24">
        <f>AG24+AG25+AG26+AG27+AG28+AG29</f>
        <v/>
      </c>
      <c r="AH30" s="24">
        <f>AH24+AH25+AH26+AH27+AH28+AH29</f>
        <v/>
      </c>
      <c r="AI30" s="24">
        <f>AI24+AI25+AI26+AI27+AI28+AI29</f>
        <v/>
      </c>
      <c r="AJ30" s="24">
        <f>AJ24+AJ25+AJ26+AJ27+AJ28+AJ29</f>
        <v/>
      </c>
      <c r="AK30" s="11">
        <f>IF(N30&lt;&gt;0,(AB30-N30)/ABS(N30),0)</f>
        <v/>
      </c>
      <c r="AL30" s="11">
        <f>IF(AB30&lt;&gt;0,(AJ30-AB30)/ABS(AB30),0)</f>
        <v/>
      </c>
    </row>
    <row r="31" ht="5" customHeight="1"/>
    <row r="32" ht="13" customHeight="1">
      <c r="A32" s="14" t="inlineStr">
        <is>
          <t>Premises &amp; Admin</t>
        </is>
      </c>
    </row>
    <row r="33" ht="13" customHeight="1">
      <c r="A33" s="25" t="inlineStr">
        <is>
          <t xml:space="preserve">    Rent</t>
        </is>
      </c>
      <c r="B33" s="26" t="n">
        <v>0</v>
      </c>
      <c r="C33" s="26" t="n">
        <v>0</v>
      </c>
      <c r="D33" s="26" t="n">
        <v>0</v>
      </c>
      <c r="E33" s="26" t="n">
        <v>0</v>
      </c>
      <c r="F33" s="26" t="n">
        <v>0</v>
      </c>
      <c r="G33" s="26" t="n">
        <v>0</v>
      </c>
      <c r="H33" s="26" t="n">
        <v>0</v>
      </c>
      <c r="I33" s="26" t="n">
        <v>0</v>
      </c>
      <c r="J33" s="26" t="n">
        <v>0</v>
      </c>
      <c r="K33" s="26" t="n">
        <v>0</v>
      </c>
      <c r="L33" s="26" t="n">
        <v>0</v>
      </c>
      <c r="M33" s="26" t="n">
        <v>0</v>
      </c>
      <c r="N33" s="26">
        <f>SUM(B33:M33)</f>
        <v/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  <c r="V33" s="26" t="n">
        <v>0</v>
      </c>
      <c r="W33" s="26" t="n">
        <v>0</v>
      </c>
      <c r="X33" s="26" t="n">
        <v>0</v>
      </c>
      <c r="Y33" s="26" t="n">
        <v>0</v>
      </c>
      <c r="Z33" s="26" t="n">
        <v>0</v>
      </c>
      <c r="AA33" s="26">
        <f>SUM(O33:U33)</f>
        <v/>
      </c>
      <c r="AB33" s="26">
        <f>SUM(O33:Z33)</f>
        <v/>
      </c>
      <c r="AC33" s="26" t="n">
        <v>0</v>
      </c>
      <c r="AD33" s="26" t="n">
        <v>0</v>
      </c>
      <c r="AE33" s="26" t="n">
        <v>0</v>
      </c>
      <c r="AF33" s="26" t="n">
        <v>0</v>
      </c>
      <c r="AG33" s="26" t="n">
        <v>0</v>
      </c>
      <c r="AH33" s="26" t="n">
        <v>0</v>
      </c>
      <c r="AI33" s="10">
        <f>SUM(AC33:AH33)</f>
        <v/>
      </c>
      <c r="AJ33" s="26">
        <f>SUM(AC33:AH33)+AI33</f>
        <v/>
      </c>
      <c r="AK33" s="11">
        <f>IF(N33&lt;&gt;0,(AB33-N33)/ABS(N33),0)</f>
        <v/>
      </c>
      <c r="AL33" s="11">
        <f>IF(AB33&lt;&gt;0,(AJ33-AB33)/ABS(AB33),0)</f>
        <v/>
      </c>
    </row>
    <row r="34" ht="13" customHeight="1">
      <c r="A34" s="25" t="inlineStr">
        <is>
          <t xml:space="preserve">    Business Rates</t>
        </is>
      </c>
      <c r="B34" s="26" t="n">
        <v>3025.75</v>
      </c>
      <c r="C34" s="26" t="n">
        <v>3025.75</v>
      </c>
      <c r="D34" s="26" t="n">
        <v>3025.75</v>
      </c>
      <c r="E34" s="26" t="n">
        <v>3075.63</v>
      </c>
      <c r="F34" s="26" t="n">
        <v>3075.63</v>
      </c>
      <c r="G34" s="26" t="n">
        <v>3075.63</v>
      </c>
      <c r="H34" s="26" t="n">
        <v>3075.63</v>
      </c>
      <c r="I34" s="26" t="n">
        <v>3075.63</v>
      </c>
      <c r="J34" s="26" t="n">
        <v>3075.63</v>
      </c>
      <c r="K34" s="26" t="n">
        <v>3075.63</v>
      </c>
      <c r="L34" s="26" t="n">
        <v>3075.63</v>
      </c>
      <c r="M34" s="26" t="n">
        <v>3075.63</v>
      </c>
      <c r="N34" s="26">
        <f>SUM(B34:M34)</f>
        <v/>
      </c>
      <c r="O34" s="26" t="n">
        <v>3075.61</v>
      </c>
      <c r="P34" s="26" t="n">
        <v>3075.61</v>
      </c>
      <c r="Q34" s="26" t="n">
        <v>3075.61</v>
      </c>
      <c r="R34" s="26" t="n">
        <v>3123.75</v>
      </c>
      <c r="S34" s="26" t="n">
        <v>3123.75</v>
      </c>
      <c r="T34" s="26" t="n">
        <v>3123.75</v>
      </c>
      <c r="U34" s="26" t="n">
        <v>3123.75</v>
      </c>
      <c r="AA34" s="26">
        <f>SUM(O34:U34)</f>
        <v/>
      </c>
      <c r="AB34" s="26">
        <f>SUM(O34:Z34)</f>
        <v/>
      </c>
      <c r="AC34" s="26" t="n">
        <v>3123.75</v>
      </c>
      <c r="AD34" s="26" t="n">
        <v>3123.75</v>
      </c>
      <c r="AE34" s="26" t="n">
        <v>3123.75</v>
      </c>
      <c r="AF34" s="26" t="n">
        <v>3123.75</v>
      </c>
      <c r="AG34" s="26" t="n">
        <v>3123.75</v>
      </c>
      <c r="AH34" s="26" t="n">
        <v>3123.75</v>
      </c>
      <c r="AI34" s="10">
        <f>SUM(AC34:AH34)</f>
        <v/>
      </c>
      <c r="AJ34" s="26">
        <f>SUM(AC34:AH34)+AI34</f>
        <v/>
      </c>
      <c r="AK34" s="11">
        <f>IF(N34&lt;&gt;0,(AB34-N34)/ABS(N34),0)</f>
        <v/>
      </c>
      <c r="AL34" s="11">
        <f>IF(AB34&lt;&gt;0,(AJ34-AB34)/ABS(AB34),0)</f>
        <v/>
      </c>
    </row>
    <row r="35" ht="13" customHeight="1">
      <c r="A35" s="25" t="inlineStr">
        <is>
          <t xml:space="preserve">    Utilities</t>
        </is>
      </c>
      <c r="B35" s="26" t="n">
        <v>2790.8</v>
      </c>
      <c r="C35" s="26" t="n">
        <v>2628.84</v>
      </c>
      <c r="D35" s="26" t="n">
        <v>4292.94</v>
      </c>
      <c r="E35" s="26" t="n">
        <v>5529.950000000001</v>
      </c>
      <c r="F35" s="26" t="n">
        <v>1656.64</v>
      </c>
      <c r="G35" s="26" t="n">
        <v>2428.37</v>
      </c>
      <c r="H35" s="26" t="n">
        <v>1773.3</v>
      </c>
      <c r="I35" s="26" t="n">
        <v>1422.35</v>
      </c>
      <c r="J35" s="26" t="n">
        <v>2223.76</v>
      </c>
      <c r="K35" s="26" t="n">
        <v>3805.35</v>
      </c>
      <c r="L35" s="26" t="n">
        <v>3193.73</v>
      </c>
      <c r="M35" s="26" t="n">
        <v>3368.92</v>
      </c>
      <c r="N35" s="26">
        <f>SUM(B35:M35)</f>
        <v/>
      </c>
      <c r="O35" s="26" t="n">
        <v>4087.64</v>
      </c>
      <c r="P35" s="26" t="n">
        <v>4314.61</v>
      </c>
      <c r="Q35" s="26" t="n">
        <v>2945.05</v>
      </c>
      <c r="R35" s="26" t="n">
        <v>2778.49</v>
      </c>
      <c r="S35" s="26" t="n">
        <v>2142.48</v>
      </c>
      <c r="T35" s="26" t="n">
        <v>2285.87</v>
      </c>
      <c r="U35" s="26" t="n">
        <v>1722.41</v>
      </c>
      <c r="AA35" s="26">
        <f>SUM(O35:U35)</f>
        <v/>
      </c>
      <c r="AB35" s="26">
        <f>SUM(O35:Z35)</f>
        <v/>
      </c>
      <c r="AC35" s="26" t="n">
        <v>3138</v>
      </c>
      <c r="AD35" s="26" t="n">
        <v>3138</v>
      </c>
      <c r="AE35" s="26" t="n">
        <v>3138</v>
      </c>
      <c r="AF35" s="26" t="n">
        <v>3138</v>
      </c>
      <c r="AG35" s="26" t="n">
        <v>3138</v>
      </c>
      <c r="AH35" s="26" t="n">
        <v>3138</v>
      </c>
      <c r="AI35" s="10">
        <f>SUM(AC35:AH35)</f>
        <v/>
      </c>
      <c r="AJ35" s="26">
        <f>SUM(AC35:AH35)+AI35</f>
        <v/>
      </c>
      <c r="AK35" s="11">
        <f>IF(N35&lt;&gt;0,(AB35-N35)/ABS(N35),0)</f>
        <v/>
      </c>
      <c r="AL35" s="11">
        <f>IF(AB35&lt;&gt;0,(AJ35-AB35)/ABS(AB35),0)</f>
        <v/>
      </c>
    </row>
    <row r="36" ht="13" customHeight="1">
      <c r="A36" s="25" t="inlineStr">
        <is>
          <t xml:space="preserve">    Repairs &amp; Maintenance</t>
        </is>
      </c>
      <c r="B36" s="26" t="n">
        <v>924.6799999999999</v>
      </c>
      <c r="C36" s="26" t="n">
        <v>752.58</v>
      </c>
      <c r="D36" s="26" t="n">
        <v>409.33</v>
      </c>
      <c r="E36" s="26" t="n">
        <v>1010.79</v>
      </c>
      <c r="F36" s="26" t="n">
        <v>213.72</v>
      </c>
      <c r="G36" s="26" t="n">
        <v>535.9799999999999</v>
      </c>
      <c r="H36" s="26" t="n">
        <v>2248.4</v>
      </c>
      <c r="I36" s="26" t="n">
        <v>2709.69</v>
      </c>
      <c r="J36" s="26" t="n">
        <v>912.3100000000001</v>
      </c>
      <c r="K36" s="26" t="n">
        <v>1226.69</v>
      </c>
      <c r="L36" s="26" t="n">
        <v>65.19</v>
      </c>
      <c r="M36" s="26" t="n">
        <v>192.39</v>
      </c>
      <c r="N36" s="26">
        <f>SUM(B36:M36)</f>
        <v/>
      </c>
      <c r="O36" s="26" t="n">
        <v>482.98</v>
      </c>
      <c r="P36" s="26" t="n">
        <v>65.19</v>
      </c>
      <c r="Q36" s="26" t="n">
        <v>81.48</v>
      </c>
      <c r="R36" s="26" t="n">
        <v>217.62</v>
      </c>
      <c r="S36" s="26" t="n">
        <v>546.64</v>
      </c>
      <c r="T36" s="26" t="n">
        <v>445.08</v>
      </c>
      <c r="U36" s="26" t="n">
        <v>1103.45</v>
      </c>
      <c r="AA36" s="26">
        <f>SUM(O36:U36)</f>
        <v/>
      </c>
      <c r="AB36" s="26">
        <f>SUM(O36:Z36)</f>
        <v/>
      </c>
      <c r="AC36" s="26" t="n">
        <v>0</v>
      </c>
      <c r="AD36" s="26" t="n">
        <v>0</v>
      </c>
      <c r="AE36" s="26" t="n">
        <v>0</v>
      </c>
      <c r="AF36" s="26" t="n">
        <v>0</v>
      </c>
      <c r="AG36" s="26" t="n">
        <v>0</v>
      </c>
      <c r="AH36" s="26" t="n">
        <v>0</v>
      </c>
      <c r="AI36" s="10">
        <f>SUM(AC36:AH36)</f>
        <v/>
      </c>
      <c r="AJ36" s="26">
        <f>SUM(AC36:AH36)+AI36</f>
        <v/>
      </c>
      <c r="AK36" s="11">
        <f>IF(N36&lt;&gt;0,(AB36-N36)/ABS(N36),0)</f>
        <v/>
      </c>
      <c r="AL36" s="11">
        <f>IF(AB36&lt;&gt;0,(AJ36-AB36)/ABS(AB36),0)</f>
        <v/>
      </c>
    </row>
    <row r="37" ht="13" customHeight="1">
      <c r="A37" s="25" t="inlineStr">
        <is>
          <t xml:space="preserve">    Cleaning</t>
        </is>
      </c>
      <c r="B37" s="26" t="n">
        <v>3992.33</v>
      </c>
      <c r="C37" s="26" t="n">
        <v>3985.5</v>
      </c>
      <c r="D37" s="26" t="n">
        <v>3876.24</v>
      </c>
      <c r="E37" s="26" t="n">
        <v>4757.82</v>
      </c>
      <c r="F37" s="26" t="n">
        <v>3752.54</v>
      </c>
      <c r="G37" s="26" t="n">
        <v>3993.33</v>
      </c>
      <c r="H37" s="26" t="n">
        <v>4752.64</v>
      </c>
      <c r="I37" s="26" t="n">
        <v>8059.97</v>
      </c>
      <c r="J37" s="26" t="n">
        <v>4609.84</v>
      </c>
      <c r="K37" s="26" t="n">
        <v>755.6900000000001</v>
      </c>
      <c r="L37" s="26" t="n">
        <v>4164.74</v>
      </c>
      <c r="M37" s="26" t="n">
        <v>4041.48</v>
      </c>
      <c r="N37" s="26">
        <f>SUM(B37:M37)</f>
        <v/>
      </c>
      <c r="O37" s="26" t="n">
        <v>3097.61</v>
      </c>
      <c r="P37" s="26" t="n">
        <v>7311.5</v>
      </c>
      <c r="Q37" s="26" t="n">
        <v>416.9</v>
      </c>
      <c r="R37" s="26" t="n">
        <v>4015.5</v>
      </c>
      <c r="S37" s="26" t="n">
        <v>4246.18</v>
      </c>
      <c r="T37" s="26" t="n">
        <v>4420.44</v>
      </c>
      <c r="U37" s="26" t="n">
        <v>4546.02</v>
      </c>
      <c r="AA37" s="26">
        <f>SUM(O37:U37)</f>
        <v/>
      </c>
      <c r="AB37" s="26">
        <f>SUM(O37:Z37)</f>
        <v/>
      </c>
      <c r="AC37" s="26" t="n">
        <v>4300</v>
      </c>
      <c r="AD37" s="26" t="n">
        <v>4300</v>
      </c>
      <c r="AE37" s="26" t="n">
        <v>4300</v>
      </c>
      <c r="AF37" s="26" t="n">
        <v>4300</v>
      </c>
      <c r="AG37" s="26" t="n">
        <v>4300</v>
      </c>
      <c r="AH37" s="26" t="n">
        <v>4300</v>
      </c>
      <c r="AI37" s="10">
        <f>SUM(AC37:AH37)</f>
        <v/>
      </c>
      <c r="AJ37" s="26">
        <f>SUM(AC37:AH37)+AI37</f>
        <v/>
      </c>
      <c r="AK37" s="11">
        <f>IF(N37&lt;&gt;0,(AB37-N37)/ABS(N37),0)</f>
        <v/>
      </c>
      <c r="AL37" s="11">
        <f>IF(AB37&lt;&gt;0,(AJ37-AB37)/ABS(AB37),0)</f>
        <v/>
      </c>
    </row>
    <row r="38" ht="13" customHeight="1">
      <c r="A38" s="25" t="inlineStr">
        <is>
          <t xml:space="preserve">    Waste Disposal</t>
        </is>
      </c>
      <c r="B38" s="26" t="n">
        <v>623.08</v>
      </c>
      <c r="C38" s="26" t="n">
        <v>831.76</v>
      </c>
      <c r="D38" s="26" t="n">
        <v>836.49</v>
      </c>
      <c r="E38" s="26" t="n">
        <v>747.74</v>
      </c>
      <c r="F38" s="26" t="n">
        <v>481.62</v>
      </c>
      <c r="G38" s="26" t="n">
        <v>810.6499999999999</v>
      </c>
      <c r="H38" s="26" t="n">
        <v>662.91</v>
      </c>
      <c r="I38" s="26" t="n">
        <v>701.49</v>
      </c>
      <c r="J38" s="26" t="n">
        <v>1035.73</v>
      </c>
      <c r="K38" s="26" t="n">
        <v>720.8</v>
      </c>
      <c r="L38" s="26" t="n">
        <v>715.36</v>
      </c>
      <c r="M38" s="26" t="n">
        <v>834.1999999999999</v>
      </c>
      <c r="N38" s="26">
        <f>SUM(B38:M38)</f>
        <v/>
      </c>
      <c r="O38" s="26" t="n">
        <v>715.36</v>
      </c>
      <c r="P38" s="26" t="n">
        <v>715.36</v>
      </c>
      <c r="Q38" s="26" t="n">
        <v>843.86</v>
      </c>
      <c r="R38" s="26" t="n">
        <v>1039.5</v>
      </c>
      <c r="S38" s="26" t="n">
        <v>796.4</v>
      </c>
      <c r="T38" s="26" t="n">
        <v>429.02</v>
      </c>
      <c r="U38" s="26" t="n">
        <v>1016.67</v>
      </c>
      <c r="AA38" s="26">
        <f>SUM(O38:U38)</f>
        <v/>
      </c>
      <c r="AB38" s="26">
        <f>SUM(O38:Z38)</f>
        <v/>
      </c>
      <c r="AC38" s="26" t="n">
        <v>746</v>
      </c>
      <c r="AD38" s="26" t="n">
        <v>746</v>
      </c>
      <c r="AE38" s="26" t="n">
        <v>746</v>
      </c>
      <c r="AF38" s="26" t="n">
        <v>746</v>
      </c>
      <c r="AG38" s="26" t="n">
        <v>746</v>
      </c>
      <c r="AH38" s="26" t="n">
        <v>746</v>
      </c>
      <c r="AI38" s="10">
        <f>SUM(AC38:AH38)</f>
        <v/>
      </c>
      <c r="AJ38" s="26">
        <f>SUM(AC38:AH38)+AI38</f>
        <v/>
      </c>
      <c r="AK38" s="11">
        <f>IF(N38&lt;&gt;0,(AB38-N38)/ABS(N38),0)</f>
        <v/>
      </c>
      <c r="AL38" s="11">
        <f>IF(AB38&lt;&gt;0,(AJ38-AB38)/ABS(AB38),0)</f>
        <v/>
      </c>
    </row>
    <row r="39" ht="13" customHeight="1">
      <c r="A39" s="25" t="inlineStr">
        <is>
          <t xml:space="preserve">    Postage/Printing/Stationery</t>
        </is>
      </c>
      <c r="B39" s="26" t="n">
        <v>72.16</v>
      </c>
      <c r="C39" s="26" t="n">
        <v>108.21</v>
      </c>
      <c r="D39" s="26" t="n">
        <v>93.42</v>
      </c>
      <c r="E39" s="26" t="n">
        <v>86.88</v>
      </c>
      <c r="F39" s="26" t="n">
        <v>91.48</v>
      </c>
      <c r="G39" s="26" t="n">
        <v>133.56</v>
      </c>
      <c r="H39" s="26" t="n">
        <v>135.07</v>
      </c>
      <c r="I39" s="26" t="n">
        <v>63.11</v>
      </c>
      <c r="J39" s="26" t="n">
        <v>156.44</v>
      </c>
      <c r="K39" s="26" t="n">
        <v>93.01000000000001</v>
      </c>
      <c r="L39" s="26" t="n">
        <v>12.84</v>
      </c>
      <c r="M39" s="26" t="n">
        <v>72.92</v>
      </c>
      <c r="N39" s="26">
        <f>SUM(B39:M39)</f>
        <v/>
      </c>
      <c r="O39" s="26" t="n">
        <v>75.37</v>
      </c>
      <c r="P39" s="26" t="n">
        <v>96.28</v>
      </c>
      <c r="Q39" s="26" t="n">
        <v>268.58</v>
      </c>
      <c r="R39" s="26" t="n">
        <v>106.13</v>
      </c>
      <c r="S39" s="26" t="n">
        <v>149.21</v>
      </c>
      <c r="T39" s="26" t="n">
        <v>172.86</v>
      </c>
      <c r="U39" s="26" t="n">
        <v>64.59999999999999</v>
      </c>
      <c r="AA39" s="26">
        <f>SUM(O39:U39)</f>
        <v/>
      </c>
      <c r="AB39" s="26">
        <f>SUM(O39:Z39)</f>
        <v/>
      </c>
      <c r="AC39" s="26" t="n">
        <v>150</v>
      </c>
      <c r="AD39" s="26" t="n">
        <v>150</v>
      </c>
      <c r="AE39" s="26" t="n">
        <v>150</v>
      </c>
      <c r="AF39" s="26" t="n">
        <v>150</v>
      </c>
      <c r="AG39" s="26" t="n">
        <v>150</v>
      </c>
      <c r="AH39" s="26" t="n">
        <v>150</v>
      </c>
      <c r="AI39" s="10">
        <f>SUM(AC39:AH39)</f>
        <v/>
      </c>
      <c r="AJ39" s="26">
        <f>SUM(AC39:AH39)+AI39</f>
        <v/>
      </c>
      <c r="AK39" s="11">
        <f>IF(N39&lt;&gt;0,(AB39-N39)/ABS(N39),0)</f>
        <v/>
      </c>
      <c r="AL39" s="11">
        <f>IF(AB39&lt;&gt;0,(AJ39-AB39)/ABS(AB39),0)</f>
        <v/>
      </c>
    </row>
    <row r="40" ht="13" customHeight="1">
      <c r="A40" s="25" t="inlineStr">
        <is>
          <t xml:space="preserve">    Telephone</t>
        </is>
      </c>
      <c r="B40" s="26" t="n">
        <v>0</v>
      </c>
      <c r="C40" s="26" t="n">
        <v>0</v>
      </c>
      <c r="D40" s="26" t="n">
        <v>0</v>
      </c>
      <c r="E40" s="26" t="n">
        <v>0</v>
      </c>
      <c r="F40" s="26" t="n">
        <v>0</v>
      </c>
      <c r="G40" s="26" t="n">
        <v>0</v>
      </c>
      <c r="H40" s="26" t="n">
        <v>0</v>
      </c>
      <c r="I40" s="26" t="n">
        <v>0</v>
      </c>
      <c r="J40" s="26" t="n">
        <v>0</v>
      </c>
      <c r="K40" s="26" t="n">
        <v>0</v>
      </c>
      <c r="L40" s="26" t="n">
        <v>0</v>
      </c>
      <c r="M40" s="26" t="n">
        <v>0</v>
      </c>
      <c r="N40" s="26">
        <f>SUM(B40:M40)</f>
        <v/>
      </c>
      <c r="O40" s="26" t="n">
        <v>0</v>
      </c>
      <c r="P40" s="26" t="n">
        <v>0</v>
      </c>
      <c r="Q40" s="26" t="n">
        <v>0</v>
      </c>
      <c r="R40" s="26" t="n">
        <v>0</v>
      </c>
      <c r="S40" s="26" t="n">
        <v>0</v>
      </c>
      <c r="T40" s="26" t="n">
        <v>0</v>
      </c>
      <c r="U40" s="26" t="n">
        <v>0</v>
      </c>
      <c r="V40" s="26" t="n">
        <v>0</v>
      </c>
      <c r="W40" s="26" t="n">
        <v>0</v>
      </c>
      <c r="X40" s="26" t="n">
        <v>0</v>
      </c>
      <c r="Y40" s="26" t="n">
        <v>0</v>
      </c>
      <c r="Z40" s="26" t="n">
        <v>0</v>
      </c>
      <c r="AA40" s="26">
        <f>SUM(O40:U40)</f>
        <v/>
      </c>
      <c r="AB40" s="26">
        <f>SUM(O40:Z40)</f>
        <v/>
      </c>
      <c r="AC40" s="26" t="n">
        <v>0</v>
      </c>
      <c r="AD40" s="26" t="n">
        <v>0</v>
      </c>
      <c r="AE40" s="26" t="n">
        <v>0</v>
      </c>
      <c r="AF40" s="26" t="n">
        <v>0</v>
      </c>
      <c r="AG40" s="26" t="n">
        <v>0</v>
      </c>
      <c r="AH40" s="26" t="n">
        <v>0</v>
      </c>
      <c r="AI40" s="10">
        <f>SUM(AC40:AH40)</f>
        <v/>
      </c>
      <c r="AJ40" s="26">
        <f>SUM(AC40:AH40)+AI40</f>
        <v/>
      </c>
      <c r="AK40" s="11">
        <f>IF(N40&lt;&gt;0,(AB40-N40)/ABS(N40),0)</f>
        <v/>
      </c>
      <c r="AL40" s="11">
        <f>IF(AB40&lt;&gt;0,(AJ40-AB40)/ABS(AB40),0)</f>
        <v/>
      </c>
    </row>
    <row r="41" ht="13" customHeight="1">
      <c r="A41" s="25" t="inlineStr">
        <is>
          <t xml:space="preserve">    Marketing</t>
        </is>
      </c>
      <c r="B41" s="26" t="n">
        <v>0</v>
      </c>
      <c r="C41" s="26" t="n">
        <v>64.8</v>
      </c>
      <c r="D41" s="26" t="n">
        <v>345.62</v>
      </c>
      <c r="E41" s="26" t="n">
        <v>0</v>
      </c>
      <c r="F41" s="26" t="n">
        <v>129.6</v>
      </c>
      <c r="G41" s="26" t="n">
        <v>45</v>
      </c>
      <c r="H41" s="26" t="n">
        <v>0</v>
      </c>
      <c r="I41" s="26" t="n">
        <v>90</v>
      </c>
      <c r="J41" s="26" t="n">
        <v>0</v>
      </c>
      <c r="K41" s="26" t="n">
        <v>0</v>
      </c>
      <c r="L41" s="26" t="n">
        <v>220</v>
      </c>
      <c r="M41" s="26" t="n">
        <v>0</v>
      </c>
      <c r="N41" s="26">
        <f>SUM(B41:M41)</f>
        <v/>
      </c>
      <c r="O41" s="26" t="n">
        <v>264</v>
      </c>
      <c r="P41" s="26" t="n">
        <v>0</v>
      </c>
      <c r="Q41" s="26" t="n">
        <v>0</v>
      </c>
      <c r="R41" s="26" t="n">
        <v>282</v>
      </c>
      <c r="S41" s="26" t="n">
        <v>0</v>
      </c>
      <c r="T41" s="26" t="n">
        <v>0</v>
      </c>
      <c r="U41" s="26" t="n">
        <v>3.75</v>
      </c>
      <c r="AA41" s="26">
        <f>SUM(O41:U41)</f>
        <v/>
      </c>
      <c r="AB41" s="26">
        <f>SUM(O41:Z41)</f>
        <v/>
      </c>
      <c r="AC41" s="26" t="n">
        <v>100</v>
      </c>
      <c r="AD41" s="26" t="n">
        <v>100</v>
      </c>
      <c r="AE41" s="26" t="n">
        <v>100</v>
      </c>
      <c r="AF41" s="26" t="n">
        <v>100</v>
      </c>
      <c r="AG41" s="26" t="n">
        <v>100</v>
      </c>
      <c r="AH41" s="26" t="n">
        <v>100</v>
      </c>
      <c r="AI41" s="10">
        <f>SUM(AC41:AH41)</f>
        <v/>
      </c>
      <c r="AJ41" s="26">
        <f>SUM(AC41:AH41)+AI41</f>
        <v/>
      </c>
      <c r="AK41" s="11">
        <f>IF(N41&lt;&gt;0,(AB41-N41)/ABS(N41),0)</f>
        <v/>
      </c>
      <c r="AL41" s="11">
        <f>IF(AB41&lt;&gt;0,(AJ41-AB41)/ABS(AB41),0)</f>
        <v/>
      </c>
    </row>
    <row r="42" ht="13" customHeight="1">
      <c r="A42" s="27" t="inlineStr">
        <is>
          <t>Total Premises &amp; Admin</t>
        </is>
      </c>
      <c r="B42" s="28">
        <f>B33+B34+B35+B36+B37+B38+B39+B40+B41</f>
        <v/>
      </c>
      <c r="C42" s="28">
        <f>C33+C34+C35+C36+C37+C38+C39+C40+C41</f>
        <v/>
      </c>
      <c r="D42" s="28">
        <f>D33+D34+D35+D36+D37+D38+D39+D40+D41</f>
        <v/>
      </c>
      <c r="E42" s="28">
        <f>E33+E34+E35+E36+E37+E38+E39+E40+E41</f>
        <v/>
      </c>
      <c r="F42" s="28">
        <f>F33+F34+F35+F36+F37+F38+F39+F40+F41</f>
        <v/>
      </c>
      <c r="G42" s="28">
        <f>G33+G34+G35+G36+G37+G38+G39+G40+G41</f>
        <v/>
      </c>
      <c r="H42" s="28">
        <f>H33+H34+H35+H36+H37+H38+H39+H40+H41</f>
        <v/>
      </c>
      <c r="I42" s="28">
        <f>I33+I34+I35+I36+I37+I38+I39+I40+I41</f>
        <v/>
      </c>
      <c r="J42" s="28">
        <f>J33+J34+J35+J36+J37+J38+J39+J40+J41</f>
        <v/>
      </c>
      <c r="K42" s="28">
        <f>K33+K34+K35+K36+K37+K38+K39+K40+K41</f>
        <v/>
      </c>
      <c r="L42" s="28">
        <f>L33+L34+L35+L36+L37+L38+L39+L40+L41</f>
        <v/>
      </c>
      <c r="M42" s="28">
        <f>M33+M34+M35+M36+M37+M38+M39+M40+M41</f>
        <v/>
      </c>
      <c r="N42" s="28">
        <f>N33+N34+N35+N36+N37+N38+N39+N40+N41</f>
        <v/>
      </c>
      <c r="O42" s="28">
        <f>O33+O34+O35+O36+O37+O38+O39+O40+O41</f>
        <v/>
      </c>
      <c r="P42" s="28">
        <f>P33+P34+P35+P36+P37+P38+P39+P40+P41</f>
        <v/>
      </c>
      <c r="Q42" s="28">
        <f>Q33+Q34+Q35+Q36+Q37+Q38+Q39+Q40+Q41</f>
        <v/>
      </c>
      <c r="R42" s="28">
        <f>R33+R34+R35+R36+R37+R38+R39+R40+R41</f>
        <v/>
      </c>
      <c r="S42" s="28">
        <f>S33+S34+S35+S36+S37+S38+S39+S40+S41</f>
        <v/>
      </c>
      <c r="T42" s="28">
        <f>T33+T34+T35+T36+T37+T38+T39+T40+T41</f>
        <v/>
      </c>
      <c r="U42" s="28">
        <f>U33+U34+U35+U36+U37+U38+U39+U40+U41</f>
        <v/>
      </c>
      <c r="V42" s="28">
        <f>V33+V34+V35+V36+V37+V38+V39+V40+V41</f>
        <v/>
      </c>
      <c r="W42" s="28">
        <f>W33+W34+W35+W36+W37+W38+W39+W40+W41</f>
        <v/>
      </c>
      <c r="X42" s="28">
        <f>X33+X34+X35+X36+X37+X38+X39+X40+X41</f>
        <v/>
      </c>
      <c r="Y42" s="28">
        <f>Y33+Y34+Y35+Y36+Y37+Y38+Y39+Y40+Y41</f>
        <v/>
      </c>
      <c r="Z42" s="28">
        <f>Z33+Z34+Z35+Z36+Z37+Z38+Z39+Z40+Z41</f>
        <v/>
      </c>
      <c r="AA42" s="28">
        <f>AA33+AA34+AA35+AA36+AA37+AA38+AA39+AA40+AA41</f>
        <v/>
      </c>
      <c r="AB42" s="28">
        <f>AB33+AB34+AB35+AB36+AB37+AB38+AB39+AB40+AB41</f>
        <v/>
      </c>
      <c r="AC42" s="28">
        <f>AC33+AC34+AC35+AC36+AC37+AC38+AC39+AC40+AC41</f>
        <v/>
      </c>
      <c r="AD42" s="28">
        <f>AD33+AD34+AD35+AD36+AD37+AD38+AD39+AD40+AD41</f>
        <v/>
      </c>
      <c r="AE42" s="28">
        <f>AE33+AE34+AE35+AE36+AE37+AE38+AE39+AE40+AE41</f>
        <v/>
      </c>
      <c r="AF42" s="28">
        <f>AF33+AF34+AF35+AF36+AF37+AF38+AF39+AF40+AF41</f>
        <v/>
      </c>
      <c r="AG42" s="28">
        <f>AG33+AG34+AG35+AG36+AG37+AG38+AG39+AG40+AG41</f>
        <v/>
      </c>
      <c r="AH42" s="28">
        <f>AH33+AH34+AH35+AH36+AH37+AH38+AH39+AH40+AH41</f>
        <v/>
      </c>
      <c r="AI42" s="28">
        <f>AI33+AI34+AI35+AI36+AI37+AI38+AI39+AI40+AI41</f>
        <v/>
      </c>
      <c r="AJ42" s="28">
        <f>AJ33+AJ34+AJ35+AJ36+AJ37+AJ38+AJ39+AJ40+AJ41</f>
        <v/>
      </c>
      <c r="AK42" s="11">
        <f>IF(N42&lt;&gt;0,(AB42-N42)/ABS(N42),0)</f>
        <v/>
      </c>
      <c r="AL42" s="11">
        <f>IF(AB42&lt;&gt;0,(AJ42-AB42)/ABS(AB42),0)</f>
        <v/>
      </c>
    </row>
    <row r="43" ht="5" customHeight="1"/>
    <row r="44" ht="13" customHeight="1">
      <c r="A44" s="29" t="inlineStr">
        <is>
          <t>Total Direct Costs</t>
        </is>
      </c>
      <c r="AK44" s="11">
        <f>IF(N44&lt;&gt;0,(AB44-N44)/ABS(N44),0)</f>
        <v/>
      </c>
      <c r="AL44" s="11">
        <f>IF(AB44&lt;&gt;0,(AJ44-AB44)/ABS(AB44),0)</f>
        <v/>
      </c>
    </row>
    <row r="45" ht="5" customHeight="1"/>
    <row r="46" ht="15" customHeight="1">
      <c r="A46" s="30" t="inlineStr">
        <is>
          <t>CONTRIBUTION</t>
        </is>
      </c>
      <c r="B46" s="31">
        <f>B7-B44</f>
        <v/>
      </c>
      <c r="C46" s="31">
        <f>C7-C44</f>
        <v/>
      </c>
      <c r="D46" s="31">
        <f>D7-D44</f>
        <v/>
      </c>
      <c r="E46" s="31">
        <f>E7-E44</f>
        <v/>
      </c>
      <c r="F46" s="31">
        <f>F7-F44</f>
        <v/>
      </c>
      <c r="G46" s="31">
        <f>G7-G44</f>
        <v/>
      </c>
      <c r="H46" s="31">
        <f>H7-H44</f>
        <v/>
      </c>
      <c r="I46" s="31">
        <f>I7-I44</f>
        <v/>
      </c>
      <c r="J46" s="31">
        <f>J7-J44</f>
        <v/>
      </c>
      <c r="K46" s="31">
        <f>K7-K44</f>
        <v/>
      </c>
      <c r="L46" s="31">
        <f>L7-L44</f>
        <v/>
      </c>
      <c r="M46" s="31">
        <f>M7-M44</f>
        <v/>
      </c>
      <c r="N46" s="31">
        <f>N7-N44</f>
        <v/>
      </c>
      <c r="O46" s="31">
        <f>O7-O44</f>
        <v/>
      </c>
      <c r="P46" s="31">
        <f>P7-P44</f>
        <v/>
      </c>
      <c r="Q46" s="31">
        <f>Q7-Q44</f>
        <v/>
      </c>
      <c r="R46" s="31">
        <f>R7-R44</f>
        <v/>
      </c>
      <c r="S46" s="31">
        <f>S7-S44</f>
        <v/>
      </c>
      <c r="T46" s="31">
        <f>T7-T44</f>
        <v/>
      </c>
      <c r="U46" s="31">
        <f>U7-U44</f>
        <v/>
      </c>
      <c r="V46" s="31">
        <f>V7-V44</f>
        <v/>
      </c>
      <c r="W46" s="31">
        <f>W7-W44</f>
        <v/>
      </c>
      <c r="X46" s="31">
        <f>X7-X44</f>
        <v/>
      </c>
      <c r="Y46" s="31">
        <f>Y7-Y44</f>
        <v/>
      </c>
      <c r="Z46" s="31">
        <f>Z7-Z44</f>
        <v/>
      </c>
      <c r="AA46" s="31">
        <f>AA7-AA44</f>
        <v/>
      </c>
      <c r="AB46" s="31">
        <f>AB7-AB44</f>
        <v/>
      </c>
      <c r="AC46" s="31">
        <f>AC7-AC44</f>
        <v/>
      </c>
      <c r="AD46" s="31">
        <f>AD7-AD44</f>
        <v/>
      </c>
      <c r="AE46" s="31">
        <f>AE7-AE44</f>
        <v/>
      </c>
      <c r="AF46" s="31">
        <f>AF7-AF44</f>
        <v/>
      </c>
      <c r="AG46" s="31">
        <f>AG7-AG44</f>
        <v/>
      </c>
      <c r="AH46" s="31">
        <f>AH7-AH44</f>
        <v/>
      </c>
      <c r="AI46" s="31">
        <f>AI7-AI44</f>
        <v/>
      </c>
      <c r="AJ46" s="31">
        <f>AJ7-AJ44</f>
        <v/>
      </c>
      <c r="AK46" s="11">
        <f>IF(N46&lt;&gt;0,(AB46-N46)/ABS(N46),0)</f>
        <v/>
      </c>
      <c r="AL46" s="11">
        <f>IF(AB46&lt;&gt;0,(AJ46-AB46)/ABS(AB46),0)</f>
        <v/>
      </c>
    </row>
  </sheetData>
  <mergeCells count="8">
    <mergeCell ref="A10:AL10"/>
    <mergeCell ref="B1:N1"/>
    <mergeCell ref="A23:AL23"/>
    <mergeCell ref="A32:AL32"/>
    <mergeCell ref="AC1:AJ1"/>
    <mergeCell ref="A9:AL9"/>
    <mergeCell ref="A3:AL3"/>
    <mergeCell ref="O1:A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9.5" customWidth="1" min="27" max="27"/>
    <col width="9.5" customWidth="1" min="28" max="28"/>
    <col width="9.5" customWidth="1" min="29" max="29"/>
    <col width="9.5" customWidth="1" min="30" max="30"/>
    <col width="9.5" customWidth="1" min="31" max="31"/>
    <col width="9.5" customWidth="1" min="32" max="32"/>
    <col width="9.5" customWidth="1" min="33" max="33"/>
    <col width="9.5" customWidth="1" min="34" max="34"/>
    <col width="9.5" customWidth="1" min="35" max="35"/>
    <col width="11" customWidth="1" min="36" max="36"/>
    <col width="10" customWidth="1" min="37" max="37"/>
    <col width="10" customWidth="1" min="38" max="38"/>
  </cols>
  <sheetData>
    <row r="1" ht="18" customHeight="1">
      <c r="A1" s="1" t="inlineStr">
        <is>
          <t>Cedars</t>
        </is>
      </c>
      <c r="B1" s="2" t="inlineStr">
        <is>
          <t>Actuals 2025</t>
        </is>
      </c>
      <c r="O1" s="2" t="inlineStr">
        <is>
          <t>2026 Actual / Forecast</t>
        </is>
      </c>
      <c r="AC1" s="2" t="inlineStr">
        <is>
          <t>2027 Forecast</t>
        </is>
      </c>
      <c r="AK1" s="3" t="inlineStr">
        <is>
          <t>YoY</t>
        </is>
      </c>
      <c r="AL1" s="3" t="inlineStr">
        <is>
          <t>YoY</t>
        </is>
      </c>
    </row>
    <row r="2" ht="22" customHeight="1">
      <c r="B2" s="4" t="inlineStr">
        <is>
          <t>Jan</t>
        </is>
      </c>
      <c r="C2" s="4" t="inlineStr">
        <is>
          <t>Feb</t>
        </is>
      </c>
      <c r="D2" s="4" t="inlineStr">
        <is>
          <t>Mar</t>
        </is>
      </c>
      <c r="E2" s="4" t="inlineStr">
        <is>
          <t>Apr</t>
        </is>
      </c>
      <c r="F2" s="4" t="inlineStr">
        <is>
          <t>May</t>
        </is>
      </c>
      <c r="G2" s="4" t="inlineStr">
        <is>
          <t>Jun</t>
        </is>
      </c>
      <c r="H2" s="4" t="inlineStr">
        <is>
          <t>Jul</t>
        </is>
      </c>
      <c r="I2" s="4" t="inlineStr">
        <is>
          <t>Aug</t>
        </is>
      </c>
      <c r="J2" s="4" t="inlineStr">
        <is>
          <t>Sep</t>
        </is>
      </c>
      <c r="K2" s="4" t="inlineStr">
        <is>
          <t>Oct</t>
        </is>
      </c>
      <c r="L2" s="4" t="inlineStr">
        <is>
          <t>Nov</t>
        </is>
      </c>
      <c r="M2" s="4" t="inlineStr">
        <is>
          <t>Dec</t>
        </is>
      </c>
      <c r="N2" s="5" t="inlineStr">
        <is>
          <t>FY2025
Total</t>
        </is>
      </c>
      <c r="O2" s="4" t="inlineStr">
        <is>
          <t>Jan</t>
        </is>
      </c>
      <c r="P2" s="4" t="inlineStr">
        <is>
          <t>Feb</t>
        </is>
      </c>
      <c r="Q2" s="4" t="inlineStr">
        <is>
          <t>Mar</t>
        </is>
      </c>
      <c r="R2" s="4" t="inlineStr">
        <is>
          <t>Apr</t>
        </is>
      </c>
      <c r="S2" s="4" t="inlineStr">
        <is>
          <t>May</t>
        </is>
      </c>
      <c r="T2" s="4" t="inlineStr">
        <is>
          <t>Jun</t>
        </is>
      </c>
      <c r="U2" s="4" t="inlineStr">
        <is>
          <t>Jul</t>
        </is>
      </c>
      <c r="V2" s="4" t="inlineStr">
        <is>
          <t>Aug</t>
        </is>
      </c>
      <c r="W2" s="4" t="inlineStr">
        <is>
          <t>Sep</t>
        </is>
      </c>
      <c r="X2" s="4" t="inlineStr">
        <is>
          <t>Oct</t>
        </is>
      </c>
      <c r="Y2" s="4" t="inlineStr">
        <is>
          <t>Nov</t>
        </is>
      </c>
      <c r="Z2" s="4" t="inlineStr">
        <is>
          <t>Dec</t>
        </is>
      </c>
      <c r="AA2" s="4" t="inlineStr">
        <is>
          <t>YTD</t>
        </is>
      </c>
      <c r="AB2" s="5" t="inlineStr">
        <is>
          <t>FY2026
Outlook</t>
        </is>
      </c>
      <c r="AC2" s="4" t="inlineStr">
        <is>
          <t>Jan</t>
        </is>
      </c>
      <c r="AD2" s="4" t="inlineStr">
        <is>
          <t>Feb</t>
        </is>
      </c>
      <c r="AE2" s="4" t="inlineStr">
        <is>
          <t>Mar</t>
        </is>
      </c>
      <c r="AF2" s="4" t="inlineStr">
        <is>
          <t>Apr</t>
        </is>
      </c>
      <c r="AG2" s="4" t="inlineStr">
        <is>
          <t>May</t>
        </is>
      </c>
      <c r="AH2" s="4" t="inlineStr">
        <is>
          <t>Jun</t>
        </is>
      </c>
      <c r="AI2" s="6" t="inlineStr">
        <is>
          <t>Jul-Dec
Proj.</t>
        </is>
      </c>
      <c r="AJ2" s="4" t="inlineStr">
        <is>
          <t>FY2027</t>
        </is>
      </c>
      <c r="AK2" s="6" t="inlineStr">
        <is>
          <t>25→26
%</t>
        </is>
      </c>
      <c r="AL2" s="6" t="inlineStr">
        <is>
          <t>26→27
%</t>
        </is>
      </c>
    </row>
    <row r="3" ht="15" customHeight="1">
      <c r="A3" s="7" t="inlineStr">
        <is>
          <t>INCOME</t>
        </is>
      </c>
    </row>
    <row r="4" ht="13" customHeight="1">
      <c r="A4" s="8" t="inlineStr">
        <is>
          <t xml:space="preserve">    Fee Income Regular</t>
        </is>
      </c>
      <c r="B4" s="9" t="n">
        <v>23814.44</v>
      </c>
      <c r="C4" s="9" t="n">
        <v>20657.57</v>
      </c>
      <c r="D4" s="9" t="n">
        <v>26472.4</v>
      </c>
      <c r="E4" s="9" t="n">
        <v>28682.3</v>
      </c>
      <c r="F4" s="9" t="n">
        <v>21069.85</v>
      </c>
      <c r="G4" s="9" t="n">
        <v>21588.68</v>
      </c>
      <c r="H4" s="9" t="n">
        <v>29637.32</v>
      </c>
      <c r="I4" s="9" t="n">
        <v>22500.55</v>
      </c>
      <c r="J4" s="9" t="n">
        <v>19945.64</v>
      </c>
      <c r="K4" s="9" t="n">
        <v>19659.5</v>
      </c>
      <c r="L4" s="9" t="n">
        <v>18229.14</v>
      </c>
      <c r="M4" s="9" t="n">
        <v>23118.77</v>
      </c>
      <c r="N4" s="9">
        <f>SUM(B4:M4)</f>
        <v/>
      </c>
      <c r="O4" s="9" t="n">
        <v>22240.66</v>
      </c>
      <c r="P4" s="9" t="n">
        <v>18321.22</v>
      </c>
      <c r="Q4" s="9" t="n">
        <v>22883.27999999999</v>
      </c>
      <c r="R4" s="9" t="n">
        <v>22685.93</v>
      </c>
      <c r="S4" s="9" t="n">
        <v>18910.69</v>
      </c>
      <c r="T4" s="9" t="n">
        <v>20776.58</v>
      </c>
      <c r="U4" s="9" t="n">
        <v>25818.48</v>
      </c>
      <c r="AA4" s="9">
        <f>SUM(O4:U4)</f>
        <v/>
      </c>
      <c r="AB4" s="9">
        <f>SUM(O4:Z4)</f>
        <v/>
      </c>
      <c r="AC4" s="9" t="n">
        <v>28315.98</v>
      </c>
      <c r="AD4" s="9" t="n">
        <v>26840.28</v>
      </c>
      <c r="AE4" s="9" t="n">
        <v>31507.8</v>
      </c>
      <c r="AF4" s="9" t="n">
        <v>30543.59</v>
      </c>
      <c r="AG4" s="9" t="n">
        <v>30885.6</v>
      </c>
      <c r="AH4" s="9" t="n">
        <v>33002.04</v>
      </c>
      <c r="AI4" s="10">
        <f>SUM(AC4:AH4)</f>
        <v/>
      </c>
      <c r="AJ4" s="9">
        <f>SUM(AC4:AH4)+AI4</f>
        <v/>
      </c>
      <c r="AK4" s="11">
        <f>IF(N4&lt;&gt;0,(AB4-N4)/ABS(N4),0)</f>
        <v/>
      </c>
      <c r="AL4" s="11">
        <f>IF(AB4&lt;&gt;0,(AJ4-AB4)/ABS(AB4),0)</f>
        <v/>
      </c>
    </row>
    <row r="5" ht="13" customHeight="1">
      <c r="A5" s="8" t="inlineStr">
        <is>
          <t xml:space="preserve">    EEEF Embedded</t>
        </is>
      </c>
      <c r="B5" s="9" t="n">
        <v>5791.72</v>
      </c>
      <c r="C5" s="9" t="n">
        <v>14479.3</v>
      </c>
      <c r="D5" s="9" t="n">
        <v>15684.58</v>
      </c>
      <c r="E5" s="9" t="n">
        <v>5185.26</v>
      </c>
      <c r="F5" s="9" t="n">
        <v>5185.26</v>
      </c>
      <c r="G5" s="9" t="n">
        <v>15608.08</v>
      </c>
      <c r="H5" s="9" t="n">
        <v>13375.26</v>
      </c>
      <c r="I5" s="9" t="n">
        <v>0</v>
      </c>
      <c r="J5" s="9" t="n">
        <v>5986.21</v>
      </c>
      <c r="K5" s="9" t="n">
        <v>12205.6</v>
      </c>
      <c r="L5" s="9" t="n">
        <v>12205.6</v>
      </c>
      <c r="M5" s="9" t="n">
        <v>16957.76</v>
      </c>
      <c r="N5" s="9">
        <f>SUM(B5:M5)</f>
        <v/>
      </c>
      <c r="O5" s="9" t="n">
        <v>6629.51</v>
      </c>
      <c r="P5" s="9" t="n">
        <v>17491.45</v>
      </c>
      <c r="Q5" s="9" t="n">
        <v>17491.45</v>
      </c>
      <c r="R5" s="9" t="n">
        <v>12006.04</v>
      </c>
      <c r="S5" s="9" t="n">
        <v>12006.05</v>
      </c>
      <c r="T5" s="9" t="n">
        <v>12927.15</v>
      </c>
      <c r="U5" s="9" t="n">
        <v>12313.08</v>
      </c>
      <c r="AA5" s="9">
        <f>SUM(O5:U5)</f>
        <v/>
      </c>
      <c r="AB5" s="9">
        <f>SUM(O5:Z5)</f>
        <v/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10">
        <f>SUM(AC5:AH5)</f>
        <v/>
      </c>
      <c r="AJ5" s="9">
        <f>SUM(AC5:AH5)+AI5</f>
        <v/>
      </c>
      <c r="AK5" s="11">
        <f>IF(N5&lt;&gt;0,(AB5-N5)/ABS(N5),0)</f>
        <v/>
      </c>
      <c r="AL5" s="11">
        <f>IF(AB5&lt;&gt;0,(AJ5-AB5)/ABS(AB5),0)</f>
        <v/>
      </c>
    </row>
    <row r="6" ht="13" customHeight="1">
      <c r="A6" s="8" t="inlineStr">
        <is>
          <t xml:space="preserve">    Other Income</t>
        </is>
      </c>
      <c r="B6" s="9" t="n">
        <v>200</v>
      </c>
      <c r="C6" s="9" t="n">
        <v>200</v>
      </c>
      <c r="D6" s="9" t="n">
        <v>300</v>
      </c>
      <c r="E6" s="9" t="n">
        <v>0</v>
      </c>
      <c r="F6" s="9" t="n">
        <v>300</v>
      </c>
      <c r="G6" s="9" t="n">
        <v>300</v>
      </c>
      <c r="H6" s="9" t="n">
        <v>150</v>
      </c>
      <c r="I6" s="9" t="n">
        <v>0</v>
      </c>
      <c r="J6" s="9" t="n">
        <v>0</v>
      </c>
      <c r="K6" s="9" t="n">
        <v>150</v>
      </c>
      <c r="L6" s="9" t="n">
        <v>150</v>
      </c>
      <c r="M6" s="9" t="n">
        <v>150</v>
      </c>
      <c r="N6" s="9">
        <f>SUM(B6:M6)</f>
        <v/>
      </c>
      <c r="O6" s="9" t="n">
        <v>650</v>
      </c>
      <c r="P6" s="9" t="n">
        <v>150</v>
      </c>
      <c r="Q6" s="9" t="n">
        <v>150</v>
      </c>
      <c r="R6" s="9" t="n">
        <v>150</v>
      </c>
      <c r="S6" s="9" t="n">
        <v>150</v>
      </c>
      <c r="T6" s="9" t="n">
        <v>150</v>
      </c>
      <c r="U6" s="9" t="n">
        <v>150</v>
      </c>
      <c r="AA6" s="9">
        <f>SUM(O6:U6)</f>
        <v/>
      </c>
      <c r="AB6" s="9">
        <f>SUM(O6:Z6)</f>
        <v/>
      </c>
      <c r="AC6" s="9" t="n">
        <v>0</v>
      </c>
      <c r="AD6" s="9" t="n">
        <v>0</v>
      </c>
      <c r="AE6" s="9" t="n">
        <v>0</v>
      </c>
      <c r="AF6" s="9" t="n">
        <v>0</v>
      </c>
      <c r="AG6" s="9" t="n">
        <v>0</v>
      </c>
      <c r="AH6" s="9" t="n">
        <v>0</v>
      </c>
      <c r="AI6" s="10">
        <f>SUM(AC6:AH6)</f>
        <v/>
      </c>
      <c r="AJ6" s="9">
        <f>SUM(AC6:AH6)+AI6</f>
        <v/>
      </c>
      <c r="AK6" s="11">
        <f>IF(N6&lt;&gt;0,(AB6-N6)/ABS(N6),0)</f>
        <v/>
      </c>
      <c r="AL6" s="11">
        <f>IF(AB6&lt;&gt;0,(AJ6-AB6)/ABS(AB6),0)</f>
        <v/>
      </c>
    </row>
    <row r="7" ht="13" customHeight="1">
      <c r="A7" s="12" t="inlineStr">
        <is>
          <t>Total Income</t>
        </is>
      </c>
      <c r="B7" s="13">
        <f>B4+B5+B6</f>
        <v/>
      </c>
      <c r="C7" s="13">
        <f>C4+C5+C6</f>
        <v/>
      </c>
      <c r="D7" s="13">
        <f>D4+D5+D6</f>
        <v/>
      </c>
      <c r="E7" s="13">
        <f>E4+E5+E6</f>
        <v/>
      </c>
      <c r="F7" s="13">
        <f>F4+F5+F6</f>
        <v/>
      </c>
      <c r="G7" s="13">
        <f>G4+G5+G6</f>
        <v/>
      </c>
      <c r="H7" s="13">
        <f>H4+H5+H6</f>
        <v/>
      </c>
      <c r="I7" s="13">
        <f>I4+I5+I6</f>
        <v/>
      </c>
      <c r="J7" s="13">
        <f>J4+J5+J6</f>
        <v/>
      </c>
      <c r="K7" s="13">
        <f>K4+K5+K6</f>
        <v/>
      </c>
      <c r="L7" s="13">
        <f>L4+L5+L6</f>
        <v/>
      </c>
      <c r="M7" s="13">
        <f>M4+M5+M6</f>
        <v/>
      </c>
      <c r="N7" s="13">
        <f>N4+N5+N6</f>
        <v/>
      </c>
      <c r="O7" s="13">
        <f>O4+O5+O6</f>
        <v/>
      </c>
      <c r="P7" s="13">
        <f>P4+P5+P6</f>
        <v/>
      </c>
      <c r="Q7" s="13">
        <f>Q4+Q5+Q6</f>
        <v/>
      </c>
      <c r="R7" s="13">
        <f>R4+R5+R6</f>
        <v/>
      </c>
      <c r="S7" s="13">
        <f>S4+S5+S6</f>
        <v/>
      </c>
      <c r="T7" s="13">
        <f>T4+T5+T6</f>
        <v/>
      </c>
      <c r="U7" s="13">
        <f>U4+U5+U6</f>
        <v/>
      </c>
      <c r="V7" s="13">
        <f>V4+V5+V6</f>
        <v/>
      </c>
      <c r="W7" s="13">
        <f>W4+W5+W6</f>
        <v/>
      </c>
      <c r="X7" s="13">
        <f>X4+X5+X6</f>
        <v/>
      </c>
      <c r="Y7" s="13">
        <f>Y4+Y5+Y6</f>
        <v/>
      </c>
      <c r="Z7" s="13">
        <f>Z4+Z5+Z6</f>
        <v/>
      </c>
      <c r="AA7" s="13">
        <f>AA4+AA5+AA6</f>
        <v/>
      </c>
      <c r="AB7" s="13">
        <f>AB4+AB5+AB6</f>
        <v/>
      </c>
      <c r="AC7" s="13">
        <f>AC4+AC5+AC6</f>
        <v/>
      </c>
      <c r="AD7" s="13">
        <f>AD4+AD5+AD6</f>
        <v/>
      </c>
      <c r="AE7" s="13">
        <f>AE4+AE5+AE6</f>
        <v/>
      </c>
      <c r="AF7" s="13">
        <f>AF4+AF5+AF6</f>
        <v/>
      </c>
      <c r="AG7" s="13">
        <f>AG4+AG5+AG6</f>
        <v/>
      </c>
      <c r="AH7" s="13">
        <f>AH4+AH5+AH6</f>
        <v/>
      </c>
      <c r="AI7" s="13">
        <f>AI4+AI5+AI6</f>
        <v/>
      </c>
      <c r="AJ7" s="13">
        <f>AJ4+AJ5+AJ6</f>
        <v/>
      </c>
      <c r="AK7" s="11">
        <f>IF(N7&lt;&gt;0,(AB7-N7)/ABS(N7),0)</f>
        <v/>
      </c>
      <c r="AL7" s="11">
        <f>IF(AB7&lt;&gt;0,(AJ7-AB7)/ABS(AB7),0)</f>
        <v/>
      </c>
    </row>
    <row r="8" ht="5" customHeight="1"/>
    <row r="9" ht="15" customHeight="1">
      <c r="A9" s="7" t="inlineStr">
        <is>
          <t>DIRECT COSTS</t>
        </is>
      </c>
    </row>
    <row r="10" ht="13" customHeight="1">
      <c r="A10" s="14" t="inlineStr">
        <is>
          <t>Personnel</t>
        </is>
      </c>
    </row>
    <row r="11" ht="13" customHeight="1">
      <c r="A11" s="15" t="inlineStr">
        <is>
          <t xml:space="preserve">    Nursery Salaries</t>
        </is>
      </c>
      <c r="B11" s="16" t="n">
        <v>15964.89</v>
      </c>
      <c r="C11" s="16" t="n">
        <v>15432.95</v>
      </c>
      <c r="D11" s="16" t="n">
        <v>16980.77</v>
      </c>
      <c r="E11" s="16" t="n">
        <v>19492.28</v>
      </c>
      <c r="F11" s="16" t="n">
        <v>19492.07</v>
      </c>
      <c r="G11" s="16" t="n">
        <v>16093.17</v>
      </c>
      <c r="H11" s="16" t="n">
        <v>19196.5</v>
      </c>
      <c r="I11" s="16" t="n">
        <v>14959.37</v>
      </c>
      <c r="J11" s="16" t="n">
        <v>19873.92</v>
      </c>
      <c r="K11" s="16" t="n">
        <v>18038.34</v>
      </c>
      <c r="L11" s="16" t="n">
        <v>18266.77</v>
      </c>
      <c r="M11" s="16" t="n">
        <v>21533.17</v>
      </c>
      <c r="N11" s="16">
        <f>SUM(B11:M11)</f>
        <v/>
      </c>
      <c r="O11" s="16" t="n">
        <v>19941.96</v>
      </c>
      <c r="P11" s="16" t="n">
        <v>18433.95</v>
      </c>
      <c r="Q11" s="16" t="n">
        <v>16301.53</v>
      </c>
      <c r="R11" s="16" t="n">
        <v>22374.13</v>
      </c>
      <c r="S11" s="16" t="n">
        <v>22592.61</v>
      </c>
      <c r="T11" s="16" t="n">
        <v>21699.26</v>
      </c>
      <c r="U11" s="16" t="n">
        <v>22510.48</v>
      </c>
      <c r="AA11" s="16">
        <f>SUM(O11:U11)</f>
        <v/>
      </c>
      <c r="AB11" s="16">
        <f>SUM(O11:Z11)</f>
        <v/>
      </c>
      <c r="AC11" s="16" t="n">
        <v>22510.48</v>
      </c>
      <c r="AD11" s="16" t="n">
        <v>22510.48</v>
      </c>
      <c r="AE11" s="16" t="n">
        <v>22510.48</v>
      </c>
      <c r="AF11" s="16" t="n">
        <v>22510.48</v>
      </c>
      <c r="AG11" s="16" t="n">
        <v>22510.48</v>
      </c>
      <c r="AH11" s="16" t="n">
        <v>22510.48</v>
      </c>
      <c r="AI11" s="10">
        <f>SUM(AC11:AH11)</f>
        <v/>
      </c>
      <c r="AJ11" s="16">
        <f>SUM(AC11:AH11)+AI11</f>
        <v/>
      </c>
      <c r="AK11" s="11">
        <f>IF(N11&lt;&gt;0,(AB11-N11)/ABS(N11),0)</f>
        <v/>
      </c>
      <c r="AL11" s="11">
        <f>IF(AB11&lt;&gt;0,(AJ11-AB11)/ABS(AB11),0)</f>
        <v/>
      </c>
    </row>
    <row r="12" ht="13" customHeight="1">
      <c r="A12" s="15" t="inlineStr">
        <is>
          <t xml:space="preserve">    Nursery NI</t>
        </is>
      </c>
      <c r="B12" s="16" t="n">
        <v>1212.08</v>
      </c>
      <c r="C12" s="16" t="n">
        <v>1115.32</v>
      </c>
      <c r="D12" s="16" t="n">
        <v>1300.33</v>
      </c>
      <c r="E12" s="16" t="n">
        <v>2055.72</v>
      </c>
      <c r="F12" s="16" t="n">
        <v>1957.17</v>
      </c>
      <c r="G12" s="16" t="n">
        <v>1471.56</v>
      </c>
      <c r="H12" s="16" t="n">
        <v>1976.99</v>
      </c>
      <c r="I12" s="16" t="n">
        <v>1386.1</v>
      </c>
      <c r="J12" s="16" t="n">
        <v>2097.99</v>
      </c>
      <c r="K12" s="16" t="n">
        <v>1993.75</v>
      </c>
      <c r="L12" s="16" t="n">
        <v>1962.85</v>
      </c>
      <c r="M12" s="16" t="n">
        <v>2264.02</v>
      </c>
      <c r="N12" s="16">
        <f>SUM(B12:M12)</f>
        <v/>
      </c>
      <c r="O12" s="16" t="n">
        <v>2075.7</v>
      </c>
      <c r="P12" s="16" t="n">
        <v>2156.24</v>
      </c>
      <c r="Q12" s="16" t="n">
        <v>2109.88</v>
      </c>
      <c r="R12" s="16" t="n">
        <v>2614.86</v>
      </c>
      <c r="S12" s="16" t="n">
        <v>2663.12</v>
      </c>
      <c r="T12" s="16" t="n">
        <v>2437.78</v>
      </c>
      <c r="U12" s="16" t="n">
        <v>2763.77</v>
      </c>
      <c r="AA12" s="16">
        <f>SUM(O12:U12)</f>
        <v/>
      </c>
      <c r="AB12" s="16">
        <f>SUM(O12:Z12)</f>
        <v/>
      </c>
      <c r="AC12" s="16" t="n">
        <v>2763.77</v>
      </c>
      <c r="AD12" s="16" t="n">
        <v>2763.77</v>
      </c>
      <c r="AE12" s="16" t="n">
        <v>2763.77</v>
      </c>
      <c r="AF12" s="16" t="n">
        <v>2763.77</v>
      </c>
      <c r="AG12" s="16" t="n">
        <v>2763.77</v>
      </c>
      <c r="AH12" s="16" t="n">
        <v>2763.77</v>
      </c>
      <c r="AI12" s="10">
        <f>SUM(AC12:AH12)</f>
        <v/>
      </c>
      <c r="AJ12" s="16">
        <f>SUM(AC12:AH12)+AI12</f>
        <v/>
      </c>
      <c r="AK12" s="11">
        <f>IF(N12&lt;&gt;0,(AB12-N12)/ABS(N12),0)</f>
        <v/>
      </c>
      <c r="AL12" s="11">
        <f>IF(AB12&lt;&gt;0,(AJ12-AB12)/ABS(AB12),0)</f>
        <v/>
      </c>
    </row>
    <row r="13" ht="13" customHeight="1">
      <c r="A13" s="15" t="inlineStr">
        <is>
          <t xml:space="preserve">    Nursery Pension</t>
        </is>
      </c>
      <c r="B13" s="16" t="n">
        <v>216.18</v>
      </c>
      <c r="C13" s="16" t="n">
        <v>203.88</v>
      </c>
      <c r="D13" s="16" t="n">
        <v>196.57</v>
      </c>
      <c r="E13" s="16" t="n">
        <v>233.26</v>
      </c>
      <c r="F13" s="16" t="n">
        <v>228.75</v>
      </c>
      <c r="G13" s="16" t="n">
        <v>190.93</v>
      </c>
      <c r="H13" s="16" t="n">
        <v>276.28</v>
      </c>
      <c r="I13" s="16" t="n">
        <v>243.1</v>
      </c>
      <c r="J13" s="16" t="n">
        <v>298.73</v>
      </c>
      <c r="K13" s="16" t="n">
        <v>272.53</v>
      </c>
      <c r="L13" s="16" t="n">
        <v>352.17</v>
      </c>
      <c r="M13" s="16" t="n">
        <v>373.97</v>
      </c>
      <c r="N13" s="16">
        <f>SUM(B13:M13)</f>
        <v/>
      </c>
      <c r="O13" s="16" t="n">
        <v>390.39</v>
      </c>
      <c r="P13" s="16" t="n">
        <v>333.89</v>
      </c>
      <c r="Q13" s="16" t="n">
        <v>284.46</v>
      </c>
      <c r="R13" s="16" t="n">
        <v>420.57</v>
      </c>
      <c r="S13" s="16" t="n">
        <v>427.46</v>
      </c>
      <c r="T13" s="16" t="n">
        <v>446.28</v>
      </c>
      <c r="U13" s="16" t="n">
        <v>478.22</v>
      </c>
      <c r="AA13" s="16">
        <f>SUM(O13:U13)</f>
        <v/>
      </c>
      <c r="AB13" s="16">
        <f>SUM(O13:Z13)</f>
        <v/>
      </c>
      <c r="AC13" s="16" t="n">
        <v>478.22</v>
      </c>
      <c r="AD13" s="16" t="n">
        <v>478.22</v>
      </c>
      <c r="AE13" s="16" t="n">
        <v>478.22</v>
      </c>
      <c r="AF13" s="16" t="n">
        <v>478.22</v>
      </c>
      <c r="AG13" s="16" t="n">
        <v>478.22</v>
      </c>
      <c r="AH13" s="16" t="n">
        <v>478.22</v>
      </c>
      <c r="AI13" s="10">
        <f>SUM(AC13:AH13)</f>
        <v/>
      </c>
      <c r="AJ13" s="16">
        <f>SUM(AC13:AH13)+AI13</f>
        <v/>
      </c>
      <c r="AK13" s="11">
        <f>IF(N13&lt;&gt;0,(AB13-N13)/ABS(N13),0)</f>
        <v/>
      </c>
      <c r="AL13" s="11">
        <f>IF(AB13&lt;&gt;0,(AJ13-AB13)/ABS(AB13),0)</f>
        <v/>
      </c>
    </row>
    <row r="14" ht="13" customHeight="1">
      <c r="A14" s="15" t="inlineStr">
        <is>
          <t xml:space="preserve">    Uniform</t>
        </is>
      </c>
      <c r="B14" s="16" t="n">
        <v>0</v>
      </c>
      <c r="C14" s="16" t="n">
        <v>524.28</v>
      </c>
      <c r="D14" s="16" t="n">
        <v>0</v>
      </c>
      <c r="E14" s="16" t="n">
        <v>0</v>
      </c>
      <c r="F14" s="16" t="n">
        <v>100.14</v>
      </c>
      <c r="G14" s="16" t="n">
        <v>100.14</v>
      </c>
      <c r="H14" s="16" t="n">
        <v>0</v>
      </c>
      <c r="I14" s="16" t="n">
        <v>0</v>
      </c>
      <c r="J14" s="16" t="n">
        <v>262.56</v>
      </c>
      <c r="K14" s="16" t="n">
        <v>0</v>
      </c>
      <c r="L14" s="16" t="n">
        <v>0</v>
      </c>
      <c r="M14" s="16" t="n">
        <v>100.14</v>
      </c>
      <c r="N14" s="16">
        <f>SUM(B14:M14)</f>
        <v/>
      </c>
      <c r="O14" s="16" t="n">
        <v>6.99</v>
      </c>
      <c r="P14" s="16" t="n">
        <v>0</v>
      </c>
      <c r="Q14" s="16" t="n">
        <v>0</v>
      </c>
      <c r="R14" s="16" t="n">
        <v>133.87</v>
      </c>
      <c r="S14" s="16" t="n">
        <v>0</v>
      </c>
      <c r="T14" s="16" t="n">
        <v>0</v>
      </c>
      <c r="U14" s="16" t="n">
        <v>0</v>
      </c>
      <c r="AA14" s="16">
        <f>SUM(O14:U14)</f>
        <v/>
      </c>
      <c r="AB14" s="16">
        <f>SUM(O14:Z14)</f>
        <v/>
      </c>
      <c r="AC14" s="16" t="n">
        <v>6.99</v>
      </c>
      <c r="AD14" s="16" t="n">
        <v>6.99</v>
      </c>
      <c r="AE14" s="16" t="n">
        <v>6.99</v>
      </c>
      <c r="AF14" s="16" t="n">
        <v>6.99</v>
      </c>
      <c r="AG14" s="16" t="n">
        <v>6.99</v>
      </c>
      <c r="AH14" s="16" t="n">
        <v>6.99</v>
      </c>
      <c r="AI14" s="10">
        <f>SUM(AC14:AH14)</f>
        <v/>
      </c>
      <c r="AJ14" s="16">
        <f>SUM(AC14:AH14)+AI14</f>
        <v/>
      </c>
      <c r="AK14" s="11">
        <f>IF(N14&lt;&gt;0,(AB14-N14)/ABS(N14),0)</f>
        <v/>
      </c>
      <c r="AL14" s="11">
        <f>IF(AB14&lt;&gt;0,(AJ14-AB14)/ABS(AB14),0)</f>
        <v/>
      </c>
    </row>
    <row r="15" ht="13" customHeight="1">
      <c r="A15" s="15" t="inlineStr">
        <is>
          <t xml:space="preserve">    Training</t>
        </is>
      </c>
      <c r="B15" s="16" t="n">
        <v>48</v>
      </c>
      <c r="C15" s="16" t="n">
        <v>78</v>
      </c>
      <c r="D15" s="16" t="n">
        <v>0</v>
      </c>
      <c r="E15" s="16" t="n">
        <v>0</v>
      </c>
      <c r="F15" s="16" t="n">
        <v>0</v>
      </c>
      <c r="G15" s="16" t="n">
        <v>72</v>
      </c>
      <c r="H15" s="16" t="n">
        <v>0</v>
      </c>
      <c r="I15" s="16" t="n">
        <v>0</v>
      </c>
      <c r="J15" s="16" t="n">
        <v>216</v>
      </c>
      <c r="K15" s="16" t="n">
        <v>916</v>
      </c>
      <c r="L15" s="16" t="n">
        <v>10</v>
      </c>
      <c r="M15" s="16" t="n">
        <v>686.49</v>
      </c>
      <c r="N15" s="16">
        <f>SUM(B15:M15)</f>
        <v/>
      </c>
      <c r="O15" s="16" t="n">
        <v>388.79</v>
      </c>
      <c r="P15" s="16" t="n">
        <v>0</v>
      </c>
      <c r="Q15" s="16" t="n">
        <v>24</v>
      </c>
      <c r="R15" s="16" t="n">
        <v>0</v>
      </c>
      <c r="S15" s="16" t="n">
        <v>0</v>
      </c>
      <c r="T15" s="16" t="n">
        <v>0</v>
      </c>
      <c r="U15" s="16" t="n">
        <v>0</v>
      </c>
      <c r="AA15" s="16">
        <f>SUM(O15:U15)</f>
        <v/>
      </c>
      <c r="AB15" s="16">
        <f>SUM(O15:Z15)</f>
        <v/>
      </c>
      <c r="AC15" s="16" t="n">
        <v>100</v>
      </c>
      <c r="AD15" s="16" t="n">
        <v>100</v>
      </c>
      <c r="AE15" s="16" t="n">
        <v>100</v>
      </c>
      <c r="AF15" s="16" t="n">
        <v>100</v>
      </c>
      <c r="AG15" s="16" t="n">
        <v>100</v>
      </c>
      <c r="AH15" s="16" t="n">
        <v>100</v>
      </c>
      <c r="AI15" s="10">
        <f>SUM(AC15:AH15)</f>
        <v/>
      </c>
      <c r="AJ15" s="16">
        <f>SUM(AC15:AH15)+AI15</f>
        <v/>
      </c>
      <c r="AK15" s="11">
        <f>IF(N15&lt;&gt;0,(AB15-N15)/ABS(N15),0)</f>
        <v/>
      </c>
      <c r="AL15" s="11">
        <f>IF(AB15&lt;&gt;0,(AJ15-AB15)/ABS(AB15),0)</f>
        <v/>
      </c>
    </row>
    <row r="16" ht="13" customHeight="1">
      <c r="A16" s="15" t="inlineStr">
        <is>
          <t xml:space="preserve">    Staff Welfare</t>
        </is>
      </c>
      <c r="B16" s="16" t="n">
        <v>10</v>
      </c>
      <c r="C16" s="16" t="n">
        <v>108.63</v>
      </c>
      <c r="D16" s="16" t="n">
        <v>61.08</v>
      </c>
      <c r="E16" s="16" t="n">
        <v>109.86</v>
      </c>
      <c r="F16" s="16" t="n">
        <v>137.21</v>
      </c>
      <c r="G16" s="16" t="n">
        <v>52.06</v>
      </c>
      <c r="H16" s="16" t="n">
        <v>92.56999999999999</v>
      </c>
      <c r="I16" s="16" t="n">
        <v>92.28</v>
      </c>
      <c r="J16" s="16" t="n">
        <v>92.52</v>
      </c>
      <c r="K16" s="16" t="n">
        <v>68.13</v>
      </c>
      <c r="L16" s="16" t="n">
        <v>161.98</v>
      </c>
      <c r="M16" s="16" t="n">
        <v>194.07</v>
      </c>
      <c r="N16" s="16">
        <f>SUM(B16:M16)</f>
        <v/>
      </c>
      <c r="O16" s="16" t="n">
        <v>125.23</v>
      </c>
      <c r="P16" s="16" t="n">
        <v>203.51</v>
      </c>
      <c r="Q16" s="16" t="n">
        <v>281.37</v>
      </c>
      <c r="R16" s="16" t="n">
        <v>239.69</v>
      </c>
      <c r="S16" s="16" t="n">
        <v>156.06</v>
      </c>
      <c r="T16" s="16" t="n">
        <v>149.88</v>
      </c>
      <c r="U16" s="16" t="n">
        <v>224.47</v>
      </c>
      <c r="AA16" s="16">
        <f>SUM(O16:U16)</f>
        <v/>
      </c>
      <c r="AB16" s="16">
        <f>SUM(O16:Z16)</f>
        <v/>
      </c>
      <c r="AC16" s="16" t="n">
        <v>150</v>
      </c>
      <c r="AD16" s="16" t="n">
        <v>150</v>
      </c>
      <c r="AE16" s="16" t="n">
        <v>150</v>
      </c>
      <c r="AF16" s="16" t="n">
        <v>150</v>
      </c>
      <c r="AG16" s="16" t="n">
        <v>150</v>
      </c>
      <c r="AH16" s="16" t="n">
        <v>150</v>
      </c>
      <c r="AI16" s="10">
        <f>SUM(AC16:AH16)</f>
        <v/>
      </c>
      <c r="AJ16" s="16">
        <f>SUM(AC16:AH16)+AI16</f>
        <v/>
      </c>
      <c r="AK16" s="11">
        <f>IF(N16&lt;&gt;0,(AB16-N16)/ABS(N16),0)</f>
        <v/>
      </c>
      <c r="AL16" s="11">
        <f>IF(AB16&lt;&gt;0,(AJ16-AB16)/ABS(AB16),0)</f>
        <v/>
      </c>
    </row>
    <row r="17" ht="13" customHeight="1">
      <c r="A17" s="15" t="inlineStr">
        <is>
          <t xml:space="preserve">    Recruitment</t>
        </is>
      </c>
      <c r="B17" s="16" t="n">
        <v>0</v>
      </c>
      <c r="C17" s="16" t="n">
        <v>5040</v>
      </c>
      <c r="D17" s="16" t="n">
        <v>0</v>
      </c>
      <c r="E17" s="16" t="n">
        <v>0</v>
      </c>
      <c r="F17" s="16" t="n">
        <v>0</v>
      </c>
      <c r="G17" s="16" t="n">
        <v>0</v>
      </c>
      <c r="H17" s="16" t="n">
        <v>0</v>
      </c>
      <c r="I17" s="16" t="n">
        <v>0</v>
      </c>
      <c r="J17" s="16" t="n">
        <v>0</v>
      </c>
      <c r="K17" s="16" t="n">
        <v>0</v>
      </c>
      <c r="L17" s="16" t="n">
        <v>0</v>
      </c>
      <c r="M17" s="16" t="n">
        <v>3650.4</v>
      </c>
      <c r="N17" s="16">
        <f>SUM(B17:M17)</f>
        <v/>
      </c>
      <c r="O17" s="16" t="n">
        <v>0</v>
      </c>
      <c r="P17" s="16" t="n">
        <v>0</v>
      </c>
      <c r="Q17" s="16" t="n">
        <v>0</v>
      </c>
      <c r="R17" s="16" t="n">
        <v>0</v>
      </c>
      <c r="S17" s="16" t="n">
        <v>0</v>
      </c>
      <c r="T17" s="16" t="n">
        <v>0</v>
      </c>
      <c r="U17" s="16" t="n">
        <v>0</v>
      </c>
      <c r="V17" s="16" t="n">
        <v>0</v>
      </c>
      <c r="W17" s="16" t="n">
        <v>0</v>
      </c>
      <c r="X17" s="16" t="n">
        <v>0</v>
      </c>
      <c r="Y17" s="16" t="n">
        <v>0</v>
      </c>
      <c r="Z17" s="16" t="n">
        <v>0</v>
      </c>
      <c r="AA17" s="16">
        <f>SUM(O17:U17)</f>
        <v/>
      </c>
      <c r="AB17" s="16">
        <f>SUM(O17:Z17)</f>
        <v/>
      </c>
      <c r="AC17" s="16" t="n">
        <v>0</v>
      </c>
      <c r="AD17" s="16" t="n">
        <v>0</v>
      </c>
      <c r="AE17" s="16" t="n">
        <v>0</v>
      </c>
      <c r="AF17" s="16" t="n">
        <v>0</v>
      </c>
      <c r="AG17" s="16" t="n">
        <v>0</v>
      </c>
      <c r="AH17" s="16" t="n">
        <v>0</v>
      </c>
      <c r="AI17" s="10">
        <f>SUM(AC17:AH17)</f>
        <v/>
      </c>
      <c r="AJ17" s="16">
        <f>SUM(AC17:AH17)+AI17</f>
        <v/>
      </c>
      <c r="AK17" s="11">
        <f>IF(N17&lt;&gt;0,(AB17-N17)/ABS(N17),0)</f>
        <v/>
      </c>
      <c r="AL17" s="11">
        <f>IF(AB17&lt;&gt;0,(AJ17-AB17)/ABS(AB17),0)</f>
        <v/>
      </c>
    </row>
    <row r="18" ht="13" customHeight="1">
      <c r="A18" s="15" t="inlineStr">
        <is>
          <t xml:space="preserve">    Rewards &amp; Recognition</t>
        </is>
      </c>
      <c r="B18" s="16" t="n">
        <v>0</v>
      </c>
      <c r="C18" s="16" t="n">
        <v>0</v>
      </c>
      <c r="D18" s="16" t="n">
        <v>0</v>
      </c>
      <c r="E18" s="16" t="n">
        <v>0</v>
      </c>
      <c r="F18" s="16" t="n">
        <v>0</v>
      </c>
      <c r="G18" s="16" t="n">
        <v>0</v>
      </c>
      <c r="H18" s="16" t="n">
        <v>10</v>
      </c>
      <c r="I18" s="16" t="n">
        <v>10</v>
      </c>
      <c r="J18" s="16" t="n">
        <v>0</v>
      </c>
      <c r="K18" s="16" t="n">
        <v>0</v>
      </c>
      <c r="L18" s="16" t="n">
        <v>0</v>
      </c>
      <c r="M18" s="16" t="n">
        <v>12.99</v>
      </c>
      <c r="N18" s="16">
        <f>SUM(B18:M18)</f>
        <v/>
      </c>
      <c r="O18" s="16" t="n">
        <v>0</v>
      </c>
      <c r="P18" s="16" t="n">
        <v>0</v>
      </c>
      <c r="Q18" s="16" t="n">
        <v>0</v>
      </c>
      <c r="R18" s="16" t="n">
        <v>0</v>
      </c>
      <c r="S18" s="16" t="n">
        <v>0</v>
      </c>
      <c r="T18" s="16" t="n">
        <v>35.95</v>
      </c>
      <c r="U18" s="16" t="n">
        <v>66.90000000000001</v>
      </c>
      <c r="AA18" s="16">
        <f>SUM(O18:U18)</f>
        <v/>
      </c>
      <c r="AB18" s="16">
        <f>SUM(O18:Z18)</f>
        <v/>
      </c>
      <c r="AC18" s="16" t="n">
        <v>42</v>
      </c>
      <c r="AD18" s="16" t="n">
        <v>42</v>
      </c>
      <c r="AE18" s="16" t="n">
        <v>42</v>
      </c>
      <c r="AF18" s="16" t="n">
        <v>42</v>
      </c>
      <c r="AG18" s="16" t="n">
        <v>42</v>
      </c>
      <c r="AH18" s="16" t="n">
        <v>42</v>
      </c>
      <c r="AI18" s="10">
        <f>SUM(AC18:AH18)</f>
        <v/>
      </c>
      <c r="AJ18" s="16">
        <f>SUM(AC18:AH18)+AI18</f>
        <v/>
      </c>
      <c r="AK18" s="11">
        <f>IF(N18&lt;&gt;0,(AB18-N18)/ABS(N18),0)</f>
        <v/>
      </c>
      <c r="AL18" s="11">
        <f>IF(AB18&lt;&gt;0,(AJ18-AB18)/ABS(AB18),0)</f>
        <v/>
      </c>
    </row>
    <row r="19" ht="13" customHeight="1">
      <c r="A19" s="15" t="inlineStr">
        <is>
          <t xml:space="preserve">    Temps</t>
        </is>
      </c>
      <c r="B19" s="16" t="n">
        <v>0</v>
      </c>
      <c r="C19" s="16" t="n">
        <v>0</v>
      </c>
      <c r="D19" s="16" t="n">
        <v>0</v>
      </c>
      <c r="E19" s="16" t="n">
        <v>0</v>
      </c>
      <c r="F19" s="16" t="n">
        <v>0</v>
      </c>
      <c r="G19" s="16" t="n">
        <v>0</v>
      </c>
      <c r="H19" s="16" t="n">
        <v>0</v>
      </c>
      <c r="I19" s="16" t="n">
        <v>0</v>
      </c>
      <c r="J19" s="16" t="n">
        <v>0</v>
      </c>
      <c r="K19" s="16" t="n">
        <v>0</v>
      </c>
      <c r="L19" s="16" t="n">
        <v>0</v>
      </c>
      <c r="M19" s="16" t="n">
        <v>0</v>
      </c>
      <c r="N19" s="16">
        <f>SUM(B19:M19)</f>
        <v/>
      </c>
      <c r="O19" s="16" t="n">
        <v>0</v>
      </c>
      <c r="P19" s="16" t="n">
        <v>0</v>
      </c>
      <c r="Q19" s="16" t="n">
        <v>0</v>
      </c>
      <c r="R19" s="16" t="n">
        <v>0</v>
      </c>
      <c r="S19" s="16" t="n">
        <v>0</v>
      </c>
      <c r="T19" s="16" t="n">
        <v>0</v>
      </c>
      <c r="U19" s="16" t="n">
        <v>0</v>
      </c>
      <c r="V19" s="16" t="n">
        <v>0</v>
      </c>
      <c r="W19" s="16" t="n">
        <v>0</v>
      </c>
      <c r="X19" s="16" t="n">
        <v>0</v>
      </c>
      <c r="Y19" s="16" t="n">
        <v>0</v>
      </c>
      <c r="Z19" s="16" t="n">
        <v>0</v>
      </c>
      <c r="AA19" s="16">
        <f>SUM(O19:U19)</f>
        <v/>
      </c>
      <c r="AB19" s="16">
        <f>SUM(O19:Z19)</f>
        <v/>
      </c>
      <c r="AC19" s="16" t="n">
        <v>0</v>
      </c>
      <c r="AD19" s="16" t="n">
        <v>0</v>
      </c>
      <c r="AE19" s="16" t="n">
        <v>0</v>
      </c>
      <c r="AF19" s="16" t="n">
        <v>0</v>
      </c>
      <c r="AG19" s="16" t="n">
        <v>0</v>
      </c>
      <c r="AH19" s="16" t="n">
        <v>0</v>
      </c>
      <c r="AI19" s="10">
        <f>SUM(AC19:AH19)</f>
        <v/>
      </c>
      <c r="AJ19" s="16">
        <f>SUM(AC19:AH19)+AI19</f>
        <v/>
      </c>
      <c r="AK19" s="11">
        <f>IF(N19&lt;&gt;0,(AB19-N19)/ABS(N19),0)</f>
        <v/>
      </c>
      <c r="AL19" s="11">
        <f>IF(AB19&lt;&gt;0,(AJ19-AB19)/ABS(AB19),0)</f>
        <v/>
      </c>
    </row>
    <row r="20" ht="13" customHeight="1">
      <c r="A20" s="17" t="inlineStr">
        <is>
          <t>Total Personnel</t>
        </is>
      </c>
      <c r="B20" s="18">
        <f>B11+B12+B13+B14+B15+B16+B17+B18+B19</f>
        <v/>
      </c>
      <c r="C20" s="18">
        <f>C11+C12+C13+C14+C15+C16+C17+C18+C19</f>
        <v/>
      </c>
      <c r="D20" s="18">
        <f>D11+D12+D13+D14+D15+D16+D17+D18+D19</f>
        <v/>
      </c>
      <c r="E20" s="18">
        <f>E11+E12+E13+E14+E15+E16+E17+E18+E19</f>
        <v/>
      </c>
      <c r="F20" s="18">
        <f>F11+F12+F13+F14+F15+F16+F17+F18+F19</f>
        <v/>
      </c>
      <c r="G20" s="18">
        <f>G11+G12+G13+G14+G15+G16+G17+G18+G19</f>
        <v/>
      </c>
      <c r="H20" s="18">
        <f>H11+H12+H13+H14+H15+H16+H17+H18+H19</f>
        <v/>
      </c>
      <c r="I20" s="18">
        <f>I11+I12+I13+I14+I15+I16+I17+I18+I19</f>
        <v/>
      </c>
      <c r="J20" s="18">
        <f>J11+J12+J13+J14+J15+J16+J17+J18+J19</f>
        <v/>
      </c>
      <c r="K20" s="18">
        <f>K11+K12+K13+K14+K15+K16+K17+K18+K19</f>
        <v/>
      </c>
      <c r="L20" s="18">
        <f>L11+L12+L13+L14+L15+L16+L17+L18+L19</f>
        <v/>
      </c>
      <c r="M20" s="18">
        <f>M11+M12+M13+M14+M15+M16+M17+M18+M19</f>
        <v/>
      </c>
      <c r="N20" s="18">
        <f>N11+N12+N13+N14+N15+N16+N17+N18+N19</f>
        <v/>
      </c>
      <c r="O20" s="18">
        <f>O11+O12+O13+O14+O15+O16+O17+O18+O19</f>
        <v/>
      </c>
      <c r="P20" s="18">
        <f>P11+P12+P13+P14+P15+P16+P17+P18+P19</f>
        <v/>
      </c>
      <c r="Q20" s="18">
        <f>Q11+Q12+Q13+Q14+Q15+Q16+Q17+Q18+Q19</f>
        <v/>
      </c>
      <c r="R20" s="18">
        <f>R11+R12+R13+R14+R15+R16+R17+R18+R19</f>
        <v/>
      </c>
      <c r="S20" s="18">
        <f>S11+S12+S13+S14+S15+S16+S17+S18+S19</f>
        <v/>
      </c>
      <c r="T20" s="18">
        <f>T11+T12+T13+T14+T15+T16+T17+T18+T19</f>
        <v/>
      </c>
      <c r="U20" s="18">
        <f>U11+U12+U13+U14+U15+U16+U17+U18+U19</f>
        <v/>
      </c>
      <c r="V20" s="18">
        <f>V11+V12+V13+V14+V15+V16+V17+V18+V19</f>
        <v/>
      </c>
      <c r="W20" s="18">
        <f>W11+W12+W13+W14+W15+W16+W17+W18+W19</f>
        <v/>
      </c>
      <c r="X20" s="18">
        <f>X11+X12+X13+X14+X15+X16+X17+X18+X19</f>
        <v/>
      </c>
      <c r="Y20" s="18">
        <f>Y11+Y12+Y13+Y14+Y15+Y16+Y17+Y18+Y19</f>
        <v/>
      </c>
      <c r="Z20" s="18">
        <f>Z11+Z12+Z13+Z14+Z15+Z16+Z17+Z18+Z19</f>
        <v/>
      </c>
      <c r="AA20" s="18">
        <f>AA11+AA12+AA13+AA14+AA15+AA16+AA17+AA18+AA19</f>
        <v/>
      </c>
      <c r="AB20" s="18">
        <f>AB11+AB12+AB13+AB14+AB15+AB16+AB17+AB18+AB19</f>
        <v/>
      </c>
      <c r="AC20" s="18">
        <f>AC11+AC12+AC13+AC14+AC15+AC16+AC17+AC18+AC19</f>
        <v/>
      </c>
      <c r="AD20" s="18">
        <f>AD11+AD12+AD13+AD14+AD15+AD16+AD17+AD18+AD19</f>
        <v/>
      </c>
      <c r="AE20" s="18">
        <f>AE11+AE12+AE13+AE14+AE15+AE16+AE17+AE18+AE19</f>
        <v/>
      </c>
      <c r="AF20" s="18">
        <f>AF11+AF12+AF13+AF14+AF15+AF16+AF17+AF18+AF19</f>
        <v/>
      </c>
      <c r="AG20" s="18">
        <f>AG11+AG12+AG13+AG14+AG15+AG16+AG17+AG18+AG19</f>
        <v/>
      </c>
      <c r="AH20" s="18">
        <f>AH11+AH12+AH13+AH14+AH15+AH16+AH17+AH18+AH19</f>
        <v/>
      </c>
      <c r="AI20" s="18">
        <f>AI11+AI12+AI13+AI14+AI15+AI16+AI17+AI18+AI19</f>
        <v/>
      </c>
      <c r="AJ20" s="18">
        <f>AJ11+AJ12+AJ13+AJ14+AJ15+AJ16+AJ17+AJ18+AJ19</f>
        <v/>
      </c>
      <c r="AK20" s="11">
        <f>IF(N20&lt;&gt;0,(AB20-N20)/ABS(N20),0)</f>
        <v/>
      </c>
      <c r="AL20" s="11">
        <f>IF(AB20&lt;&gt;0,(AJ20-AB20)/ABS(AB20),0)</f>
        <v/>
      </c>
    </row>
    <row r="21" ht="13" customHeight="1">
      <c r="A21" s="19" t="inlineStr">
        <is>
          <t xml:space="preserve">    Sal:Rev</t>
        </is>
      </c>
      <c r="B21" s="20">
        <f>IF(B7&gt;0,B20/B7,0)</f>
        <v/>
      </c>
      <c r="C21" s="20">
        <f>IF(C7&gt;0,C20/C7,0)</f>
        <v/>
      </c>
      <c r="D21" s="20">
        <f>IF(D7&gt;0,D20/D7,0)</f>
        <v/>
      </c>
      <c r="E21" s="20">
        <f>IF(E7&gt;0,E20/E7,0)</f>
        <v/>
      </c>
      <c r="F21" s="20">
        <f>IF(F7&gt;0,F20/F7,0)</f>
        <v/>
      </c>
      <c r="G21" s="20">
        <f>IF(G7&gt;0,G20/G7,0)</f>
        <v/>
      </c>
      <c r="H21" s="20">
        <f>IF(H7&gt;0,H20/H7,0)</f>
        <v/>
      </c>
      <c r="I21" s="20">
        <f>IF(I7&gt;0,I20/I7,0)</f>
        <v/>
      </c>
      <c r="J21" s="20">
        <f>IF(J7&gt;0,J20/J7,0)</f>
        <v/>
      </c>
      <c r="K21" s="20">
        <f>IF(K7&gt;0,K20/K7,0)</f>
        <v/>
      </c>
      <c r="L21" s="20">
        <f>IF(L7&gt;0,L20/L7,0)</f>
        <v/>
      </c>
      <c r="M21" s="20">
        <f>IF(M7&gt;0,M20/M7,0)</f>
        <v/>
      </c>
      <c r="N21" s="20">
        <f>IF(N7&gt;0,N20/N7,0)</f>
        <v/>
      </c>
      <c r="O21" s="20">
        <f>IF(O7&gt;0,O20/O7,0)</f>
        <v/>
      </c>
      <c r="P21" s="20">
        <f>IF(P7&gt;0,P20/P7,0)</f>
        <v/>
      </c>
      <c r="Q21" s="20">
        <f>IF(Q7&gt;0,Q20/Q7,0)</f>
        <v/>
      </c>
      <c r="R21" s="20">
        <f>IF(R7&gt;0,R20/R7,0)</f>
        <v/>
      </c>
      <c r="S21" s="20">
        <f>IF(S7&gt;0,S20/S7,0)</f>
        <v/>
      </c>
      <c r="T21" s="20">
        <f>IF(T7&gt;0,T20/T7,0)</f>
        <v/>
      </c>
      <c r="U21" s="20">
        <f>IF(U7&gt;0,U20/U7,0)</f>
        <v/>
      </c>
      <c r="V21" s="20">
        <f>IF(V7&gt;0,V20/V7,0)</f>
        <v/>
      </c>
      <c r="W21" s="20">
        <f>IF(W7&gt;0,W20/W7,0)</f>
        <v/>
      </c>
      <c r="X21" s="20">
        <f>IF(X7&gt;0,X20/X7,0)</f>
        <v/>
      </c>
      <c r="Y21" s="20">
        <f>IF(Y7&gt;0,Y20/Y7,0)</f>
        <v/>
      </c>
      <c r="Z21" s="20">
        <f>IF(Z7&gt;0,Z20/Z7,0)</f>
        <v/>
      </c>
      <c r="AA21" s="20">
        <f>IF(AA7&gt;0,AA20/AA7,0)</f>
        <v/>
      </c>
      <c r="AB21" s="20">
        <f>IF(AB7&gt;0,AB20/AB7,0)</f>
        <v/>
      </c>
      <c r="AC21" s="20">
        <f>IF(AC7&gt;0,AC20/AC7,0)</f>
        <v/>
      </c>
      <c r="AD21" s="20">
        <f>IF(AD7&gt;0,AD20/AD7,0)</f>
        <v/>
      </c>
      <c r="AE21" s="20">
        <f>IF(AE7&gt;0,AE20/AE7,0)</f>
        <v/>
      </c>
      <c r="AF21" s="20">
        <f>IF(AF7&gt;0,AF20/AF7,0)</f>
        <v/>
      </c>
      <c r="AG21" s="20">
        <f>IF(AG7&gt;0,AG20/AG7,0)</f>
        <v/>
      </c>
      <c r="AH21" s="20">
        <f>IF(AH7&gt;0,AH20/AH7,0)</f>
        <v/>
      </c>
      <c r="AI21" s="20">
        <f>IF(AI7&gt;0,AI20/AI7,0)</f>
        <v/>
      </c>
      <c r="AJ21" s="20">
        <f>IF(AJ7&gt;0,AJ20/AJ7,0)</f>
        <v/>
      </c>
    </row>
    <row r="22" ht="5" customHeight="1"/>
    <row r="23" ht="13" customHeight="1">
      <c r="A23" s="14" t="inlineStr">
        <is>
          <t>Childcare</t>
        </is>
      </c>
    </row>
    <row r="24" ht="13" customHeight="1">
      <c r="A24" s="21" t="inlineStr">
        <is>
          <t xml:space="preserve">    Catering Costs</t>
        </is>
      </c>
      <c r="N24" s="22">
        <f>SUM(B24:M24)</f>
        <v/>
      </c>
      <c r="O24" s="22" t="n">
        <v>1124.3</v>
      </c>
      <c r="P24" s="22" t="n">
        <v>897.62</v>
      </c>
      <c r="Q24" s="22" t="n">
        <v>1008.18</v>
      </c>
      <c r="R24" s="22" t="n">
        <v>1170.82</v>
      </c>
      <c r="S24" s="22" t="n">
        <v>811.64</v>
      </c>
      <c r="T24" s="22" t="n">
        <v>968.12</v>
      </c>
      <c r="U24" s="22" t="n">
        <v>1225.01</v>
      </c>
      <c r="V24" s="22" t="n">
        <v>559.62</v>
      </c>
      <c r="W24" s="22" t="n">
        <v>610.02</v>
      </c>
      <c r="X24" s="22" t="n">
        <v>657.09</v>
      </c>
      <c r="Y24" s="22" t="n">
        <v>744.51</v>
      </c>
      <c r="Z24" s="22" t="n">
        <v>812.28</v>
      </c>
      <c r="AA24" s="22">
        <f>SUM(O24:U24)</f>
        <v/>
      </c>
      <c r="AB24" s="22">
        <f>SUM(O24:Z24)</f>
        <v/>
      </c>
      <c r="AC24" s="22" t="n">
        <v>849.4793999999999</v>
      </c>
      <c r="AD24" s="22" t="n">
        <v>805.2084</v>
      </c>
      <c r="AE24" s="22" t="n">
        <v>945.2339999999999</v>
      </c>
      <c r="AF24" s="22" t="n">
        <v>916.3077</v>
      </c>
      <c r="AG24" s="22" t="n">
        <v>926.5679999999999</v>
      </c>
      <c r="AH24" s="22" t="n">
        <v>990.0612</v>
      </c>
      <c r="AI24" s="10">
        <f>SUM(AC24:AH24)</f>
        <v/>
      </c>
      <c r="AJ24" s="22">
        <f>SUM(AC24:AH24)+AI24</f>
        <v/>
      </c>
      <c r="AK24" s="11">
        <f>IF(N24&lt;&gt;0,(AB24-N24)/ABS(N24),0)</f>
        <v/>
      </c>
      <c r="AL24" s="11">
        <f>IF(AB24&lt;&gt;0,(AJ24-AB24)/ABS(AB24),0)</f>
        <v/>
      </c>
    </row>
    <row r="25" ht="13" customHeight="1">
      <c r="A25" s="21" t="inlineStr">
        <is>
          <t xml:space="preserve">    Toys and Games</t>
        </is>
      </c>
      <c r="B25" s="22" t="n">
        <v>183.52</v>
      </c>
      <c r="C25" s="22" t="n">
        <v>90.92999999999999</v>
      </c>
      <c r="D25" s="22" t="n">
        <v>151.06</v>
      </c>
      <c r="E25" s="22" t="n">
        <v>177.29</v>
      </c>
      <c r="F25" s="22" t="n">
        <v>242.78</v>
      </c>
      <c r="G25" s="22" t="n">
        <v>1990.96</v>
      </c>
      <c r="H25" s="22" t="n">
        <v>406.66</v>
      </c>
      <c r="I25" s="22" t="n">
        <v>353.82</v>
      </c>
      <c r="J25" s="22" t="n">
        <v>175.28</v>
      </c>
      <c r="K25" s="22" t="n">
        <v>16.3</v>
      </c>
      <c r="L25" s="22" t="n">
        <v>60.14</v>
      </c>
      <c r="M25" s="22" t="n">
        <v>19.96</v>
      </c>
      <c r="N25" s="22">
        <f>SUM(B25:M25)</f>
        <v/>
      </c>
      <c r="O25" s="22" t="n">
        <v>22.2</v>
      </c>
      <c r="P25" s="22" t="n">
        <v>40.4</v>
      </c>
      <c r="Q25" s="22" t="n">
        <v>106.77</v>
      </c>
      <c r="R25" s="22" t="n">
        <v>36.99</v>
      </c>
      <c r="S25" s="22" t="n">
        <v>110.33</v>
      </c>
      <c r="T25" s="22" t="n">
        <v>12</v>
      </c>
      <c r="U25" s="22" t="n">
        <v>1314.02</v>
      </c>
      <c r="AA25" s="22">
        <f>SUM(O25:U25)</f>
        <v/>
      </c>
      <c r="AB25" s="22">
        <f>SUM(O25:Z25)</f>
        <v/>
      </c>
      <c r="AC25" s="22" t="n">
        <v>100</v>
      </c>
      <c r="AD25" s="22" t="n">
        <v>100</v>
      </c>
      <c r="AE25" s="22" t="n">
        <v>100</v>
      </c>
      <c r="AF25" s="22" t="n">
        <v>100</v>
      </c>
      <c r="AG25" s="22" t="n">
        <v>100</v>
      </c>
      <c r="AH25" s="22" t="n">
        <v>100</v>
      </c>
      <c r="AI25" s="10">
        <f>SUM(AC25:AH25)</f>
        <v/>
      </c>
      <c r="AJ25" s="22">
        <f>SUM(AC25:AH25)+AI25</f>
        <v/>
      </c>
      <c r="AK25" s="11">
        <f>IF(N25&lt;&gt;0,(AB25-N25)/ABS(N25),0)</f>
        <v/>
      </c>
      <c r="AL25" s="11">
        <f>IF(AB25&lt;&gt;0,(AJ25-AB25)/ABS(AB25),0)</f>
        <v/>
      </c>
    </row>
    <row r="26" ht="13" customHeight="1">
      <c r="A26" s="21" t="inlineStr">
        <is>
          <t xml:space="preserve">    Art Materials</t>
        </is>
      </c>
      <c r="N26" s="22">
        <f>SUM(B26:M26)</f>
        <v/>
      </c>
      <c r="O26" s="22" t="n">
        <v>16.11</v>
      </c>
      <c r="P26" s="22" t="n">
        <v>7.99</v>
      </c>
      <c r="Q26" s="22" t="n">
        <v>68.7</v>
      </c>
      <c r="R26" s="22" t="n">
        <v>75.15000000000001</v>
      </c>
      <c r="S26" s="22" t="n">
        <v>0</v>
      </c>
      <c r="T26" s="22" t="n">
        <v>295.2</v>
      </c>
      <c r="U26" s="22" t="n">
        <v>93.08</v>
      </c>
      <c r="V26" s="22" t="n">
        <v>55.962</v>
      </c>
      <c r="W26" s="22" t="n">
        <v>61.002</v>
      </c>
      <c r="X26" s="22" t="n">
        <v>65.709</v>
      </c>
      <c r="Y26" s="22" t="n">
        <v>74.45100000000001</v>
      </c>
      <c r="Z26" s="22" t="n">
        <v>81.22800000000001</v>
      </c>
      <c r="AA26" s="22">
        <f>SUM(O26:U26)</f>
        <v/>
      </c>
      <c r="AB26" s="22">
        <f>SUM(O26:Z26)</f>
        <v/>
      </c>
      <c r="AC26" s="22" t="n">
        <v>84.94794</v>
      </c>
      <c r="AD26" s="22" t="n">
        <v>80.52083999999999</v>
      </c>
      <c r="AE26" s="22" t="n">
        <v>94.5234</v>
      </c>
      <c r="AF26" s="22" t="n">
        <v>91.63077</v>
      </c>
      <c r="AG26" s="22" t="n">
        <v>92.6568</v>
      </c>
      <c r="AH26" s="22" t="n">
        <v>99.00612000000001</v>
      </c>
      <c r="AI26" s="10">
        <f>SUM(AC26:AH26)</f>
        <v/>
      </c>
      <c r="AJ26" s="22">
        <f>SUM(AC26:AH26)+AI26</f>
        <v/>
      </c>
      <c r="AK26" s="11">
        <f>IF(N26&lt;&gt;0,(AB26-N26)/ABS(N26),0)</f>
        <v/>
      </c>
      <c r="AL26" s="11">
        <f>IF(AB26&lt;&gt;0,(AJ26-AB26)/ABS(AB26),0)</f>
        <v/>
      </c>
    </row>
    <row r="27" ht="13" customHeight="1">
      <c r="A27" s="21" t="inlineStr">
        <is>
          <t xml:space="preserve">    Nursery Stationery</t>
        </is>
      </c>
      <c r="B27" s="22" t="n">
        <v>92.48999999999999</v>
      </c>
      <c r="C27" s="22" t="n">
        <v>10.97</v>
      </c>
      <c r="D27" s="22" t="n">
        <v>0</v>
      </c>
      <c r="E27" s="22" t="n">
        <v>10.29</v>
      </c>
      <c r="F27" s="22" t="n">
        <v>45.52</v>
      </c>
      <c r="G27" s="22" t="n">
        <v>52.51000000000001</v>
      </c>
      <c r="H27" s="22" t="n">
        <v>31.85</v>
      </c>
      <c r="I27" s="22" t="n">
        <v>57.34</v>
      </c>
      <c r="J27" s="22" t="n">
        <v>65.91</v>
      </c>
      <c r="K27" s="22" t="n">
        <v>51.77</v>
      </c>
      <c r="L27" s="22" t="n">
        <v>20.32</v>
      </c>
      <c r="M27" s="22" t="n">
        <v>86.42</v>
      </c>
      <c r="N27" s="22">
        <f>SUM(B27:M27)</f>
        <v/>
      </c>
      <c r="O27" s="22" t="n">
        <v>17.54</v>
      </c>
      <c r="P27" s="22" t="n">
        <v>65.64</v>
      </c>
      <c r="Q27" s="22" t="n">
        <v>10.58</v>
      </c>
      <c r="R27" s="22" t="n">
        <v>0</v>
      </c>
      <c r="S27" s="22" t="n">
        <v>30.62</v>
      </c>
      <c r="T27" s="22" t="n">
        <v>0</v>
      </c>
      <c r="U27" s="22" t="n">
        <v>6.98</v>
      </c>
      <c r="AA27" s="22">
        <f>SUM(O27:U27)</f>
        <v/>
      </c>
      <c r="AB27" s="22">
        <f>SUM(O27:Z27)</f>
        <v/>
      </c>
      <c r="AC27" s="22" t="n">
        <v>100</v>
      </c>
      <c r="AD27" s="22" t="n">
        <v>100</v>
      </c>
      <c r="AE27" s="22" t="n">
        <v>100</v>
      </c>
      <c r="AF27" s="22" t="n">
        <v>100</v>
      </c>
      <c r="AG27" s="22" t="n">
        <v>100</v>
      </c>
      <c r="AH27" s="22" t="n">
        <v>100</v>
      </c>
      <c r="AI27" s="10">
        <f>SUM(AC27:AH27)</f>
        <v/>
      </c>
      <c r="AJ27" s="22">
        <f>SUM(AC27:AH27)+AI27</f>
        <v/>
      </c>
      <c r="AK27" s="11">
        <f>IF(N27&lt;&gt;0,(AB27-N27)/ABS(N27),0)</f>
        <v/>
      </c>
      <c r="AL27" s="11">
        <f>IF(AB27&lt;&gt;0,(AJ27-AB27)/ABS(AB27),0)</f>
        <v/>
      </c>
    </row>
    <row r="28" ht="13" customHeight="1">
      <c r="A28" s="21" t="inlineStr">
        <is>
          <t xml:space="preserve">    Nursery Equipment</t>
        </is>
      </c>
      <c r="B28" s="22" t="n">
        <v>243.75</v>
      </c>
      <c r="C28" s="22" t="n">
        <v>56.46000000000001</v>
      </c>
      <c r="D28" s="22" t="n">
        <v>68.98</v>
      </c>
      <c r="E28" s="22" t="n">
        <v>0</v>
      </c>
      <c r="F28" s="22" t="n">
        <v>446.65</v>
      </c>
      <c r="G28" s="22" t="n">
        <v>238.6</v>
      </c>
      <c r="H28" s="22" t="n">
        <v>206.36</v>
      </c>
      <c r="I28" s="22" t="n">
        <v>17.01</v>
      </c>
      <c r="J28" s="22" t="n">
        <v>146.95</v>
      </c>
      <c r="K28" s="22" t="n">
        <v>217.2</v>
      </c>
      <c r="L28" s="22" t="n">
        <v>103.41</v>
      </c>
      <c r="M28" s="22" t="n">
        <v>87.67999999999999</v>
      </c>
      <c r="N28" s="22">
        <f>SUM(B28:M28)</f>
        <v/>
      </c>
      <c r="O28" s="22" t="n">
        <v>25.98</v>
      </c>
      <c r="P28" s="22" t="n">
        <v>64.59</v>
      </c>
      <c r="Q28" s="22" t="n">
        <v>42.76</v>
      </c>
      <c r="R28" s="22" t="n">
        <v>0</v>
      </c>
      <c r="S28" s="22" t="n">
        <v>159.29</v>
      </c>
      <c r="T28" s="22" t="n">
        <v>0</v>
      </c>
      <c r="U28" s="22" t="n">
        <v>116.23</v>
      </c>
      <c r="AA28" s="22">
        <f>SUM(O28:U28)</f>
        <v/>
      </c>
      <c r="AB28" s="22">
        <f>SUM(O28:Z28)</f>
        <v/>
      </c>
      <c r="AC28" s="22" t="n">
        <v>100</v>
      </c>
      <c r="AD28" s="22" t="n">
        <v>100</v>
      </c>
      <c r="AE28" s="22" t="n">
        <v>100</v>
      </c>
      <c r="AF28" s="22" t="n">
        <v>100</v>
      </c>
      <c r="AG28" s="22" t="n">
        <v>100</v>
      </c>
      <c r="AH28" s="22" t="n">
        <v>100</v>
      </c>
      <c r="AI28" s="10">
        <f>SUM(AC28:AH28)</f>
        <v/>
      </c>
      <c r="AJ28" s="22">
        <f>SUM(AC28:AH28)+AI28</f>
        <v/>
      </c>
      <c r="AK28" s="11">
        <f>IF(N28&lt;&gt;0,(AB28-N28)/ABS(N28),0)</f>
        <v/>
      </c>
      <c r="AL28" s="11">
        <f>IF(AB28&lt;&gt;0,(AJ28-AB28)/ABS(AB28),0)</f>
        <v/>
      </c>
    </row>
    <row r="29" ht="13" customHeight="1">
      <c r="A29" s="21" t="inlineStr">
        <is>
          <t xml:space="preserve">    Nursery Consumables</t>
        </is>
      </c>
      <c r="N29" s="22">
        <f>SUM(B29:M29)</f>
        <v/>
      </c>
      <c r="O29" s="22" t="n">
        <v>179.58</v>
      </c>
      <c r="P29" s="22" t="n">
        <v>223.95</v>
      </c>
      <c r="Q29" s="22" t="n">
        <v>176.34</v>
      </c>
      <c r="R29" s="22" t="n">
        <v>285.91</v>
      </c>
      <c r="S29" s="22" t="n">
        <v>131</v>
      </c>
      <c r="T29" s="22" t="n">
        <v>172.44</v>
      </c>
      <c r="U29" s="22" t="n">
        <v>163.98</v>
      </c>
      <c r="V29" s="22" t="n">
        <v>93.27</v>
      </c>
      <c r="W29" s="22" t="n">
        <v>101.67</v>
      </c>
      <c r="X29" s="22" t="n">
        <v>109.515</v>
      </c>
      <c r="Y29" s="22" t="n">
        <v>124.085</v>
      </c>
      <c r="Z29" s="22" t="n">
        <v>135.38</v>
      </c>
      <c r="AA29" s="22">
        <f>SUM(O29:U29)</f>
        <v/>
      </c>
      <c r="AB29" s="22">
        <f>SUM(O29:Z29)</f>
        <v/>
      </c>
      <c r="AC29" s="22" t="n">
        <v>141.5799</v>
      </c>
      <c r="AD29" s="22" t="n">
        <v>134.2014</v>
      </c>
      <c r="AE29" s="22" t="n">
        <v>157.539</v>
      </c>
      <c r="AF29" s="22" t="n">
        <v>152.71795</v>
      </c>
      <c r="AG29" s="22" t="n">
        <v>154.428</v>
      </c>
      <c r="AH29" s="22" t="n">
        <v>165.0102</v>
      </c>
      <c r="AI29" s="10">
        <f>SUM(AC29:AH29)</f>
        <v/>
      </c>
      <c r="AJ29" s="22">
        <f>SUM(AC29:AH29)+AI29</f>
        <v/>
      </c>
      <c r="AK29" s="11">
        <f>IF(N29&lt;&gt;0,(AB29-N29)/ABS(N29),0)</f>
        <v/>
      </c>
      <c r="AL29" s="11">
        <f>IF(AB29&lt;&gt;0,(AJ29-AB29)/ABS(AB29),0)</f>
        <v/>
      </c>
    </row>
    <row r="30" ht="13" customHeight="1">
      <c r="A30" s="23" t="inlineStr">
        <is>
          <t>Total Childcare Costs</t>
        </is>
      </c>
      <c r="B30" s="24">
        <f>B24+B25+B26+B27+B28+B29</f>
        <v/>
      </c>
      <c r="C30" s="24">
        <f>C24+C25+C26+C27+C28+C29</f>
        <v/>
      </c>
      <c r="D30" s="24">
        <f>D24+D25+D26+D27+D28+D29</f>
        <v/>
      </c>
      <c r="E30" s="24">
        <f>E24+E25+E26+E27+E28+E29</f>
        <v/>
      </c>
      <c r="F30" s="24">
        <f>F24+F25+F26+F27+F28+F29</f>
        <v/>
      </c>
      <c r="G30" s="24">
        <f>G24+G25+G26+G27+G28+G29</f>
        <v/>
      </c>
      <c r="H30" s="24">
        <f>H24+H25+H26+H27+H28+H29</f>
        <v/>
      </c>
      <c r="I30" s="24">
        <f>I24+I25+I26+I27+I28+I29</f>
        <v/>
      </c>
      <c r="J30" s="24">
        <f>J24+J25+J26+J27+J28+J29</f>
        <v/>
      </c>
      <c r="K30" s="24">
        <f>K24+K25+K26+K27+K28+K29</f>
        <v/>
      </c>
      <c r="L30" s="24">
        <f>L24+L25+L26+L27+L28+L29</f>
        <v/>
      </c>
      <c r="M30" s="24">
        <f>M24+M25+M26+M27+M28+M29</f>
        <v/>
      </c>
      <c r="N30" s="24">
        <f>N24+N25+N26+N27+N28+N29</f>
        <v/>
      </c>
      <c r="O30" s="24">
        <f>O24+O25+O26+O27+O28+O29</f>
        <v/>
      </c>
      <c r="P30" s="24">
        <f>P24+P25+P26+P27+P28+P29</f>
        <v/>
      </c>
      <c r="Q30" s="24">
        <f>Q24+Q25+Q26+Q27+Q28+Q29</f>
        <v/>
      </c>
      <c r="R30" s="24">
        <f>R24+R25+R26+R27+R28+R29</f>
        <v/>
      </c>
      <c r="S30" s="24">
        <f>S24+S25+S26+S27+S28+S29</f>
        <v/>
      </c>
      <c r="T30" s="24">
        <f>T24+T25+T26+T27+T28+T29</f>
        <v/>
      </c>
      <c r="U30" s="24">
        <f>U24+U25+U26+U27+U28+U29</f>
        <v/>
      </c>
      <c r="V30" s="24">
        <f>V24+V25+V26+V27+V28+V29</f>
        <v/>
      </c>
      <c r="W30" s="24">
        <f>W24+W25+W26+W27+W28+W29</f>
        <v/>
      </c>
      <c r="X30" s="24">
        <f>X24+X25+X26+X27+X28+X29</f>
        <v/>
      </c>
      <c r="Y30" s="24">
        <f>Y24+Y25+Y26+Y27+Y28+Y29</f>
        <v/>
      </c>
      <c r="Z30" s="24">
        <f>Z24+Z25+Z26+Z27+Z28+Z29</f>
        <v/>
      </c>
      <c r="AA30" s="24">
        <f>AA24+AA25+AA26+AA27+AA28+AA29</f>
        <v/>
      </c>
      <c r="AB30" s="24">
        <f>AB24+AB25+AB26+AB27+AB28+AB29</f>
        <v/>
      </c>
      <c r="AC30" s="24">
        <f>AC24+AC25+AC26+AC27+AC28+AC29</f>
        <v/>
      </c>
      <c r="AD30" s="24">
        <f>AD24+AD25+AD26+AD27+AD28+AD29</f>
        <v/>
      </c>
      <c r="AE30" s="24">
        <f>AE24+AE25+AE26+AE27+AE28+AE29</f>
        <v/>
      </c>
      <c r="AF30" s="24">
        <f>AF24+AF25+AF26+AF27+AF28+AF29</f>
        <v/>
      </c>
      <c r="AG30" s="24">
        <f>AG24+AG25+AG26+AG27+AG28+AG29</f>
        <v/>
      </c>
      <c r="AH30" s="24">
        <f>AH24+AH25+AH26+AH27+AH28+AH29</f>
        <v/>
      </c>
      <c r="AI30" s="24">
        <f>AI24+AI25+AI26+AI27+AI28+AI29</f>
        <v/>
      </c>
      <c r="AJ30" s="24">
        <f>AJ24+AJ25+AJ26+AJ27+AJ28+AJ29</f>
        <v/>
      </c>
      <c r="AK30" s="11">
        <f>IF(N30&lt;&gt;0,(AB30-N30)/ABS(N30),0)</f>
        <v/>
      </c>
      <c r="AL30" s="11">
        <f>IF(AB30&lt;&gt;0,(AJ30-AB30)/ABS(AB30),0)</f>
        <v/>
      </c>
    </row>
    <row r="31" ht="5" customHeight="1"/>
    <row r="32" ht="13" customHeight="1">
      <c r="A32" s="14" t="inlineStr">
        <is>
          <t>Premises &amp; Admin</t>
        </is>
      </c>
    </row>
    <row r="33" ht="13" customHeight="1">
      <c r="A33" s="25" t="inlineStr">
        <is>
          <t xml:space="preserve">    Rent</t>
        </is>
      </c>
      <c r="B33" s="26" t="n">
        <v>0</v>
      </c>
      <c r="C33" s="26" t="n">
        <v>0</v>
      </c>
      <c r="D33" s="26" t="n">
        <v>0</v>
      </c>
      <c r="E33" s="26" t="n">
        <v>0</v>
      </c>
      <c r="F33" s="26" t="n">
        <v>0</v>
      </c>
      <c r="G33" s="26" t="n">
        <v>0</v>
      </c>
      <c r="H33" s="26" t="n">
        <v>0</v>
      </c>
      <c r="I33" s="26" t="n">
        <v>0</v>
      </c>
      <c r="J33" s="26" t="n">
        <v>0</v>
      </c>
      <c r="K33" s="26" t="n">
        <v>0</v>
      </c>
      <c r="L33" s="26" t="n">
        <v>0</v>
      </c>
      <c r="M33" s="26" t="n">
        <v>0</v>
      </c>
      <c r="N33" s="26">
        <f>SUM(B33:M33)</f>
        <v/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  <c r="V33" s="26" t="n">
        <v>0</v>
      </c>
      <c r="W33" s="26" t="n">
        <v>0</v>
      </c>
      <c r="X33" s="26" t="n">
        <v>0</v>
      </c>
      <c r="Y33" s="26" t="n">
        <v>0</v>
      </c>
      <c r="Z33" s="26" t="n">
        <v>0</v>
      </c>
      <c r="AA33" s="26">
        <f>SUM(O33:U33)</f>
        <v/>
      </c>
      <c r="AB33" s="26">
        <f>SUM(O33:Z33)</f>
        <v/>
      </c>
      <c r="AC33" s="26" t="n">
        <v>0</v>
      </c>
      <c r="AD33" s="26" t="n">
        <v>0</v>
      </c>
      <c r="AE33" s="26" t="n">
        <v>0</v>
      </c>
      <c r="AF33" s="26" t="n">
        <v>0</v>
      </c>
      <c r="AG33" s="26" t="n">
        <v>0</v>
      </c>
      <c r="AH33" s="26" t="n">
        <v>0</v>
      </c>
      <c r="AI33" s="10">
        <f>SUM(AC33:AH33)</f>
        <v/>
      </c>
      <c r="AJ33" s="26">
        <f>SUM(AC33:AH33)+AI33</f>
        <v/>
      </c>
      <c r="AK33" s="11">
        <f>IF(N33&lt;&gt;0,(AB33-N33)/ABS(N33),0)</f>
        <v/>
      </c>
      <c r="AL33" s="11">
        <f>IF(AB33&lt;&gt;0,(AJ33-AB33)/ABS(AB33),0)</f>
        <v/>
      </c>
    </row>
    <row r="34" ht="13" customHeight="1">
      <c r="A34" s="25" t="inlineStr">
        <is>
          <t xml:space="preserve">    Business Rates</t>
        </is>
      </c>
      <c r="B34" s="26" t="n">
        <v>769.29</v>
      </c>
      <c r="C34" s="26" t="n">
        <v>769.29</v>
      </c>
      <c r="D34" s="26" t="n">
        <v>769.29</v>
      </c>
      <c r="E34" s="26" t="n">
        <v>769.29</v>
      </c>
      <c r="F34" s="26" t="n">
        <v>769.29</v>
      </c>
      <c r="G34" s="26" t="n">
        <v>769.29</v>
      </c>
      <c r="H34" s="26" t="n">
        <v>769.29</v>
      </c>
      <c r="I34" s="26" t="n">
        <v>769.29</v>
      </c>
      <c r="J34" s="26" t="n">
        <v>769.29</v>
      </c>
      <c r="K34" s="26" t="n">
        <v>769.29</v>
      </c>
      <c r="L34" s="26" t="n">
        <v>769.29</v>
      </c>
      <c r="M34" s="26" t="n">
        <v>769.29</v>
      </c>
      <c r="N34" s="26">
        <f>SUM(B34:M34)</f>
        <v/>
      </c>
      <c r="O34" s="26" t="n">
        <v>769.3</v>
      </c>
      <c r="P34" s="26" t="n">
        <v>769.3</v>
      </c>
      <c r="Q34" s="26" t="n">
        <v>769.29</v>
      </c>
      <c r="R34" s="26" t="n">
        <v>736.67</v>
      </c>
      <c r="S34" s="26" t="n">
        <v>736.67</v>
      </c>
      <c r="T34" s="26" t="n">
        <v>736.67</v>
      </c>
      <c r="U34" s="26" t="n">
        <v>736.67</v>
      </c>
      <c r="AA34" s="26">
        <f>SUM(O34:U34)</f>
        <v/>
      </c>
      <c r="AB34" s="26">
        <f>SUM(O34:Z34)</f>
        <v/>
      </c>
      <c r="AC34" s="26" t="n">
        <v>736.67</v>
      </c>
      <c r="AD34" s="26" t="n">
        <v>736.67</v>
      </c>
      <c r="AE34" s="26" t="n">
        <v>736.67</v>
      </c>
      <c r="AF34" s="26" t="n">
        <v>736.67</v>
      </c>
      <c r="AG34" s="26" t="n">
        <v>736.67</v>
      </c>
      <c r="AH34" s="26" t="n">
        <v>736.67</v>
      </c>
      <c r="AI34" s="10">
        <f>SUM(AC34:AH34)</f>
        <v/>
      </c>
      <c r="AJ34" s="26">
        <f>SUM(AC34:AH34)+AI34</f>
        <v/>
      </c>
      <c r="AK34" s="11">
        <f>IF(N34&lt;&gt;0,(AB34-N34)/ABS(N34),0)</f>
        <v/>
      </c>
      <c r="AL34" s="11">
        <f>IF(AB34&lt;&gt;0,(AJ34-AB34)/ABS(AB34),0)</f>
        <v/>
      </c>
    </row>
    <row r="35" ht="13" customHeight="1">
      <c r="A35" s="25" t="inlineStr">
        <is>
          <t xml:space="preserve">    Utilities</t>
        </is>
      </c>
      <c r="B35" s="26" t="n">
        <v>876.66</v>
      </c>
      <c r="C35" s="26" t="n">
        <v>427.76</v>
      </c>
      <c r="D35" s="26" t="n">
        <v>1456.67</v>
      </c>
      <c r="E35" s="26" t="n">
        <v>-952.9899999999998</v>
      </c>
      <c r="F35" s="26" t="n">
        <v>898.87</v>
      </c>
      <c r="G35" s="26" t="n">
        <v>314.48</v>
      </c>
      <c r="H35" s="26" t="n">
        <v>283.44</v>
      </c>
      <c r="I35" s="26" t="n">
        <v>288.93</v>
      </c>
      <c r="J35" s="26" t="n">
        <v>180.99</v>
      </c>
      <c r="K35" s="26" t="n">
        <v>399.17</v>
      </c>
      <c r="L35" s="26" t="n">
        <v>339.71</v>
      </c>
      <c r="M35" s="26" t="n">
        <v>38.67000000000002</v>
      </c>
      <c r="N35" s="26">
        <f>SUM(B35:M35)</f>
        <v/>
      </c>
      <c r="O35" s="26" t="n">
        <v>1216.68</v>
      </c>
      <c r="P35" s="26" t="n">
        <v>1004.18</v>
      </c>
      <c r="Q35" s="26" t="n">
        <v>1025.61</v>
      </c>
      <c r="R35" s="26" t="n">
        <v>261.16</v>
      </c>
      <c r="S35" s="26" t="n">
        <v>176.45</v>
      </c>
      <c r="T35" s="26" t="n">
        <v>336.16</v>
      </c>
      <c r="U35" s="26" t="n">
        <v>332.8599999999999</v>
      </c>
      <c r="AA35" s="26">
        <f>SUM(O35:U35)</f>
        <v/>
      </c>
      <c r="AB35" s="26">
        <f>SUM(O35:Z35)</f>
        <v/>
      </c>
      <c r="AC35" s="26" t="n">
        <v>448</v>
      </c>
      <c r="AD35" s="26" t="n">
        <v>448</v>
      </c>
      <c r="AE35" s="26" t="n">
        <v>448</v>
      </c>
      <c r="AF35" s="26" t="n">
        <v>448</v>
      </c>
      <c r="AG35" s="26" t="n">
        <v>448</v>
      </c>
      <c r="AH35" s="26" t="n">
        <v>448</v>
      </c>
      <c r="AI35" s="10">
        <f>SUM(AC35:AH35)</f>
        <v/>
      </c>
      <c r="AJ35" s="26">
        <f>SUM(AC35:AH35)+AI35</f>
        <v/>
      </c>
      <c r="AK35" s="11">
        <f>IF(N35&lt;&gt;0,(AB35-N35)/ABS(N35),0)</f>
        <v/>
      </c>
      <c r="AL35" s="11">
        <f>IF(AB35&lt;&gt;0,(AJ35-AB35)/ABS(AB35),0)</f>
        <v/>
      </c>
    </row>
    <row r="36" ht="13" customHeight="1">
      <c r="A36" s="25" t="inlineStr">
        <is>
          <t xml:space="preserve">    Repairs &amp; Maintenance</t>
        </is>
      </c>
      <c r="B36" s="26" t="n">
        <v>622.5700000000001</v>
      </c>
      <c r="C36" s="26" t="n">
        <v>29.99</v>
      </c>
      <c r="D36" s="26" t="n">
        <v>0</v>
      </c>
      <c r="E36" s="26" t="n">
        <v>0</v>
      </c>
      <c r="F36" s="26" t="n">
        <v>39.52</v>
      </c>
      <c r="G36" s="26" t="n">
        <v>38.49</v>
      </c>
      <c r="H36" s="26" t="n">
        <v>11.88</v>
      </c>
      <c r="I36" s="26" t="n">
        <v>4.99</v>
      </c>
      <c r="J36" s="26" t="n">
        <v>198.21</v>
      </c>
      <c r="K36" s="26" t="n">
        <v>11</v>
      </c>
      <c r="L36" s="26" t="n">
        <v>495.9599999999999</v>
      </c>
      <c r="M36" s="26" t="n">
        <v>747.47</v>
      </c>
      <c r="N36" s="26">
        <f>SUM(B36:M36)</f>
        <v/>
      </c>
      <c r="O36" s="26" t="n">
        <v>0</v>
      </c>
      <c r="P36" s="26" t="n">
        <v>0</v>
      </c>
      <c r="Q36" s="26" t="n">
        <v>246</v>
      </c>
      <c r="R36" s="26" t="n">
        <v>0</v>
      </c>
      <c r="S36" s="26" t="n">
        <v>0</v>
      </c>
      <c r="T36" s="26" t="n">
        <v>46.82</v>
      </c>
      <c r="U36" s="26" t="n">
        <v>135.38</v>
      </c>
      <c r="AA36" s="26">
        <f>SUM(O36:U36)</f>
        <v/>
      </c>
      <c r="AB36" s="26">
        <f>SUM(O36:Z36)</f>
        <v/>
      </c>
      <c r="AC36" s="26" t="n">
        <v>0</v>
      </c>
      <c r="AD36" s="26" t="n">
        <v>0</v>
      </c>
      <c r="AE36" s="26" t="n">
        <v>0</v>
      </c>
      <c r="AF36" s="26" t="n">
        <v>0</v>
      </c>
      <c r="AG36" s="26" t="n">
        <v>0</v>
      </c>
      <c r="AH36" s="26" t="n">
        <v>0</v>
      </c>
      <c r="AI36" s="10">
        <f>SUM(AC36:AH36)</f>
        <v/>
      </c>
      <c r="AJ36" s="26">
        <f>SUM(AC36:AH36)+AI36</f>
        <v/>
      </c>
      <c r="AK36" s="11">
        <f>IF(N36&lt;&gt;0,(AB36-N36)/ABS(N36),0)</f>
        <v/>
      </c>
      <c r="AL36" s="11">
        <f>IF(AB36&lt;&gt;0,(AJ36-AB36)/ABS(AB36),0)</f>
        <v/>
      </c>
    </row>
    <row r="37" ht="13" customHeight="1">
      <c r="A37" s="25" t="inlineStr">
        <is>
          <t xml:space="preserve">    Cleaning</t>
        </is>
      </c>
      <c r="B37" s="26" t="n">
        <v>277.47</v>
      </c>
      <c r="C37" s="26" t="n">
        <v>312.04</v>
      </c>
      <c r="D37" s="26" t="n">
        <v>97.81999999999999</v>
      </c>
      <c r="E37" s="26" t="n">
        <v>304.23</v>
      </c>
      <c r="F37" s="26" t="n">
        <v>397.89</v>
      </c>
      <c r="G37" s="26" t="n">
        <v>132.94</v>
      </c>
      <c r="H37" s="26" t="n">
        <v>215.21</v>
      </c>
      <c r="I37" s="26" t="n">
        <v>111.14</v>
      </c>
      <c r="J37" s="26" t="n">
        <v>34.12</v>
      </c>
      <c r="K37" s="26" t="n">
        <v>237.1</v>
      </c>
      <c r="L37" s="26" t="n">
        <v>312.9</v>
      </c>
      <c r="M37" s="26" t="n">
        <v>226.92</v>
      </c>
      <c r="N37" s="26">
        <f>SUM(B37:M37)</f>
        <v/>
      </c>
      <c r="O37" s="26" t="n">
        <v>30.74</v>
      </c>
      <c r="P37" s="26" t="n">
        <v>116.71</v>
      </c>
      <c r="Q37" s="26" t="n">
        <v>102.81</v>
      </c>
      <c r="R37" s="26" t="n">
        <v>50</v>
      </c>
      <c r="S37" s="26" t="n">
        <v>107.99</v>
      </c>
      <c r="T37" s="26" t="n">
        <v>96.7</v>
      </c>
      <c r="U37" s="26" t="n">
        <v>56.69</v>
      </c>
      <c r="AA37" s="26">
        <f>SUM(O37:U37)</f>
        <v/>
      </c>
      <c r="AB37" s="26">
        <f>SUM(O37:Z37)</f>
        <v/>
      </c>
      <c r="AC37" s="26" t="n">
        <v>210</v>
      </c>
      <c r="AD37" s="26" t="n">
        <v>210</v>
      </c>
      <c r="AE37" s="26" t="n">
        <v>210</v>
      </c>
      <c r="AF37" s="26" t="n">
        <v>210</v>
      </c>
      <c r="AG37" s="26" t="n">
        <v>210</v>
      </c>
      <c r="AH37" s="26" t="n">
        <v>210</v>
      </c>
      <c r="AI37" s="10">
        <f>SUM(AC37:AH37)</f>
        <v/>
      </c>
      <c r="AJ37" s="26">
        <f>SUM(AC37:AH37)+AI37</f>
        <v/>
      </c>
      <c r="AK37" s="11">
        <f>IF(N37&lt;&gt;0,(AB37-N37)/ABS(N37),0)</f>
        <v/>
      </c>
      <c r="AL37" s="11">
        <f>IF(AB37&lt;&gt;0,(AJ37-AB37)/ABS(AB37),0)</f>
        <v/>
      </c>
    </row>
    <row r="38" ht="13" customHeight="1">
      <c r="A38" s="25" t="inlineStr">
        <is>
          <t xml:space="preserve">    Waste Disposal</t>
        </is>
      </c>
      <c r="B38" s="26" t="n">
        <v>204</v>
      </c>
      <c r="C38" s="26" t="n">
        <v>377.46</v>
      </c>
      <c r="D38" s="26" t="n">
        <v>255</v>
      </c>
      <c r="E38" s="26" t="n">
        <v>398.32</v>
      </c>
      <c r="F38" s="26" t="n">
        <v>282.34</v>
      </c>
      <c r="G38" s="26" t="n">
        <v>296.99</v>
      </c>
      <c r="H38" s="26" t="n">
        <v>243.58</v>
      </c>
      <c r="I38" s="26" t="n">
        <v>243.58</v>
      </c>
      <c r="J38" s="26" t="n">
        <v>404.69</v>
      </c>
      <c r="K38" s="26" t="n">
        <v>243.58</v>
      </c>
      <c r="L38" s="26" t="n">
        <v>338.48</v>
      </c>
      <c r="M38" s="26" t="n">
        <v>391.89</v>
      </c>
      <c r="N38" s="26">
        <f>SUM(B38:M38)</f>
        <v/>
      </c>
      <c r="O38" s="26" t="n">
        <v>489.68</v>
      </c>
      <c r="P38" s="26" t="n">
        <v>346.63</v>
      </c>
      <c r="Q38" s="26" t="n">
        <v>500.3299999999999</v>
      </c>
      <c r="R38" s="26" t="n">
        <v>416.6</v>
      </c>
      <c r="S38" s="26" t="n">
        <v>335.56</v>
      </c>
      <c r="T38" s="26" t="n">
        <v>250.9</v>
      </c>
      <c r="U38" s="26" t="n">
        <v>392.52</v>
      </c>
      <c r="AA38" s="26">
        <f>SUM(O38:U38)</f>
        <v/>
      </c>
      <c r="AB38" s="26">
        <f>SUM(O38:Z38)</f>
        <v/>
      </c>
      <c r="AC38" s="26" t="n">
        <v>300</v>
      </c>
      <c r="AD38" s="26" t="n">
        <v>300</v>
      </c>
      <c r="AE38" s="26" t="n">
        <v>300</v>
      </c>
      <c r="AF38" s="26" t="n">
        <v>300</v>
      </c>
      <c r="AG38" s="26" t="n">
        <v>300</v>
      </c>
      <c r="AH38" s="26" t="n">
        <v>300</v>
      </c>
      <c r="AI38" s="10">
        <f>SUM(AC38:AH38)</f>
        <v/>
      </c>
      <c r="AJ38" s="26">
        <f>SUM(AC38:AH38)+AI38</f>
        <v/>
      </c>
      <c r="AK38" s="11">
        <f>IF(N38&lt;&gt;0,(AB38-N38)/ABS(N38),0)</f>
        <v/>
      </c>
      <c r="AL38" s="11">
        <f>IF(AB38&lt;&gt;0,(AJ38-AB38)/ABS(AB38),0)</f>
        <v/>
      </c>
    </row>
    <row r="39" ht="13" customHeight="1">
      <c r="A39" s="25" t="inlineStr">
        <is>
          <t xml:space="preserve">    Postage/Printing/Stationery</t>
        </is>
      </c>
      <c r="B39" s="26" t="n">
        <v>52.02</v>
      </c>
      <c r="C39" s="26" t="n">
        <v>41.97</v>
      </c>
      <c r="D39" s="26" t="n">
        <v>46.18</v>
      </c>
      <c r="E39" s="26" t="n">
        <v>47.3</v>
      </c>
      <c r="F39" s="26" t="n">
        <v>35.68</v>
      </c>
      <c r="G39" s="26" t="n">
        <v>66.40000000000001</v>
      </c>
      <c r="H39" s="26" t="n">
        <v>372.16</v>
      </c>
      <c r="I39" s="26" t="n">
        <v>41.5</v>
      </c>
      <c r="J39" s="26" t="n">
        <v>78.95</v>
      </c>
      <c r="K39" s="26" t="n">
        <v>83.34</v>
      </c>
      <c r="L39" s="26" t="n">
        <v>36.06</v>
      </c>
      <c r="M39" s="26" t="n">
        <v>79.34999999999999</v>
      </c>
      <c r="N39" s="26">
        <f>SUM(B39:M39)</f>
        <v/>
      </c>
      <c r="O39" s="26" t="n">
        <v>31.59</v>
      </c>
      <c r="P39" s="26" t="n">
        <v>82.27</v>
      </c>
      <c r="Q39" s="26" t="n">
        <v>119.08</v>
      </c>
      <c r="R39" s="26" t="n">
        <v>163.25</v>
      </c>
      <c r="S39" s="26" t="n">
        <v>25.98</v>
      </c>
      <c r="T39" s="26" t="n">
        <v>122.27</v>
      </c>
      <c r="U39" s="26" t="n">
        <v>48.27</v>
      </c>
      <c r="AA39" s="26">
        <f>SUM(O39:U39)</f>
        <v/>
      </c>
      <c r="AB39" s="26">
        <f>SUM(O39:Z39)</f>
        <v/>
      </c>
      <c r="AC39" s="26" t="n">
        <v>0</v>
      </c>
      <c r="AD39" s="26" t="n">
        <v>0</v>
      </c>
      <c r="AE39" s="26" t="n">
        <v>0</v>
      </c>
      <c r="AF39" s="26" t="n">
        <v>0</v>
      </c>
      <c r="AG39" s="26" t="n">
        <v>0</v>
      </c>
      <c r="AH39" s="26" t="n">
        <v>0</v>
      </c>
      <c r="AI39" s="10">
        <f>SUM(AC39:AH39)</f>
        <v/>
      </c>
      <c r="AJ39" s="26">
        <f>SUM(AC39:AH39)+AI39</f>
        <v/>
      </c>
      <c r="AK39" s="11">
        <f>IF(N39&lt;&gt;0,(AB39-N39)/ABS(N39),0)</f>
        <v/>
      </c>
      <c r="AL39" s="11">
        <f>IF(AB39&lt;&gt;0,(AJ39-AB39)/ABS(AB39),0)</f>
        <v/>
      </c>
    </row>
    <row r="40" ht="13" customHeight="1">
      <c r="A40" s="25" t="inlineStr">
        <is>
          <t xml:space="preserve">    Telephone</t>
        </is>
      </c>
      <c r="B40" s="26" t="n">
        <v>0</v>
      </c>
      <c r="C40" s="26" t="n">
        <v>0</v>
      </c>
      <c r="D40" s="26" t="n">
        <v>0</v>
      </c>
      <c r="E40" s="26" t="n">
        <v>0</v>
      </c>
      <c r="F40" s="26" t="n">
        <v>0</v>
      </c>
      <c r="G40" s="26" t="n">
        <v>0</v>
      </c>
      <c r="H40" s="26" t="n">
        <v>0</v>
      </c>
      <c r="I40" s="26" t="n">
        <v>0</v>
      </c>
      <c r="J40" s="26" t="n">
        <v>0</v>
      </c>
      <c r="K40" s="26" t="n">
        <v>0</v>
      </c>
      <c r="L40" s="26" t="n">
        <v>0</v>
      </c>
      <c r="M40" s="26" t="n">
        <v>0</v>
      </c>
      <c r="N40" s="26">
        <f>SUM(B40:M40)</f>
        <v/>
      </c>
      <c r="O40" s="26" t="n">
        <v>0</v>
      </c>
      <c r="P40" s="26" t="n">
        <v>0</v>
      </c>
      <c r="Q40" s="26" t="n">
        <v>0</v>
      </c>
      <c r="R40" s="26" t="n">
        <v>0</v>
      </c>
      <c r="S40" s="26" t="n">
        <v>0</v>
      </c>
      <c r="T40" s="26" t="n">
        <v>0</v>
      </c>
      <c r="U40" s="26" t="n">
        <v>0</v>
      </c>
      <c r="V40" s="26" t="n">
        <v>0</v>
      </c>
      <c r="W40" s="26" t="n">
        <v>0</v>
      </c>
      <c r="X40" s="26" t="n">
        <v>0</v>
      </c>
      <c r="Y40" s="26" t="n">
        <v>0</v>
      </c>
      <c r="Z40" s="26" t="n">
        <v>0</v>
      </c>
      <c r="AA40" s="26">
        <f>SUM(O40:U40)</f>
        <v/>
      </c>
      <c r="AB40" s="26">
        <f>SUM(O40:Z40)</f>
        <v/>
      </c>
      <c r="AC40" s="26" t="n">
        <v>0</v>
      </c>
      <c r="AD40" s="26" t="n">
        <v>0</v>
      </c>
      <c r="AE40" s="26" t="n">
        <v>0</v>
      </c>
      <c r="AF40" s="26" t="n">
        <v>0</v>
      </c>
      <c r="AG40" s="26" t="n">
        <v>0</v>
      </c>
      <c r="AH40" s="26" t="n">
        <v>0</v>
      </c>
      <c r="AI40" s="10">
        <f>SUM(AC40:AH40)</f>
        <v/>
      </c>
      <c r="AJ40" s="26">
        <f>SUM(AC40:AH40)+AI40</f>
        <v/>
      </c>
      <c r="AK40" s="11">
        <f>IF(N40&lt;&gt;0,(AB40-N40)/ABS(N40),0)</f>
        <v/>
      </c>
      <c r="AL40" s="11">
        <f>IF(AB40&lt;&gt;0,(AJ40-AB40)/ABS(AB40),0)</f>
        <v/>
      </c>
    </row>
    <row r="41" ht="13" customHeight="1">
      <c r="A41" s="25" t="inlineStr">
        <is>
          <t xml:space="preserve">    Marketing</t>
        </is>
      </c>
      <c r="B41" s="26" t="n">
        <v>0</v>
      </c>
      <c r="C41" s="26" t="n">
        <v>220</v>
      </c>
      <c r="D41" s="26" t="n">
        <v>0</v>
      </c>
      <c r="E41" s="26" t="n">
        <v>0</v>
      </c>
      <c r="F41" s="26" t="n">
        <v>0</v>
      </c>
      <c r="G41" s="26" t="n">
        <v>3.98</v>
      </c>
      <c r="H41" s="26" t="n">
        <v>3.75</v>
      </c>
      <c r="I41" s="26" t="n">
        <v>90</v>
      </c>
      <c r="J41" s="26" t="n">
        <v>0</v>
      </c>
      <c r="K41" s="26" t="n">
        <v>0</v>
      </c>
      <c r="L41" s="26" t="n">
        <v>0</v>
      </c>
      <c r="M41" s="26" t="n">
        <v>0</v>
      </c>
      <c r="N41" s="26">
        <f>SUM(B41:M41)</f>
        <v/>
      </c>
      <c r="O41" s="26" t="n">
        <v>54</v>
      </c>
      <c r="P41" s="26" t="n">
        <v>0</v>
      </c>
      <c r="Q41" s="26" t="n">
        <v>220</v>
      </c>
      <c r="R41" s="26" t="n">
        <v>57</v>
      </c>
      <c r="S41" s="26" t="n">
        <v>0</v>
      </c>
      <c r="T41" s="26" t="n">
        <v>0</v>
      </c>
      <c r="U41" s="26" t="n">
        <v>0</v>
      </c>
      <c r="AA41" s="26">
        <f>SUM(O41:U41)</f>
        <v/>
      </c>
      <c r="AB41" s="26">
        <f>SUM(O41:Z41)</f>
        <v/>
      </c>
      <c r="AC41" s="26" t="n">
        <v>100</v>
      </c>
      <c r="AD41" s="26" t="n">
        <v>100</v>
      </c>
      <c r="AE41" s="26" t="n">
        <v>100</v>
      </c>
      <c r="AF41" s="26" t="n">
        <v>100</v>
      </c>
      <c r="AG41" s="26" t="n">
        <v>100</v>
      </c>
      <c r="AH41" s="26" t="n">
        <v>100</v>
      </c>
      <c r="AI41" s="10">
        <f>SUM(AC41:AH41)</f>
        <v/>
      </c>
      <c r="AJ41" s="26">
        <f>SUM(AC41:AH41)+AI41</f>
        <v/>
      </c>
      <c r="AK41" s="11">
        <f>IF(N41&lt;&gt;0,(AB41-N41)/ABS(N41),0)</f>
        <v/>
      </c>
      <c r="AL41" s="11">
        <f>IF(AB41&lt;&gt;0,(AJ41-AB41)/ABS(AB41),0)</f>
        <v/>
      </c>
    </row>
    <row r="42" ht="13" customHeight="1">
      <c r="A42" s="27" t="inlineStr">
        <is>
          <t>Total Premises &amp; Admin</t>
        </is>
      </c>
      <c r="B42" s="28">
        <f>B33+B34+B35+B36+B37+B38+B39+B40+B41</f>
        <v/>
      </c>
      <c r="C42" s="28">
        <f>C33+C34+C35+C36+C37+C38+C39+C40+C41</f>
        <v/>
      </c>
      <c r="D42" s="28">
        <f>D33+D34+D35+D36+D37+D38+D39+D40+D41</f>
        <v/>
      </c>
      <c r="E42" s="28">
        <f>E33+E34+E35+E36+E37+E38+E39+E40+E41</f>
        <v/>
      </c>
      <c r="F42" s="28">
        <f>F33+F34+F35+F36+F37+F38+F39+F40+F41</f>
        <v/>
      </c>
      <c r="G42" s="28">
        <f>G33+G34+G35+G36+G37+G38+G39+G40+G41</f>
        <v/>
      </c>
      <c r="H42" s="28">
        <f>H33+H34+H35+H36+H37+H38+H39+H40+H41</f>
        <v/>
      </c>
      <c r="I42" s="28">
        <f>I33+I34+I35+I36+I37+I38+I39+I40+I41</f>
        <v/>
      </c>
      <c r="J42" s="28">
        <f>J33+J34+J35+J36+J37+J38+J39+J40+J41</f>
        <v/>
      </c>
      <c r="K42" s="28">
        <f>K33+K34+K35+K36+K37+K38+K39+K40+K41</f>
        <v/>
      </c>
      <c r="L42" s="28">
        <f>L33+L34+L35+L36+L37+L38+L39+L40+L41</f>
        <v/>
      </c>
      <c r="M42" s="28">
        <f>M33+M34+M35+M36+M37+M38+M39+M40+M41</f>
        <v/>
      </c>
      <c r="N42" s="28">
        <f>N33+N34+N35+N36+N37+N38+N39+N40+N41</f>
        <v/>
      </c>
      <c r="O42" s="28">
        <f>O33+O34+O35+O36+O37+O38+O39+O40+O41</f>
        <v/>
      </c>
      <c r="P42" s="28">
        <f>P33+P34+P35+P36+P37+P38+P39+P40+P41</f>
        <v/>
      </c>
      <c r="Q42" s="28">
        <f>Q33+Q34+Q35+Q36+Q37+Q38+Q39+Q40+Q41</f>
        <v/>
      </c>
      <c r="R42" s="28">
        <f>R33+R34+R35+R36+R37+R38+R39+R40+R41</f>
        <v/>
      </c>
      <c r="S42" s="28">
        <f>S33+S34+S35+S36+S37+S38+S39+S40+S41</f>
        <v/>
      </c>
      <c r="T42" s="28">
        <f>T33+T34+T35+T36+T37+T38+T39+T40+T41</f>
        <v/>
      </c>
      <c r="U42" s="28">
        <f>U33+U34+U35+U36+U37+U38+U39+U40+U41</f>
        <v/>
      </c>
      <c r="V42" s="28">
        <f>V33+V34+V35+V36+V37+V38+V39+V40+V41</f>
        <v/>
      </c>
      <c r="W42" s="28">
        <f>W33+W34+W35+W36+W37+W38+W39+W40+W41</f>
        <v/>
      </c>
      <c r="X42" s="28">
        <f>X33+X34+X35+X36+X37+X38+X39+X40+X41</f>
        <v/>
      </c>
      <c r="Y42" s="28">
        <f>Y33+Y34+Y35+Y36+Y37+Y38+Y39+Y40+Y41</f>
        <v/>
      </c>
      <c r="Z42" s="28">
        <f>Z33+Z34+Z35+Z36+Z37+Z38+Z39+Z40+Z41</f>
        <v/>
      </c>
      <c r="AA42" s="28">
        <f>AA33+AA34+AA35+AA36+AA37+AA38+AA39+AA40+AA41</f>
        <v/>
      </c>
      <c r="AB42" s="28">
        <f>AB33+AB34+AB35+AB36+AB37+AB38+AB39+AB40+AB41</f>
        <v/>
      </c>
      <c r="AC42" s="28">
        <f>AC33+AC34+AC35+AC36+AC37+AC38+AC39+AC40+AC41</f>
        <v/>
      </c>
      <c r="AD42" s="28">
        <f>AD33+AD34+AD35+AD36+AD37+AD38+AD39+AD40+AD41</f>
        <v/>
      </c>
      <c r="AE42" s="28">
        <f>AE33+AE34+AE35+AE36+AE37+AE38+AE39+AE40+AE41</f>
        <v/>
      </c>
      <c r="AF42" s="28">
        <f>AF33+AF34+AF35+AF36+AF37+AF38+AF39+AF40+AF41</f>
        <v/>
      </c>
      <c r="AG42" s="28">
        <f>AG33+AG34+AG35+AG36+AG37+AG38+AG39+AG40+AG41</f>
        <v/>
      </c>
      <c r="AH42" s="28">
        <f>AH33+AH34+AH35+AH36+AH37+AH38+AH39+AH40+AH41</f>
        <v/>
      </c>
      <c r="AI42" s="28">
        <f>AI33+AI34+AI35+AI36+AI37+AI38+AI39+AI40+AI41</f>
        <v/>
      </c>
      <c r="AJ42" s="28">
        <f>AJ33+AJ34+AJ35+AJ36+AJ37+AJ38+AJ39+AJ40+AJ41</f>
        <v/>
      </c>
      <c r="AK42" s="11">
        <f>IF(N42&lt;&gt;0,(AB42-N42)/ABS(N42),0)</f>
        <v/>
      </c>
      <c r="AL42" s="11">
        <f>IF(AB42&lt;&gt;0,(AJ42-AB42)/ABS(AB42),0)</f>
        <v/>
      </c>
    </row>
    <row r="43" ht="5" customHeight="1"/>
    <row r="44" ht="13" customHeight="1">
      <c r="A44" s="29" t="inlineStr">
        <is>
          <t>Total Direct Costs</t>
        </is>
      </c>
      <c r="AK44" s="11">
        <f>IF(N44&lt;&gt;0,(AB44-N44)/ABS(N44),0)</f>
        <v/>
      </c>
      <c r="AL44" s="11">
        <f>IF(AB44&lt;&gt;0,(AJ44-AB44)/ABS(AB44),0)</f>
        <v/>
      </c>
    </row>
    <row r="45" ht="5" customHeight="1"/>
    <row r="46" ht="15" customHeight="1">
      <c r="A46" s="30" t="inlineStr">
        <is>
          <t>CONTRIBUTION</t>
        </is>
      </c>
      <c r="B46" s="31">
        <f>B7-B44</f>
        <v/>
      </c>
      <c r="C46" s="31">
        <f>C7-C44</f>
        <v/>
      </c>
      <c r="D46" s="31">
        <f>D7-D44</f>
        <v/>
      </c>
      <c r="E46" s="31">
        <f>E7-E44</f>
        <v/>
      </c>
      <c r="F46" s="31">
        <f>F7-F44</f>
        <v/>
      </c>
      <c r="G46" s="31">
        <f>G7-G44</f>
        <v/>
      </c>
      <c r="H46" s="31">
        <f>H7-H44</f>
        <v/>
      </c>
      <c r="I46" s="31">
        <f>I7-I44</f>
        <v/>
      </c>
      <c r="J46" s="31">
        <f>J7-J44</f>
        <v/>
      </c>
      <c r="K46" s="31">
        <f>K7-K44</f>
        <v/>
      </c>
      <c r="L46" s="31">
        <f>L7-L44</f>
        <v/>
      </c>
      <c r="M46" s="31">
        <f>M7-M44</f>
        <v/>
      </c>
      <c r="N46" s="31">
        <f>N7-N44</f>
        <v/>
      </c>
      <c r="O46" s="31">
        <f>O7-O44</f>
        <v/>
      </c>
      <c r="P46" s="31">
        <f>P7-P44</f>
        <v/>
      </c>
      <c r="Q46" s="31">
        <f>Q7-Q44</f>
        <v/>
      </c>
      <c r="R46" s="31">
        <f>R7-R44</f>
        <v/>
      </c>
      <c r="S46" s="31">
        <f>S7-S44</f>
        <v/>
      </c>
      <c r="T46" s="31">
        <f>T7-T44</f>
        <v/>
      </c>
      <c r="U46" s="31">
        <f>U7-U44</f>
        <v/>
      </c>
      <c r="V46" s="31">
        <f>V7-V44</f>
        <v/>
      </c>
      <c r="W46" s="31">
        <f>W7-W44</f>
        <v/>
      </c>
      <c r="X46" s="31">
        <f>X7-X44</f>
        <v/>
      </c>
      <c r="Y46" s="31">
        <f>Y7-Y44</f>
        <v/>
      </c>
      <c r="Z46" s="31">
        <f>Z7-Z44</f>
        <v/>
      </c>
      <c r="AA46" s="31">
        <f>AA7-AA44</f>
        <v/>
      </c>
      <c r="AB46" s="31">
        <f>AB7-AB44</f>
        <v/>
      </c>
      <c r="AC46" s="31">
        <f>AC7-AC44</f>
        <v/>
      </c>
      <c r="AD46" s="31">
        <f>AD7-AD44</f>
        <v/>
      </c>
      <c r="AE46" s="31">
        <f>AE7-AE44</f>
        <v/>
      </c>
      <c r="AF46" s="31">
        <f>AF7-AF44</f>
        <v/>
      </c>
      <c r="AG46" s="31">
        <f>AG7-AG44</f>
        <v/>
      </c>
      <c r="AH46" s="31">
        <f>AH7-AH44</f>
        <v/>
      </c>
      <c r="AI46" s="31">
        <f>AI7-AI44</f>
        <v/>
      </c>
      <c r="AJ46" s="31">
        <f>AJ7-AJ44</f>
        <v/>
      </c>
      <c r="AK46" s="11">
        <f>IF(N46&lt;&gt;0,(AB46-N46)/ABS(N46),0)</f>
        <v/>
      </c>
      <c r="AL46" s="11">
        <f>IF(AB46&lt;&gt;0,(AJ46-AB46)/ABS(AB46),0)</f>
        <v/>
      </c>
    </row>
  </sheetData>
  <mergeCells count="8">
    <mergeCell ref="A10:AL10"/>
    <mergeCell ref="B1:N1"/>
    <mergeCell ref="A23:AL23"/>
    <mergeCell ref="A32:AL32"/>
    <mergeCell ref="AC1:AJ1"/>
    <mergeCell ref="A9:AL9"/>
    <mergeCell ref="A3:AL3"/>
    <mergeCell ref="O1:A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4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9.5" customWidth="1" min="27" max="27"/>
    <col width="9.5" customWidth="1" min="28" max="28"/>
    <col width="9.5" customWidth="1" min="29" max="29"/>
    <col width="9.5" customWidth="1" min="30" max="30"/>
    <col width="9.5" customWidth="1" min="31" max="31"/>
    <col width="9.5" customWidth="1" min="32" max="32"/>
    <col width="9.5" customWidth="1" min="33" max="33"/>
    <col width="9.5" customWidth="1" min="34" max="34"/>
    <col width="9.5" customWidth="1" min="35" max="35"/>
    <col width="11" customWidth="1" min="36" max="36"/>
    <col width="10" customWidth="1" min="37" max="37"/>
    <col width="10" customWidth="1" min="38" max="38"/>
  </cols>
  <sheetData>
    <row r="1" ht="18" customHeight="1">
      <c r="A1" s="1" t="inlineStr">
        <is>
          <t>Boot Farm</t>
        </is>
      </c>
      <c r="B1" s="2" t="inlineStr">
        <is>
          <t>Actuals 2025</t>
        </is>
      </c>
      <c r="O1" s="2" t="inlineStr">
        <is>
          <t>2026 Actual / Forecast</t>
        </is>
      </c>
      <c r="AC1" s="2" t="inlineStr">
        <is>
          <t>2027 Forecast</t>
        </is>
      </c>
      <c r="AK1" s="3" t="inlineStr">
        <is>
          <t>YoY</t>
        </is>
      </c>
      <c r="AL1" s="3" t="inlineStr">
        <is>
          <t>YoY</t>
        </is>
      </c>
    </row>
    <row r="2" ht="22" customHeight="1">
      <c r="B2" s="4" t="inlineStr">
        <is>
          <t>Jan</t>
        </is>
      </c>
      <c r="C2" s="4" t="inlineStr">
        <is>
          <t>Feb</t>
        </is>
      </c>
      <c r="D2" s="4" t="inlineStr">
        <is>
          <t>Mar</t>
        </is>
      </c>
      <c r="E2" s="4" t="inlineStr">
        <is>
          <t>Apr</t>
        </is>
      </c>
      <c r="F2" s="4" t="inlineStr">
        <is>
          <t>May</t>
        </is>
      </c>
      <c r="G2" s="4" t="inlineStr">
        <is>
          <t>Jun</t>
        </is>
      </c>
      <c r="H2" s="4" t="inlineStr">
        <is>
          <t>Jul</t>
        </is>
      </c>
      <c r="I2" s="4" t="inlineStr">
        <is>
          <t>Aug</t>
        </is>
      </c>
      <c r="J2" s="4" t="inlineStr">
        <is>
          <t>Sep</t>
        </is>
      </c>
      <c r="K2" s="4" t="inlineStr">
        <is>
          <t>Oct</t>
        </is>
      </c>
      <c r="L2" s="4" t="inlineStr">
        <is>
          <t>Nov</t>
        </is>
      </c>
      <c r="M2" s="4" t="inlineStr">
        <is>
          <t>Dec</t>
        </is>
      </c>
      <c r="N2" s="5" t="inlineStr">
        <is>
          <t>FY2025
Total</t>
        </is>
      </c>
      <c r="O2" s="4" t="inlineStr">
        <is>
          <t>Jan</t>
        </is>
      </c>
      <c r="P2" s="4" t="inlineStr">
        <is>
          <t>Feb</t>
        </is>
      </c>
      <c r="Q2" s="4" t="inlineStr">
        <is>
          <t>Mar</t>
        </is>
      </c>
      <c r="R2" s="4" t="inlineStr">
        <is>
          <t>Apr</t>
        </is>
      </c>
      <c r="S2" s="4" t="inlineStr">
        <is>
          <t>May</t>
        </is>
      </c>
      <c r="T2" s="4" t="inlineStr">
        <is>
          <t>Jun</t>
        </is>
      </c>
      <c r="U2" s="4" t="inlineStr">
        <is>
          <t>Jul</t>
        </is>
      </c>
      <c r="V2" s="4" t="inlineStr">
        <is>
          <t>Aug</t>
        </is>
      </c>
      <c r="W2" s="4" t="inlineStr">
        <is>
          <t>Sep</t>
        </is>
      </c>
      <c r="X2" s="4" t="inlineStr">
        <is>
          <t>Oct</t>
        </is>
      </c>
      <c r="Y2" s="4" t="inlineStr">
        <is>
          <t>Nov</t>
        </is>
      </c>
      <c r="Z2" s="4" t="inlineStr">
        <is>
          <t>Dec</t>
        </is>
      </c>
      <c r="AA2" s="4" t="inlineStr">
        <is>
          <t>YTD</t>
        </is>
      </c>
      <c r="AB2" s="5" t="inlineStr">
        <is>
          <t>FY2026
Outlook</t>
        </is>
      </c>
      <c r="AC2" s="4" t="inlineStr">
        <is>
          <t>Jan</t>
        </is>
      </c>
      <c r="AD2" s="4" t="inlineStr">
        <is>
          <t>Feb</t>
        </is>
      </c>
      <c r="AE2" s="4" t="inlineStr">
        <is>
          <t>Mar</t>
        </is>
      </c>
      <c r="AF2" s="4" t="inlineStr">
        <is>
          <t>Apr</t>
        </is>
      </c>
      <c r="AG2" s="4" t="inlineStr">
        <is>
          <t>May</t>
        </is>
      </c>
      <c r="AH2" s="4" t="inlineStr">
        <is>
          <t>Jun</t>
        </is>
      </c>
      <c r="AI2" s="6" t="inlineStr">
        <is>
          <t>Jul-Dec
Proj.</t>
        </is>
      </c>
      <c r="AJ2" s="4" t="inlineStr">
        <is>
          <t>FY2027</t>
        </is>
      </c>
      <c r="AK2" s="6" t="inlineStr">
        <is>
          <t>25→26
%</t>
        </is>
      </c>
      <c r="AL2" s="6" t="inlineStr">
        <is>
          <t>26→27
%</t>
        </is>
      </c>
    </row>
    <row r="3" ht="15" customHeight="1">
      <c r="A3" s="7" t="inlineStr">
        <is>
          <t>INCOME</t>
        </is>
      </c>
    </row>
    <row r="4" ht="13" customHeight="1">
      <c r="A4" s="8" t="inlineStr">
        <is>
          <t xml:space="preserve">    Fee Income Regular</t>
        </is>
      </c>
      <c r="B4" s="9" t="n">
        <v>22608.68</v>
      </c>
      <c r="C4" s="9" t="n">
        <v>22243.72</v>
      </c>
      <c r="D4" s="9" t="n">
        <v>27570.94</v>
      </c>
      <c r="E4" s="9" t="n">
        <v>32753.01</v>
      </c>
      <c r="F4" s="9" t="n">
        <v>29946.42</v>
      </c>
      <c r="G4" s="9" t="n">
        <v>32181.69</v>
      </c>
      <c r="H4" s="9" t="n">
        <v>44859.07</v>
      </c>
      <c r="I4" s="9" t="n">
        <v>41767.17</v>
      </c>
      <c r="J4" s="9" t="n">
        <v>32212.18</v>
      </c>
      <c r="K4" s="9" t="n">
        <v>31485.29</v>
      </c>
      <c r="L4" s="9" t="n">
        <v>27574.28</v>
      </c>
      <c r="M4" s="9" t="n">
        <v>37778.25</v>
      </c>
      <c r="N4" s="9">
        <f>SUM(B4:M4)</f>
        <v/>
      </c>
      <c r="O4" s="9" t="n">
        <v>33113.54000000001</v>
      </c>
      <c r="P4" s="9" t="n">
        <v>31541.7</v>
      </c>
      <c r="Q4" s="9" t="n">
        <v>35742.73</v>
      </c>
      <c r="R4" s="9" t="n">
        <v>40112.94</v>
      </c>
      <c r="S4" s="9" t="n">
        <v>32985.60000000001</v>
      </c>
      <c r="T4" s="9" t="n">
        <v>34775.34</v>
      </c>
      <c r="U4" s="9" t="n">
        <v>43764.87000000001</v>
      </c>
      <c r="AA4" s="9">
        <f>SUM(O4:U4)</f>
        <v/>
      </c>
      <c r="AB4" s="9">
        <f>SUM(O4:Z4)</f>
        <v/>
      </c>
      <c r="AC4" s="9" t="n">
        <v>38106.5</v>
      </c>
      <c r="AD4" s="9" t="n">
        <v>35852.39</v>
      </c>
      <c r="AE4" s="9" t="n">
        <v>43430.94</v>
      </c>
      <c r="AF4" s="9" t="n">
        <v>32359.2</v>
      </c>
      <c r="AG4" s="9" t="n">
        <v>31981.84</v>
      </c>
      <c r="AH4" s="9" t="n">
        <v>34163.18</v>
      </c>
      <c r="AI4" s="10">
        <f>SUM(AC4:AH4)</f>
        <v/>
      </c>
      <c r="AJ4" s="9">
        <f>SUM(AC4:AH4)+AI4</f>
        <v/>
      </c>
      <c r="AK4" s="11">
        <f>IF(N4&lt;&gt;0,(AB4-N4)/ABS(N4),0)</f>
        <v/>
      </c>
      <c r="AL4" s="11">
        <f>IF(AB4&lt;&gt;0,(AJ4-AB4)/ABS(AB4),0)</f>
        <v/>
      </c>
    </row>
    <row r="5" ht="13" customHeight="1">
      <c r="A5" s="8" t="inlineStr">
        <is>
          <t xml:space="preserve">    EEEF Embedded</t>
        </is>
      </c>
      <c r="B5" s="9" t="n">
        <v>5242.38</v>
      </c>
      <c r="C5" s="9" t="n">
        <v>14026.65</v>
      </c>
      <c r="D5" s="9" t="n">
        <v>14026.65</v>
      </c>
      <c r="E5" s="9" t="n">
        <v>5098.36</v>
      </c>
      <c r="F5" s="9" t="n">
        <v>5098.36</v>
      </c>
      <c r="G5" s="9" t="n">
        <v>21148.51</v>
      </c>
      <c r="H5" s="9" t="n">
        <v>21148.51</v>
      </c>
      <c r="I5" s="9" t="n">
        <v>0</v>
      </c>
      <c r="J5" s="9" t="n">
        <v>7047.23</v>
      </c>
      <c r="K5" s="9" t="n">
        <v>18081.4</v>
      </c>
      <c r="L5" s="9" t="n">
        <v>18081.4</v>
      </c>
      <c r="M5" s="9" t="n">
        <v>22099.92</v>
      </c>
      <c r="N5" s="9">
        <f>SUM(B5:M5)</f>
        <v/>
      </c>
      <c r="O5" s="9" t="n">
        <v>8524.280000000001</v>
      </c>
      <c r="P5" s="9" t="n">
        <v>23183.36</v>
      </c>
      <c r="Q5" s="9" t="n">
        <v>27880.5</v>
      </c>
      <c r="R5" s="9" t="n">
        <v>19300.66</v>
      </c>
      <c r="S5" s="9" t="n">
        <v>19300.66</v>
      </c>
      <c r="T5" s="9" t="n">
        <v>19088.16</v>
      </c>
      <c r="U5" s="9" t="n">
        <v>21005.55</v>
      </c>
      <c r="AA5" s="9">
        <f>SUM(O5:U5)</f>
        <v/>
      </c>
      <c r="AB5" s="9">
        <f>SUM(O5:Z5)</f>
        <v/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10">
        <f>SUM(AC5:AH5)</f>
        <v/>
      </c>
      <c r="AJ5" s="9">
        <f>SUM(AC5:AH5)+AI5</f>
        <v/>
      </c>
      <c r="AK5" s="11">
        <f>IF(N5&lt;&gt;0,(AB5-N5)/ABS(N5),0)</f>
        <v/>
      </c>
      <c r="AL5" s="11">
        <f>IF(AB5&lt;&gt;0,(AJ5-AB5)/ABS(AB5),0)</f>
        <v/>
      </c>
    </row>
    <row r="6" ht="13" customHeight="1">
      <c r="A6" s="8" t="inlineStr">
        <is>
          <t xml:space="preserve">    Other Income</t>
        </is>
      </c>
      <c r="B6" s="9" t="n">
        <v>0</v>
      </c>
      <c r="C6" s="9" t="n">
        <v>0</v>
      </c>
      <c r="D6" s="9" t="n">
        <v>0</v>
      </c>
      <c r="E6" s="9" t="n">
        <v>300</v>
      </c>
      <c r="F6" s="9" t="n">
        <v>150</v>
      </c>
      <c r="G6" s="9" t="n">
        <v>2213.27</v>
      </c>
      <c r="H6" s="9" t="n">
        <v>300</v>
      </c>
      <c r="I6" s="9" t="n">
        <v>300</v>
      </c>
      <c r="J6" s="9" t="n">
        <v>150</v>
      </c>
      <c r="K6" s="9" t="n">
        <v>230</v>
      </c>
      <c r="L6" s="9" t="n">
        <v>150</v>
      </c>
      <c r="M6" s="9" t="n">
        <v>150</v>
      </c>
      <c r="N6" s="9">
        <f>SUM(B6:M6)</f>
        <v/>
      </c>
      <c r="O6" s="9" t="n">
        <v>150</v>
      </c>
      <c r="P6" s="9" t="n">
        <v>150</v>
      </c>
      <c r="Q6" s="9" t="n">
        <v>150</v>
      </c>
      <c r="R6" s="9" t="n">
        <v>159.23</v>
      </c>
      <c r="S6" s="9" t="n">
        <v>150</v>
      </c>
      <c r="T6" s="9" t="n">
        <v>150</v>
      </c>
      <c r="U6" s="9" t="n">
        <v>0</v>
      </c>
      <c r="AA6" s="9">
        <f>SUM(O6:U6)</f>
        <v/>
      </c>
      <c r="AB6" s="9">
        <f>SUM(O6:Z6)</f>
        <v/>
      </c>
      <c r="AC6" s="9" t="n">
        <v>0</v>
      </c>
      <c r="AD6" s="9" t="n">
        <v>0</v>
      </c>
      <c r="AE6" s="9" t="n">
        <v>0</v>
      </c>
      <c r="AF6" s="9" t="n">
        <v>0</v>
      </c>
      <c r="AG6" s="9" t="n">
        <v>0</v>
      </c>
      <c r="AH6" s="9" t="n">
        <v>0</v>
      </c>
      <c r="AI6" s="10">
        <f>SUM(AC6:AH6)</f>
        <v/>
      </c>
      <c r="AJ6" s="9">
        <f>SUM(AC6:AH6)+AI6</f>
        <v/>
      </c>
      <c r="AK6" s="11">
        <f>IF(N6&lt;&gt;0,(AB6-N6)/ABS(N6),0)</f>
        <v/>
      </c>
      <c r="AL6" s="11">
        <f>IF(AB6&lt;&gt;0,(AJ6-AB6)/ABS(AB6),0)</f>
        <v/>
      </c>
    </row>
    <row r="7" ht="13" customHeight="1">
      <c r="A7" s="12" t="inlineStr">
        <is>
          <t>Total Income</t>
        </is>
      </c>
      <c r="B7" s="13">
        <f>B4+B5+B6</f>
        <v/>
      </c>
      <c r="C7" s="13">
        <f>C4+C5+C6</f>
        <v/>
      </c>
      <c r="D7" s="13">
        <f>D4+D5+D6</f>
        <v/>
      </c>
      <c r="E7" s="13">
        <f>E4+E5+E6</f>
        <v/>
      </c>
      <c r="F7" s="13">
        <f>F4+F5+F6</f>
        <v/>
      </c>
      <c r="G7" s="13">
        <f>G4+G5+G6</f>
        <v/>
      </c>
      <c r="H7" s="13">
        <f>H4+H5+H6</f>
        <v/>
      </c>
      <c r="I7" s="13">
        <f>I4+I5+I6</f>
        <v/>
      </c>
      <c r="J7" s="13">
        <f>J4+J5+J6</f>
        <v/>
      </c>
      <c r="K7" s="13">
        <f>K4+K5+K6</f>
        <v/>
      </c>
      <c r="L7" s="13">
        <f>L4+L5+L6</f>
        <v/>
      </c>
      <c r="M7" s="13">
        <f>M4+M5+M6</f>
        <v/>
      </c>
      <c r="N7" s="13">
        <f>N4+N5+N6</f>
        <v/>
      </c>
      <c r="O7" s="13">
        <f>O4+O5+O6</f>
        <v/>
      </c>
      <c r="P7" s="13">
        <f>P4+P5+P6</f>
        <v/>
      </c>
      <c r="Q7" s="13">
        <f>Q4+Q5+Q6</f>
        <v/>
      </c>
      <c r="R7" s="13">
        <f>R4+R5+R6</f>
        <v/>
      </c>
      <c r="S7" s="13">
        <f>S4+S5+S6</f>
        <v/>
      </c>
      <c r="T7" s="13">
        <f>T4+T5+T6</f>
        <v/>
      </c>
      <c r="U7" s="13">
        <f>U4+U5+U6</f>
        <v/>
      </c>
      <c r="V7" s="13">
        <f>V4+V5+V6</f>
        <v/>
      </c>
      <c r="W7" s="13">
        <f>W4+W5+W6</f>
        <v/>
      </c>
      <c r="X7" s="13">
        <f>X4+X5+X6</f>
        <v/>
      </c>
      <c r="Y7" s="13">
        <f>Y4+Y5+Y6</f>
        <v/>
      </c>
      <c r="Z7" s="13">
        <f>Z4+Z5+Z6</f>
        <v/>
      </c>
      <c r="AA7" s="13">
        <f>AA4+AA5+AA6</f>
        <v/>
      </c>
      <c r="AB7" s="13">
        <f>AB4+AB5+AB6</f>
        <v/>
      </c>
      <c r="AC7" s="13">
        <f>AC4+AC5+AC6</f>
        <v/>
      </c>
      <c r="AD7" s="13">
        <f>AD4+AD5+AD6</f>
        <v/>
      </c>
      <c r="AE7" s="13">
        <f>AE4+AE5+AE6</f>
        <v/>
      </c>
      <c r="AF7" s="13">
        <f>AF4+AF5+AF6</f>
        <v/>
      </c>
      <c r="AG7" s="13">
        <f>AG4+AG5+AG6</f>
        <v/>
      </c>
      <c r="AH7" s="13">
        <f>AH4+AH5+AH6</f>
        <v/>
      </c>
      <c r="AI7" s="13">
        <f>AI4+AI5+AI6</f>
        <v/>
      </c>
      <c r="AJ7" s="13">
        <f>AJ4+AJ5+AJ6</f>
        <v/>
      </c>
      <c r="AK7" s="11">
        <f>IF(N7&lt;&gt;0,(AB7-N7)/ABS(N7),0)</f>
        <v/>
      </c>
      <c r="AL7" s="11">
        <f>IF(AB7&lt;&gt;0,(AJ7-AB7)/ABS(AB7),0)</f>
        <v/>
      </c>
    </row>
    <row r="8" ht="5" customHeight="1"/>
    <row r="9" ht="15" customHeight="1">
      <c r="A9" s="7" t="inlineStr">
        <is>
          <t>DIRECT COSTS</t>
        </is>
      </c>
    </row>
    <row r="10" ht="13" customHeight="1">
      <c r="A10" s="14" t="inlineStr">
        <is>
          <t>Personnel</t>
        </is>
      </c>
    </row>
    <row r="11" ht="13" customHeight="1">
      <c r="A11" s="15" t="inlineStr">
        <is>
          <t xml:space="preserve">    Nursery Salaries</t>
        </is>
      </c>
      <c r="B11" s="16" t="n">
        <v>14028.96</v>
      </c>
      <c r="C11" s="16" t="n">
        <v>16418.51</v>
      </c>
      <c r="D11" s="16" t="n">
        <v>17522.64</v>
      </c>
      <c r="E11" s="16" t="n">
        <v>18482.09</v>
      </c>
      <c r="F11" s="16" t="n">
        <v>20020.2</v>
      </c>
      <c r="G11" s="16" t="n">
        <v>19124.39</v>
      </c>
      <c r="H11" s="16" t="n">
        <v>19993.06</v>
      </c>
      <c r="I11" s="16" t="n">
        <v>18672.65</v>
      </c>
      <c r="J11" s="16" t="n">
        <v>22682.26</v>
      </c>
      <c r="K11" s="16" t="n">
        <v>23747.06</v>
      </c>
      <c r="L11" s="16" t="n">
        <v>22885.49</v>
      </c>
      <c r="M11" s="16" t="n">
        <v>23532.82</v>
      </c>
      <c r="N11" s="16">
        <f>SUM(B11:M11)</f>
        <v/>
      </c>
      <c r="O11" s="16" t="n">
        <v>21737.98</v>
      </c>
      <c r="P11" s="16" t="n">
        <v>23681.85</v>
      </c>
      <c r="Q11" s="16" t="n">
        <v>23572.62</v>
      </c>
      <c r="R11" s="16" t="n">
        <v>22709.62</v>
      </c>
      <c r="S11" s="16" t="n">
        <v>24378.86</v>
      </c>
      <c r="T11" s="16" t="n">
        <v>25046.45</v>
      </c>
      <c r="U11" s="16" t="n">
        <v>26811.22</v>
      </c>
      <c r="AA11" s="16">
        <f>SUM(O11:U11)</f>
        <v/>
      </c>
      <c r="AB11" s="16">
        <f>SUM(O11:Z11)</f>
        <v/>
      </c>
      <c r="AC11" s="16" t="n">
        <v>24045</v>
      </c>
      <c r="AD11" s="16" t="n">
        <v>24045</v>
      </c>
      <c r="AE11" s="16" t="n">
        <v>24045</v>
      </c>
      <c r="AF11" s="16" t="n">
        <v>24045</v>
      </c>
      <c r="AG11" s="16" t="n">
        <v>24045</v>
      </c>
      <c r="AH11" s="16" t="n">
        <v>24045</v>
      </c>
      <c r="AI11" s="10">
        <f>SUM(AC11:AH11)</f>
        <v/>
      </c>
      <c r="AJ11" s="16">
        <f>SUM(AC11:AH11)+AI11</f>
        <v/>
      </c>
      <c r="AK11" s="11">
        <f>IF(N11&lt;&gt;0,(AB11-N11)/ABS(N11),0)</f>
        <v/>
      </c>
      <c r="AL11" s="11">
        <f>IF(AB11&lt;&gt;0,(AJ11-AB11)/ABS(AB11),0)</f>
        <v/>
      </c>
    </row>
    <row r="12" ht="13" customHeight="1">
      <c r="A12" s="15" t="inlineStr">
        <is>
          <t xml:space="preserve">    Nursery NI</t>
        </is>
      </c>
      <c r="B12" s="16" t="n">
        <v>1203.75</v>
      </c>
      <c r="C12" s="16" t="n">
        <v>1428.91</v>
      </c>
      <c r="D12" s="16" t="n">
        <v>1476.68</v>
      </c>
      <c r="E12" s="16" t="n">
        <v>2209.36</v>
      </c>
      <c r="F12" s="16" t="n">
        <v>2440.06</v>
      </c>
      <c r="G12" s="16" t="n">
        <v>2305.71</v>
      </c>
      <c r="H12" s="16" t="n">
        <v>2435.99</v>
      </c>
      <c r="I12" s="16" t="n">
        <v>2237.92</v>
      </c>
      <c r="J12" s="16" t="n">
        <v>2496.6</v>
      </c>
      <c r="K12" s="16" t="n">
        <v>2529.67</v>
      </c>
      <c r="L12" s="16" t="n">
        <v>2509.06</v>
      </c>
      <c r="M12" s="16" t="n">
        <v>2620.8</v>
      </c>
      <c r="N12" s="16">
        <f>SUM(B12:M12)</f>
        <v/>
      </c>
      <c r="O12" s="16" t="n">
        <v>2278.05</v>
      </c>
      <c r="P12" s="16" t="n">
        <v>2565.96</v>
      </c>
      <c r="Q12" s="16" t="n">
        <v>2663.88</v>
      </c>
      <c r="R12" s="16" t="n">
        <v>2675.84</v>
      </c>
      <c r="S12" s="16" t="n">
        <v>2716.1</v>
      </c>
      <c r="T12" s="16" t="n">
        <v>2746.05</v>
      </c>
      <c r="U12" s="16" t="n">
        <v>2955.86</v>
      </c>
      <c r="AA12" s="16">
        <f>SUM(O12:U12)</f>
        <v/>
      </c>
      <c r="AB12" s="16">
        <f>SUM(O12:Z12)</f>
        <v/>
      </c>
      <c r="AC12" s="16" t="n">
        <v>2713</v>
      </c>
      <c r="AD12" s="16" t="n">
        <v>2713</v>
      </c>
      <c r="AE12" s="16" t="n">
        <v>2713</v>
      </c>
      <c r="AF12" s="16" t="n">
        <v>2713</v>
      </c>
      <c r="AG12" s="16" t="n">
        <v>2713</v>
      </c>
      <c r="AH12" s="16" t="n">
        <v>2713</v>
      </c>
      <c r="AI12" s="10">
        <f>SUM(AC12:AH12)</f>
        <v/>
      </c>
      <c r="AJ12" s="16">
        <f>SUM(AC12:AH12)+AI12</f>
        <v/>
      </c>
      <c r="AK12" s="11">
        <f>IF(N12&lt;&gt;0,(AB12-N12)/ABS(N12),0)</f>
        <v/>
      </c>
      <c r="AL12" s="11">
        <f>IF(AB12&lt;&gt;0,(AJ12-AB12)/ABS(AB12),0)</f>
        <v/>
      </c>
    </row>
    <row r="13" ht="13" customHeight="1">
      <c r="A13" s="15" t="inlineStr">
        <is>
          <t xml:space="preserve">    Nursery Pension</t>
        </is>
      </c>
      <c r="B13" s="16" t="n">
        <v>311.63</v>
      </c>
      <c r="C13" s="16" t="n">
        <v>367.72</v>
      </c>
      <c r="D13" s="16" t="n">
        <v>365.22</v>
      </c>
      <c r="E13" s="16" t="n">
        <v>382.57</v>
      </c>
      <c r="F13" s="16" t="n">
        <v>424.4</v>
      </c>
      <c r="G13" s="16" t="n">
        <v>305.58</v>
      </c>
      <c r="H13" s="16" t="n">
        <v>307.23</v>
      </c>
      <c r="I13" s="16" t="n">
        <v>283.62</v>
      </c>
      <c r="J13" s="16" t="n">
        <v>355.96</v>
      </c>
      <c r="K13" s="16" t="n">
        <v>382.65</v>
      </c>
      <c r="L13" s="16" t="n">
        <v>386.03</v>
      </c>
      <c r="M13" s="16" t="n">
        <v>392.32</v>
      </c>
      <c r="N13" s="16">
        <f>SUM(B13:M13)</f>
        <v/>
      </c>
      <c r="O13" s="16" t="n">
        <v>315.27</v>
      </c>
      <c r="P13" s="16" t="n">
        <v>466.06</v>
      </c>
      <c r="Q13" s="16" t="n">
        <v>442.88</v>
      </c>
      <c r="R13" s="16" t="n">
        <v>419.77</v>
      </c>
      <c r="S13" s="16" t="n">
        <v>440.94</v>
      </c>
      <c r="T13" s="16" t="n">
        <v>498.05</v>
      </c>
      <c r="U13" s="16" t="n">
        <v>494.63</v>
      </c>
      <c r="AA13" s="16">
        <f>SUM(O13:U13)</f>
        <v/>
      </c>
      <c r="AB13" s="16">
        <f>SUM(O13:Z13)</f>
        <v/>
      </c>
      <c r="AC13" s="16" t="n">
        <v>453</v>
      </c>
      <c r="AD13" s="16" t="n">
        <v>453</v>
      </c>
      <c r="AE13" s="16" t="n">
        <v>453</v>
      </c>
      <c r="AF13" s="16" t="n">
        <v>453</v>
      </c>
      <c r="AG13" s="16" t="n">
        <v>453</v>
      </c>
      <c r="AH13" s="16" t="n">
        <v>453</v>
      </c>
      <c r="AI13" s="10">
        <f>SUM(AC13:AH13)</f>
        <v/>
      </c>
      <c r="AJ13" s="16">
        <f>SUM(AC13:AH13)+AI13</f>
        <v/>
      </c>
      <c r="AK13" s="11">
        <f>IF(N13&lt;&gt;0,(AB13-N13)/ABS(N13),0)</f>
        <v/>
      </c>
      <c r="AL13" s="11">
        <f>IF(AB13&lt;&gt;0,(AJ13-AB13)/ABS(AB13),0)</f>
        <v/>
      </c>
    </row>
    <row r="14" ht="13" customHeight="1">
      <c r="A14" s="15" t="inlineStr">
        <is>
          <t xml:space="preserve">    Uniform</t>
        </is>
      </c>
      <c r="B14" s="16" t="n">
        <v>0</v>
      </c>
      <c r="C14" s="16" t="n">
        <v>0</v>
      </c>
      <c r="D14" s="16" t="n">
        <v>166.92</v>
      </c>
      <c r="E14" s="16" t="n">
        <v>0</v>
      </c>
      <c r="F14" s="16" t="n">
        <v>0</v>
      </c>
      <c r="G14" s="16" t="n">
        <v>155.16</v>
      </c>
      <c r="H14" s="16" t="n">
        <v>0</v>
      </c>
      <c r="I14" s="16" t="n">
        <v>0</v>
      </c>
      <c r="J14" s="16" t="n">
        <v>274.38</v>
      </c>
      <c r="K14" s="16" t="n">
        <v>0</v>
      </c>
      <c r="L14" s="16" t="n">
        <v>0</v>
      </c>
      <c r="M14" s="16" t="n">
        <v>0</v>
      </c>
      <c r="N14" s="16">
        <f>SUM(B14:M14)</f>
        <v/>
      </c>
      <c r="O14" s="16" t="n">
        <v>97.73999999999999</v>
      </c>
      <c r="P14" s="16" t="n">
        <v>0</v>
      </c>
      <c r="Q14" s="16" t="n">
        <v>0</v>
      </c>
      <c r="R14" s="16" t="n">
        <v>0</v>
      </c>
      <c r="S14" s="16" t="n">
        <v>55.43</v>
      </c>
      <c r="T14" s="16" t="n">
        <v>178.56</v>
      </c>
      <c r="U14" s="16" t="n">
        <v>79.68000000000001</v>
      </c>
      <c r="AA14" s="16">
        <f>SUM(O14:U14)</f>
        <v/>
      </c>
      <c r="AB14" s="16">
        <f>SUM(O14:Z14)</f>
        <v/>
      </c>
      <c r="AC14" s="16" t="n">
        <v>49</v>
      </c>
      <c r="AD14" s="16" t="n">
        <v>49</v>
      </c>
      <c r="AE14" s="16" t="n">
        <v>49</v>
      </c>
      <c r="AF14" s="16" t="n">
        <v>49</v>
      </c>
      <c r="AG14" s="16" t="n">
        <v>49</v>
      </c>
      <c r="AH14" s="16" t="n">
        <v>49</v>
      </c>
      <c r="AI14" s="10">
        <f>SUM(AC14:AH14)</f>
        <v/>
      </c>
      <c r="AJ14" s="16">
        <f>SUM(AC14:AH14)+AI14</f>
        <v/>
      </c>
      <c r="AK14" s="11">
        <f>IF(N14&lt;&gt;0,(AB14-N14)/ABS(N14),0)</f>
        <v/>
      </c>
      <c r="AL14" s="11">
        <f>IF(AB14&lt;&gt;0,(AJ14-AB14)/ABS(AB14),0)</f>
        <v/>
      </c>
    </row>
    <row r="15" ht="13" customHeight="1">
      <c r="A15" s="15" t="inlineStr">
        <is>
          <t xml:space="preserve">    Training</t>
        </is>
      </c>
      <c r="B15" s="16" t="n">
        <v>97.90000000000001</v>
      </c>
      <c r="C15" s="16" t="n">
        <v>24.95</v>
      </c>
      <c r="D15" s="16" t="n">
        <v>53.94</v>
      </c>
      <c r="E15" s="16" t="n">
        <v>109.2</v>
      </c>
      <c r="F15" s="16" t="n">
        <v>36</v>
      </c>
      <c r="G15" s="16" t="n">
        <v>29.94</v>
      </c>
      <c r="H15" s="16" t="n">
        <v>0</v>
      </c>
      <c r="I15" s="16" t="n">
        <v>74.40000000000001</v>
      </c>
      <c r="J15" s="16" t="n">
        <v>387.94</v>
      </c>
      <c r="K15" s="16" t="n">
        <v>115.2</v>
      </c>
      <c r="L15" s="16" t="n">
        <v>45</v>
      </c>
      <c r="M15" s="16" t="n">
        <v>636.5</v>
      </c>
      <c r="N15" s="16">
        <f>SUM(B15:M15)</f>
        <v/>
      </c>
      <c r="O15" s="16" t="n">
        <v>666.6700000000001</v>
      </c>
      <c r="P15" s="16" t="n">
        <v>78</v>
      </c>
      <c r="Q15" s="16" t="n">
        <v>0</v>
      </c>
      <c r="R15" s="16" t="n">
        <v>10</v>
      </c>
      <c r="S15" s="16" t="n">
        <v>78</v>
      </c>
      <c r="T15" s="16" t="n">
        <v>0</v>
      </c>
      <c r="U15" s="16" t="n">
        <v>0</v>
      </c>
      <c r="AA15" s="16">
        <f>SUM(O15:U15)</f>
        <v/>
      </c>
      <c r="AB15" s="16">
        <f>SUM(O15:Z15)</f>
        <v/>
      </c>
      <c r="AC15" s="16" t="n">
        <v>100</v>
      </c>
      <c r="AD15" s="16" t="n">
        <v>100</v>
      </c>
      <c r="AE15" s="16" t="n">
        <v>100</v>
      </c>
      <c r="AF15" s="16" t="n">
        <v>100</v>
      </c>
      <c r="AG15" s="16" t="n">
        <v>100</v>
      </c>
      <c r="AH15" s="16" t="n">
        <v>100</v>
      </c>
      <c r="AI15" s="10">
        <f>SUM(AC15:AH15)</f>
        <v/>
      </c>
      <c r="AJ15" s="16">
        <f>SUM(AC15:AH15)+AI15</f>
        <v/>
      </c>
      <c r="AK15" s="11">
        <f>IF(N15&lt;&gt;0,(AB15-N15)/ABS(N15),0)</f>
        <v/>
      </c>
      <c r="AL15" s="11">
        <f>IF(AB15&lt;&gt;0,(AJ15-AB15)/ABS(AB15),0)</f>
        <v/>
      </c>
    </row>
    <row r="16" ht="13" customHeight="1">
      <c r="A16" s="15" t="inlineStr">
        <is>
          <t xml:space="preserve">    Staff Welfare</t>
        </is>
      </c>
      <c r="B16" s="16" t="n">
        <v>6</v>
      </c>
      <c r="C16" s="16" t="n">
        <v>169.43</v>
      </c>
      <c r="D16" s="16" t="n">
        <v>78.2</v>
      </c>
      <c r="E16" s="16" t="n">
        <v>155.13</v>
      </c>
      <c r="F16" s="16" t="n">
        <v>174.31</v>
      </c>
      <c r="G16" s="16" t="n">
        <v>86.18000000000001</v>
      </c>
      <c r="H16" s="16" t="n">
        <v>68.59999999999999</v>
      </c>
      <c r="I16" s="16" t="n">
        <v>55.43</v>
      </c>
      <c r="J16" s="16" t="n">
        <v>96.39</v>
      </c>
      <c r="K16" s="16" t="n">
        <v>12.05</v>
      </c>
      <c r="L16" s="16" t="n">
        <v>77.67</v>
      </c>
      <c r="M16" s="16" t="n">
        <v>88.14</v>
      </c>
      <c r="N16" s="16">
        <f>SUM(B16:M16)</f>
        <v/>
      </c>
      <c r="O16" s="16" t="n">
        <v>73.11</v>
      </c>
      <c r="P16" s="16" t="n">
        <v>37.21</v>
      </c>
      <c r="Q16" s="16" t="n">
        <v>47.72</v>
      </c>
      <c r="R16" s="16" t="n">
        <v>77.59999999999999</v>
      </c>
      <c r="S16" s="16" t="n">
        <v>66.87</v>
      </c>
      <c r="T16" s="16" t="n">
        <v>100.93</v>
      </c>
      <c r="U16" s="16" t="n">
        <v>26.72</v>
      </c>
      <c r="AA16" s="16">
        <f>SUM(O16:U16)</f>
        <v/>
      </c>
      <c r="AB16" s="16">
        <f>SUM(O16:Z16)</f>
        <v/>
      </c>
      <c r="AC16" s="16" t="n">
        <v>100</v>
      </c>
      <c r="AD16" s="16" t="n">
        <v>100</v>
      </c>
      <c r="AE16" s="16" t="n">
        <v>100</v>
      </c>
      <c r="AF16" s="16" t="n">
        <v>100</v>
      </c>
      <c r="AG16" s="16" t="n">
        <v>100</v>
      </c>
      <c r="AH16" s="16" t="n">
        <v>100</v>
      </c>
      <c r="AI16" s="10">
        <f>SUM(AC16:AH16)</f>
        <v/>
      </c>
      <c r="AJ16" s="16">
        <f>SUM(AC16:AH16)+AI16</f>
        <v/>
      </c>
      <c r="AK16" s="11">
        <f>IF(N16&lt;&gt;0,(AB16-N16)/ABS(N16),0)</f>
        <v/>
      </c>
      <c r="AL16" s="11">
        <f>IF(AB16&lt;&gt;0,(AJ16-AB16)/ABS(AB16),0)</f>
        <v/>
      </c>
    </row>
    <row r="17" ht="13" customHeight="1">
      <c r="A17" s="15" t="inlineStr">
        <is>
          <t xml:space="preserve">    Recruitment</t>
        </is>
      </c>
      <c r="B17" s="16" t="n">
        <v>0</v>
      </c>
      <c r="C17" s="16" t="n">
        <v>0</v>
      </c>
      <c r="D17" s="16" t="n">
        <v>0</v>
      </c>
      <c r="E17" s="16" t="n">
        <v>0</v>
      </c>
      <c r="F17" s="16" t="n">
        <v>0</v>
      </c>
      <c r="G17" s="16" t="n">
        <v>0</v>
      </c>
      <c r="H17" s="16" t="n">
        <v>0</v>
      </c>
      <c r="I17" s="16" t="n">
        <v>0</v>
      </c>
      <c r="J17" s="16" t="n">
        <v>0</v>
      </c>
      <c r="K17" s="16" t="n">
        <v>0</v>
      </c>
      <c r="L17" s="16" t="n">
        <v>0</v>
      </c>
      <c r="M17" s="16" t="n">
        <v>0</v>
      </c>
      <c r="N17" s="16">
        <f>SUM(B17:M17)</f>
        <v/>
      </c>
      <c r="O17" s="16" t="n">
        <v>0</v>
      </c>
      <c r="P17" s="16" t="n">
        <v>0</v>
      </c>
      <c r="Q17" s="16" t="n">
        <v>0</v>
      </c>
      <c r="R17" s="16" t="n">
        <v>0</v>
      </c>
      <c r="S17" s="16" t="n">
        <v>0</v>
      </c>
      <c r="T17" s="16" t="n">
        <v>0</v>
      </c>
      <c r="U17" s="16" t="n">
        <v>0</v>
      </c>
      <c r="V17" s="16" t="n">
        <v>0</v>
      </c>
      <c r="W17" s="16" t="n">
        <v>0</v>
      </c>
      <c r="X17" s="16" t="n">
        <v>0</v>
      </c>
      <c r="Y17" s="16" t="n">
        <v>0</v>
      </c>
      <c r="Z17" s="16" t="n">
        <v>0</v>
      </c>
      <c r="AA17" s="16">
        <f>SUM(O17:U17)</f>
        <v/>
      </c>
      <c r="AB17" s="16">
        <f>SUM(O17:Z17)</f>
        <v/>
      </c>
      <c r="AC17" s="16" t="n">
        <v>0</v>
      </c>
      <c r="AD17" s="16" t="n">
        <v>0</v>
      </c>
      <c r="AE17" s="16" t="n">
        <v>0</v>
      </c>
      <c r="AF17" s="16" t="n">
        <v>0</v>
      </c>
      <c r="AG17" s="16" t="n">
        <v>0</v>
      </c>
      <c r="AH17" s="16" t="n">
        <v>0</v>
      </c>
      <c r="AI17" s="10">
        <f>SUM(AC17:AH17)</f>
        <v/>
      </c>
      <c r="AJ17" s="16">
        <f>SUM(AC17:AH17)+AI17</f>
        <v/>
      </c>
      <c r="AK17" s="11">
        <f>IF(N17&lt;&gt;0,(AB17-N17)/ABS(N17),0)</f>
        <v/>
      </c>
      <c r="AL17" s="11">
        <f>IF(AB17&lt;&gt;0,(AJ17-AB17)/ABS(AB17),0)</f>
        <v/>
      </c>
    </row>
    <row r="18" ht="13" customHeight="1">
      <c r="A18" s="15" t="inlineStr">
        <is>
          <t xml:space="preserve">    Rewards &amp; Recognition</t>
        </is>
      </c>
      <c r="B18" s="16" t="n">
        <v>0</v>
      </c>
      <c r="C18" s="16" t="n">
        <v>0</v>
      </c>
      <c r="D18" s="16" t="n">
        <v>0</v>
      </c>
      <c r="E18" s="16" t="n">
        <v>0</v>
      </c>
      <c r="F18" s="16" t="n">
        <v>0</v>
      </c>
      <c r="G18" s="16" t="n">
        <v>0</v>
      </c>
      <c r="H18" s="16" t="n">
        <v>45</v>
      </c>
      <c r="I18" s="16" t="n">
        <v>0</v>
      </c>
      <c r="J18" s="16" t="n">
        <v>62.98</v>
      </c>
      <c r="K18" s="16" t="n">
        <v>32.48</v>
      </c>
      <c r="L18" s="16" t="n">
        <v>14.88</v>
      </c>
      <c r="M18" s="16" t="n">
        <v>130.64</v>
      </c>
      <c r="N18" s="16">
        <f>SUM(B18:M18)</f>
        <v/>
      </c>
      <c r="O18" s="16" t="n">
        <v>18.95</v>
      </c>
      <c r="P18" s="16" t="n">
        <v>58.3</v>
      </c>
      <c r="Q18" s="16" t="n">
        <v>0</v>
      </c>
      <c r="R18" s="16" t="n">
        <v>0</v>
      </c>
      <c r="S18" s="16" t="n">
        <v>0</v>
      </c>
      <c r="T18" s="16" t="n">
        <v>0</v>
      </c>
      <c r="U18" s="16" t="n">
        <v>74.22</v>
      </c>
      <c r="AA18" s="16">
        <f>SUM(O18:U18)</f>
        <v/>
      </c>
      <c r="AB18" s="16">
        <f>SUM(O18:Z18)</f>
        <v/>
      </c>
      <c r="AC18" s="16" t="n">
        <v>42</v>
      </c>
      <c r="AD18" s="16" t="n">
        <v>42</v>
      </c>
      <c r="AE18" s="16" t="n">
        <v>42</v>
      </c>
      <c r="AF18" s="16" t="n">
        <v>42</v>
      </c>
      <c r="AG18" s="16" t="n">
        <v>42</v>
      </c>
      <c r="AH18" s="16" t="n">
        <v>42</v>
      </c>
      <c r="AI18" s="10">
        <f>SUM(AC18:AH18)</f>
        <v/>
      </c>
      <c r="AJ18" s="16">
        <f>SUM(AC18:AH18)+AI18</f>
        <v/>
      </c>
      <c r="AK18" s="11">
        <f>IF(N18&lt;&gt;0,(AB18-N18)/ABS(N18),0)</f>
        <v/>
      </c>
      <c r="AL18" s="11">
        <f>IF(AB18&lt;&gt;0,(AJ18-AB18)/ABS(AB18),0)</f>
        <v/>
      </c>
    </row>
    <row r="19" ht="13" customHeight="1">
      <c r="A19" s="15" t="inlineStr">
        <is>
          <t xml:space="preserve">    Temps</t>
        </is>
      </c>
      <c r="B19" s="16" t="n">
        <v>0</v>
      </c>
      <c r="C19" s="16" t="n">
        <v>0</v>
      </c>
      <c r="D19" s="16" t="n">
        <v>0</v>
      </c>
      <c r="E19" s="16" t="n">
        <v>0</v>
      </c>
      <c r="F19" s="16" t="n">
        <v>0</v>
      </c>
      <c r="G19" s="16" t="n">
        <v>0</v>
      </c>
      <c r="H19" s="16" t="n">
        <v>0</v>
      </c>
      <c r="I19" s="16" t="n">
        <v>0</v>
      </c>
      <c r="J19" s="16" t="n">
        <v>0</v>
      </c>
      <c r="K19" s="16" t="n">
        <v>0</v>
      </c>
      <c r="L19" s="16" t="n">
        <v>0</v>
      </c>
      <c r="M19" s="16" t="n">
        <v>0</v>
      </c>
      <c r="N19" s="16">
        <f>SUM(B19:M19)</f>
        <v/>
      </c>
      <c r="O19" s="16" t="n">
        <v>0</v>
      </c>
      <c r="P19" s="16" t="n">
        <v>0</v>
      </c>
      <c r="Q19" s="16" t="n">
        <v>0</v>
      </c>
      <c r="R19" s="16" t="n">
        <v>0</v>
      </c>
      <c r="S19" s="16" t="n">
        <v>0</v>
      </c>
      <c r="T19" s="16" t="n">
        <v>0</v>
      </c>
      <c r="U19" s="16" t="n">
        <v>0</v>
      </c>
      <c r="V19" s="16" t="n">
        <v>0</v>
      </c>
      <c r="W19" s="16" t="n">
        <v>0</v>
      </c>
      <c r="X19" s="16" t="n">
        <v>0</v>
      </c>
      <c r="Y19" s="16" t="n">
        <v>0</v>
      </c>
      <c r="Z19" s="16" t="n">
        <v>0</v>
      </c>
      <c r="AA19" s="16">
        <f>SUM(O19:U19)</f>
        <v/>
      </c>
      <c r="AB19" s="16">
        <f>SUM(O19:Z19)</f>
        <v/>
      </c>
      <c r="AC19" s="16" t="n">
        <v>0</v>
      </c>
      <c r="AD19" s="16" t="n">
        <v>0</v>
      </c>
      <c r="AE19" s="16" t="n">
        <v>0</v>
      </c>
      <c r="AF19" s="16" t="n">
        <v>0</v>
      </c>
      <c r="AG19" s="16" t="n">
        <v>0</v>
      </c>
      <c r="AH19" s="16" t="n">
        <v>0</v>
      </c>
      <c r="AI19" s="10">
        <f>SUM(AC19:AH19)</f>
        <v/>
      </c>
      <c r="AJ19" s="16">
        <f>SUM(AC19:AH19)+AI19</f>
        <v/>
      </c>
      <c r="AK19" s="11">
        <f>IF(N19&lt;&gt;0,(AB19-N19)/ABS(N19),0)</f>
        <v/>
      </c>
      <c r="AL19" s="11">
        <f>IF(AB19&lt;&gt;0,(AJ19-AB19)/ABS(AB19),0)</f>
        <v/>
      </c>
    </row>
    <row r="20" ht="13" customHeight="1">
      <c r="A20" s="17" t="inlineStr">
        <is>
          <t>Total Personnel</t>
        </is>
      </c>
      <c r="B20" s="18">
        <f>B11+B12+B13+B14+B15+B16+B17+B18+B19</f>
        <v/>
      </c>
      <c r="C20" s="18">
        <f>C11+C12+C13+C14+C15+C16+C17+C18+C19</f>
        <v/>
      </c>
      <c r="D20" s="18">
        <f>D11+D12+D13+D14+D15+D16+D17+D18+D19</f>
        <v/>
      </c>
      <c r="E20" s="18">
        <f>E11+E12+E13+E14+E15+E16+E17+E18+E19</f>
        <v/>
      </c>
      <c r="F20" s="18">
        <f>F11+F12+F13+F14+F15+F16+F17+F18+F19</f>
        <v/>
      </c>
      <c r="G20" s="18">
        <f>G11+G12+G13+G14+G15+G16+G17+G18+G19</f>
        <v/>
      </c>
      <c r="H20" s="18">
        <f>H11+H12+H13+H14+H15+H16+H17+H18+H19</f>
        <v/>
      </c>
      <c r="I20" s="18">
        <f>I11+I12+I13+I14+I15+I16+I17+I18+I19</f>
        <v/>
      </c>
      <c r="J20" s="18">
        <f>J11+J12+J13+J14+J15+J16+J17+J18+J19</f>
        <v/>
      </c>
      <c r="K20" s="18">
        <f>K11+K12+K13+K14+K15+K16+K17+K18+K19</f>
        <v/>
      </c>
      <c r="L20" s="18">
        <f>L11+L12+L13+L14+L15+L16+L17+L18+L19</f>
        <v/>
      </c>
      <c r="M20" s="18">
        <f>M11+M12+M13+M14+M15+M16+M17+M18+M19</f>
        <v/>
      </c>
      <c r="N20" s="18">
        <f>N11+N12+N13+N14+N15+N16+N17+N18+N19</f>
        <v/>
      </c>
      <c r="O20" s="18">
        <f>O11+O12+O13+O14+O15+O16+O17+O18+O19</f>
        <v/>
      </c>
      <c r="P20" s="18">
        <f>P11+P12+P13+P14+P15+P16+P17+P18+P19</f>
        <v/>
      </c>
      <c r="Q20" s="18">
        <f>Q11+Q12+Q13+Q14+Q15+Q16+Q17+Q18+Q19</f>
        <v/>
      </c>
      <c r="R20" s="18">
        <f>R11+R12+R13+R14+R15+R16+R17+R18+R19</f>
        <v/>
      </c>
      <c r="S20" s="18">
        <f>S11+S12+S13+S14+S15+S16+S17+S18+S19</f>
        <v/>
      </c>
      <c r="T20" s="18">
        <f>T11+T12+T13+T14+T15+T16+T17+T18+T19</f>
        <v/>
      </c>
      <c r="U20" s="18">
        <f>U11+U12+U13+U14+U15+U16+U17+U18+U19</f>
        <v/>
      </c>
      <c r="V20" s="18">
        <f>V11+V12+V13+V14+V15+V16+V17+V18+V19</f>
        <v/>
      </c>
      <c r="W20" s="18">
        <f>W11+W12+W13+W14+W15+W16+W17+W18+W19</f>
        <v/>
      </c>
      <c r="X20" s="18">
        <f>X11+X12+X13+X14+X15+X16+X17+X18+X19</f>
        <v/>
      </c>
      <c r="Y20" s="18">
        <f>Y11+Y12+Y13+Y14+Y15+Y16+Y17+Y18+Y19</f>
        <v/>
      </c>
      <c r="Z20" s="18">
        <f>Z11+Z12+Z13+Z14+Z15+Z16+Z17+Z18+Z19</f>
        <v/>
      </c>
      <c r="AA20" s="18">
        <f>AA11+AA12+AA13+AA14+AA15+AA16+AA17+AA18+AA19</f>
        <v/>
      </c>
      <c r="AB20" s="18">
        <f>AB11+AB12+AB13+AB14+AB15+AB16+AB17+AB18+AB19</f>
        <v/>
      </c>
      <c r="AC20" s="18">
        <f>AC11+AC12+AC13+AC14+AC15+AC16+AC17+AC18+AC19</f>
        <v/>
      </c>
      <c r="AD20" s="18">
        <f>AD11+AD12+AD13+AD14+AD15+AD16+AD17+AD18+AD19</f>
        <v/>
      </c>
      <c r="AE20" s="18">
        <f>AE11+AE12+AE13+AE14+AE15+AE16+AE17+AE18+AE19</f>
        <v/>
      </c>
      <c r="AF20" s="18">
        <f>AF11+AF12+AF13+AF14+AF15+AF16+AF17+AF18+AF19</f>
        <v/>
      </c>
      <c r="AG20" s="18">
        <f>AG11+AG12+AG13+AG14+AG15+AG16+AG17+AG18+AG19</f>
        <v/>
      </c>
      <c r="AH20" s="18">
        <f>AH11+AH12+AH13+AH14+AH15+AH16+AH17+AH18+AH19</f>
        <v/>
      </c>
      <c r="AI20" s="18">
        <f>AI11+AI12+AI13+AI14+AI15+AI16+AI17+AI18+AI19</f>
        <v/>
      </c>
      <c r="AJ20" s="18">
        <f>AJ11+AJ12+AJ13+AJ14+AJ15+AJ16+AJ17+AJ18+AJ19</f>
        <v/>
      </c>
      <c r="AK20" s="11">
        <f>IF(N20&lt;&gt;0,(AB20-N20)/ABS(N20),0)</f>
        <v/>
      </c>
      <c r="AL20" s="11">
        <f>IF(AB20&lt;&gt;0,(AJ20-AB20)/ABS(AB20),0)</f>
        <v/>
      </c>
    </row>
    <row r="21" ht="13" customHeight="1">
      <c r="A21" s="19" t="inlineStr">
        <is>
          <t xml:space="preserve">    Sal:Rev</t>
        </is>
      </c>
      <c r="B21" s="20">
        <f>IF(B7&gt;0,B20/B7,0)</f>
        <v/>
      </c>
      <c r="C21" s="20">
        <f>IF(C7&gt;0,C20/C7,0)</f>
        <v/>
      </c>
      <c r="D21" s="20">
        <f>IF(D7&gt;0,D20/D7,0)</f>
        <v/>
      </c>
      <c r="E21" s="20">
        <f>IF(E7&gt;0,E20/E7,0)</f>
        <v/>
      </c>
      <c r="F21" s="20">
        <f>IF(F7&gt;0,F20/F7,0)</f>
        <v/>
      </c>
      <c r="G21" s="20">
        <f>IF(G7&gt;0,G20/G7,0)</f>
        <v/>
      </c>
      <c r="H21" s="20">
        <f>IF(H7&gt;0,H20/H7,0)</f>
        <v/>
      </c>
      <c r="I21" s="20">
        <f>IF(I7&gt;0,I20/I7,0)</f>
        <v/>
      </c>
      <c r="J21" s="20">
        <f>IF(J7&gt;0,J20/J7,0)</f>
        <v/>
      </c>
      <c r="K21" s="20">
        <f>IF(K7&gt;0,K20/K7,0)</f>
        <v/>
      </c>
      <c r="L21" s="20">
        <f>IF(L7&gt;0,L20/L7,0)</f>
        <v/>
      </c>
      <c r="M21" s="20">
        <f>IF(M7&gt;0,M20/M7,0)</f>
        <v/>
      </c>
      <c r="N21" s="20">
        <f>IF(N7&gt;0,N20/N7,0)</f>
        <v/>
      </c>
      <c r="O21" s="20">
        <f>IF(O7&gt;0,O20/O7,0)</f>
        <v/>
      </c>
      <c r="P21" s="20">
        <f>IF(P7&gt;0,P20/P7,0)</f>
        <v/>
      </c>
      <c r="Q21" s="20">
        <f>IF(Q7&gt;0,Q20/Q7,0)</f>
        <v/>
      </c>
      <c r="R21" s="20">
        <f>IF(R7&gt;0,R20/R7,0)</f>
        <v/>
      </c>
      <c r="S21" s="20">
        <f>IF(S7&gt;0,S20/S7,0)</f>
        <v/>
      </c>
      <c r="T21" s="20">
        <f>IF(T7&gt;0,T20/T7,0)</f>
        <v/>
      </c>
      <c r="U21" s="20">
        <f>IF(U7&gt;0,U20/U7,0)</f>
        <v/>
      </c>
      <c r="V21" s="20">
        <f>IF(V7&gt;0,V20/V7,0)</f>
        <v/>
      </c>
      <c r="W21" s="20">
        <f>IF(W7&gt;0,W20/W7,0)</f>
        <v/>
      </c>
      <c r="X21" s="20">
        <f>IF(X7&gt;0,X20/X7,0)</f>
        <v/>
      </c>
      <c r="Y21" s="20">
        <f>IF(Y7&gt;0,Y20/Y7,0)</f>
        <v/>
      </c>
      <c r="Z21" s="20">
        <f>IF(Z7&gt;0,Z20/Z7,0)</f>
        <v/>
      </c>
      <c r="AA21" s="20">
        <f>IF(AA7&gt;0,AA20/AA7,0)</f>
        <v/>
      </c>
      <c r="AB21" s="20">
        <f>IF(AB7&gt;0,AB20/AB7,0)</f>
        <v/>
      </c>
      <c r="AC21" s="20">
        <f>IF(AC7&gt;0,AC20/AC7,0)</f>
        <v/>
      </c>
      <c r="AD21" s="20">
        <f>IF(AD7&gt;0,AD20/AD7,0)</f>
        <v/>
      </c>
      <c r="AE21" s="20">
        <f>IF(AE7&gt;0,AE20/AE7,0)</f>
        <v/>
      </c>
      <c r="AF21" s="20">
        <f>IF(AF7&gt;0,AF20/AF7,0)</f>
        <v/>
      </c>
      <c r="AG21" s="20">
        <f>IF(AG7&gt;0,AG20/AG7,0)</f>
        <v/>
      </c>
      <c r="AH21" s="20">
        <f>IF(AH7&gt;0,AH20/AH7,0)</f>
        <v/>
      </c>
      <c r="AI21" s="20">
        <f>IF(AI7&gt;0,AI20/AI7,0)</f>
        <v/>
      </c>
      <c r="AJ21" s="20">
        <f>IF(AJ7&gt;0,AJ20/AJ7,0)</f>
        <v/>
      </c>
    </row>
    <row r="22" ht="5" customHeight="1"/>
    <row r="23" ht="13" customHeight="1">
      <c r="A23" s="14" t="inlineStr">
        <is>
          <t>Childcare</t>
        </is>
      </c>
    </row>
    <row r="24" ht="13" customHeight="1">
      <c r="A24" s="21" t="inlineStr">
        <is>
          <t xml:space="preserve">    Catering Costs</t>
        </is>
      </c>
      <c r="N24" s="22">
        <f>SUM(B24:M24)</f>
        <v/>
      </c>
      <c r="O24" s="22" t="n">
        <v>968.6899999999999</v>
      </c>
      <c r="P24" s="22" t="n">
        <v>1153.13</v>
      </c>
      <c r="Q24" s="22" t="n">
        <v>1045.2</v>
      </c>
      <c r="R24" s="22" t="n">
        <v>1430.46</v>
      </c>
      <c r="S24" s="22" t="n">
        <v>861.84</v>
      </c>
      <c r="T24" s="22" t="n">
        <v>1051.83</v>
      </c>
      <c r="U24" s="22" t="n">
        <v>1395.99</v>
      </c>
      <c r="V24" s="22" t="n">
        <v>1046.925048</v>
      </c>
      <c r="W24" s="22" t="n">
        <v>1108.9416</v>
      </c>
      <c r="X24" s="22" t="n">
        <v>1213.1808</v>
      </c>
      <c r="Y24" s="22" t="n">
        <v>1195.116</v>
      </c>
      <c r="Z24" s="22" t="n">
        <v>1179.7344</v>
      </c>
      <c r="AA24" s="22">
        <f>SUM(O24:U24)</f>
        <v/>
      </c>
      <c r="AB24" s="22">
        <f>SUM(O24:Z24)</f>
        <v/>
      </c>
      <c r="AC24" s="22" t="n">
        <v>1188.9228</v>
      </c>
      <c r="AD24" s="22" t="n">
        <v>1118.594568</v>
      </c>
      <c r="AE24" s="22" t="n">
        <v>1355.045328</v>
      </c>
      <c r="AF24" s="22" t="n">
        <v>1009.60704</v>
      </c>
      <c r="AG24" s="22" t="n">
        <v>997.833408</v>
      </c>
      <c r="AH24" s="22" t="n">
        <v>1065.891216</v>
      </c>
      <c r="AI24" s="10">
        <f>SUM(AC24:AH24)</f>
        <v/>
      </c>
      <c r="AJ24" s="22">
        <f>SUM(AC24:AH24)+AI24</f>
        <v/>
      </c>
      <c r="AK24" s="11">
        <f>IF(N24&lt;&gt;0,(AB24-N24)/ABS(N24),0)</f>
        <v/>
      </c>
      <c r="AL24" s="11">
        <f>IF(AB24&lt;&gt;0,(AJ24-AB24)/ABS(AB24),0)</f>
        <v/>
      </c>
    </row>
    <row r="25" ht="13" customHeight="1">
      <c r="A25" s="21" t="inlineStr">
        <is>
          <t xml:space="preserve">    Toys and Games</t>
        </is>
      </c>
      <c r="B25" s="22" t="n">
        <v>683.49</v>
      </c>
      <c r="C25" s="22" t="n">
        <v>332.85</v>
      </c>
      <c r="D25" s="22" t="n">
        <v>213.47</v>
      </c>
      <c r="E25" s="22" t="n">
        <v>84.28999999999999</v>
      </c>
      <c r="F25" s="22" t="n">
        <v>1142.04</v>
      </c>
      <c r="G25" s="22" t="n">
        <v>347.81</v>
      </c>
      <c r="H25" s="22" t="n">
        <v>169.15</v>
      </c>
      <c r="I25" s="22" t="n">
        <v>231.52</v>
      </c>
      <c r="J25" s="22" t="n">
        <v>132.85</v>
      </c>
      <c r="K25" s="22" t="n">
        <v>444.81</v>
      </c>
      <c r="L25" s="22" t="n">
        <v>168.92</v>
      </c>
      <c r="M25" s="22" t="n">
        <v>104.22</v>
      </c>
      <c r="N25" s="22">
        <f>SUM(B25:M25)</f>
        <v/>
      </c>
      <c r="O25" s="22" t="n">
        <v>167.5</v>
      </c>
      <c r="P25" s="22" t="n">
        <v>207.32</v>
      </c>
      <c r="Q25" s="22" t="n">
        <v>354.51</v>
      </c>
      <c r="R25" s="22" t="n">
        <v>49.2</v>
      </c>
      <c r="S25" s="22" t="n">
        <v>165.54</v>
      </c>
      <c r="T25" s="22" t="n">
        <v>97.45</v>
      </c>
      <c r="U25" s="22" t="n">
        <v>79.11</v>
      </c>
      <c r="AA25" s="22">
        <f>SUM(O25:U25)</f>
        <v/>
      </c>
      <c r="AB25" s="22">
        <f>SUM(O25:Z25)</f>
        <v/>
      </c>
      <c r="AC25" s="22" t="n">
        <v>58</v>
      </c>
      <c r="AD25" s="22" t="n">
        <v>58</v>
      </c>
      <c r="AE25" s="22" t="n">
        <v>58</v>
      </c>
      <c r="AF25" s="22" t="n">
        <v>58</v>
      </c>
      <c r="AG25" s="22" t="n">
        <v>58</v>
      </c>
      <c r="AH25" s="22" t="n">
        <v>58</v>
      </c>
      <c r="AI25" s="10">
        <f>SUM(AC25:AH25)</f>
        <v/>
      </c>
      <c r="AJ25" s="22">
        <f>SUM(AC25:AH25)+AI25</f>
        <v/>
      </c>
      <c r="AK25" s="11">
        <f>IF(N25&lt;&gt;0,(AB25-N25)/ABS(N25),0)</f>
        <v/>
      </c>
      <c r="AL25" s="11">
        <f>IF(AB25&lt;&gt;0,(AJ25-AB25)/ABS(AB25),0)</f>
        <v/>
      </c>
    </row>
    <row r="26" ht="13" customHeight="1">
      <c r="A26" s="21" t="inlineStr">
        <is>
          <t xml:space="preserve">    Art Materials</t>
        </is>
      </c>
      <c r="N26" s="22">
        <f>SUM(B26:M26)</f>
        <v/>
      </c>
      <c r="O26" s="22" t="n">
        <v>84.06</v>
      </c>
      <c r="P26" s="22" t="n">
        <v>39.52</v>
      </c>
      <c r="Q26" s="22" t="n">
        <v>99.69</v>
      </c>
      <c r="R26" s="22" t="n">
        <v>40.39</v>
      </c>
      <c r="S26" s="22" t="n">
        <v>49.93</v>
      </c>
      <c r="T26" s="22" t="n">
        <v>94.53</v>
      </c>
      <c r="U26" s="22" t="n">
        <v>89.75</v>
      </c>
      <c r="V26" s="22" t="n">
        <v>104.6925048</v>
      </c>
      <c r="W26" s="22" t="n">
        <v>110.89416</v>
      </c>
      <c r="X26" s="22" t="n">
        <v>121.31808</v>
      </c>
      <c r="Y26" s="22" t="n">
        <v>119.5116</v>
      </c>
      <c r="Z26" s="22" t="n">
        <v>117.97344</v>
      </c>
      <c r="AA26" s="22">
        <f>SUM(O26:U26)</f>
        <v/>
      </c>
      <c r="AB26" s="22">
        <f>SUM(O26:Z26)</f>
        <v/>
      </c>
      <c r="AC26" s="22" t="n">
        <v>118.89228</v>
      </c>
      <c r="AD26" s="22" t="n">
        <v>111.8594568</v>
      </c>
      <c r="AE26" s="22" t="n">
        <v>135.5045328</v>
      </c>
      <c r="AF26" s="22" t="n">
        <v>100.960704</v>
      </c>
      <c r="AG26" s="22" t="n">
        <v>99.7833408</v>
      </c>
      <c r="AH26" s="22" t="n">
        <v>106.5891216</v>
      </c>
      <c r="AI26" s="10">
        <f>SUM(AC26:AH26)</f>
        <v/>
      </c>
      <c r="AJ26" s="22">
        <f>SUM(AC26:AH26)+AI26</f>
        <v/>
      </c>
      <c r="AK26" s="11">
        <f>IF(N26&lt;&gt;0,(AB26-N26)/ABS(N26),0)</f>
        <v/>
      </c>
      <c r="AL26" s="11">
        <f>IF(AB26&lt;&gt;0,(AJ26-AB26)/ABS(AB26),0)</f>
        <v/>
      </c>
    </row>
    <row r="27" ht="13" customHeight="1">
      <c r="A27" s="21" t="inlineStr">
        <is>
          <t xml:space="preserve">    Nursery Stationery</t>
        </is>
      </c>
      <c r="B27" s="22" t="n">
        <v>69.2</v>
      </c>
      <c r="C27" s="22" t="n">
        <v>20.73</v>
      </c>
      <c r="D27" s="22" t="n">
        <v>82.73</v>
      </c>
      <c r="E27" s="22" t="n">
        <v>16.99</v>
      </c>
      <c r="F27" s="22" t="n">
        <v>110.64</v>
      </c>
      <c r="G27" s="22" t="n">
        <v>52.16</v>
      </c>
      <c r="H27" s="22" t="n">
        <v>63.11</v>
      </c>
      <c r="I27" s="22" t="n">
        <v>0</v>
      </c>
      <c r="J27" s="22" t="n">
        <v>167.04</v>
      </c>
      <c r="K27" s="22" t="n">
        <v>39.54</v>
      </c>
      <c r="L27" s="22" t="n">
        <v>92.5</v>
      </c>
      <c r="M27" s="22" t="n">
        <v>7.71</v>
      </c>
      <c r="N27" s="22">
        <f>SUM(B27:M27)</f>
        <v/>
      </c>
      <c r="O27" s="22" t="n">
        <v>107.66</v>
      </c>
      <c r="P27" s="22" t="n">
        <v>12.79</v>
      </c>
      <c r="Q27" s="22" t="n">
        <v>19.05</v>
      </c>
      <c r="R27" s="22" t="n">
        <v>34.20999999999999</v>
      </c>
      <c r="S27" s="22" t="n">
        <v>42.26</v>
      </c>
      <c r="T27" s="22" t="n">
        <v>62.46</v>
      </c>
      <c r="U27" s="22" t="n">
        <v>43.83</v>
      </c>
      <c r="AA27" s="22">
        <f>SUM(O27:U27)</f>
        <v/>
      </c>
      <c r="AB27" s="22">
        <f>SUM(O27:Z27)</f>
        <v/>
      </c>
      <c r="AC27" s="22" t="n">
        <v>100</v>
      </c>
      <c r="AD27" s="22" t="n">
        <v>100</v>
      </c>
      <c r="AE27" s="22" t="n">
        <v>100</v>
      </c>
      <c r="AF27" s="22" t="n">
        <v>100</v>
      </c>
      <c r="AG27" s="22" t="n">
        <v>100</v>
      </c>
      <c r="AH27" s="22" t="n">
        <v>100</v>
      </c>
      <c r="AI27" s="10">
        <f>SUM(AC27:AH27)</f>
        <v/>
      </c>
      <c r="AJ27" s="22">
        <f>SUM(AC27:AH27)+AI27</f>
        <v/>
      </c>
      <c r="AK27" s="11">
        <f>IF(N27&lt;&gt;0,(AB27-N27)/ABS(N27),0)</f>
        <v/>
      </c>
      <c r="AL27" s="11">
        <f>IF(AB27&lt;&gt;0,(AJ27-AB27)/ABS(AB27),0)</f>
        <v/>
      </c>
    </row>
    <row r="28" ht="13" customHeight="1">
      <c r="A28" s="21" t="inlineStr">
        <is>
          <t xml:space="preserve">    Nursery Equipment</t>
        </is>
      </c>
      <c r="B28" s="22" t="n">
        <v>158.02</v>
      </c>
      <c r="C28" s="22" t="n">
        <v>184.27</v>
      </c>
      <c r="D28" s="22" t="n">
        <v>189.68</v>
      </c>
      <c r="E28" s="22" t="n">
        <v>63.74</v>
      </c>
      <c r="F28" s="22" t="n">
        <v>202.4</v>
      </c>
      <c r="G28" s="22" t="n">
        <v>267.82</v>
      </c>
      <c r="H28" s="22" t="n">
        <v>261.62</v>
      </c>
      <c r="I28" s="22" t="n">
        <v>42.89</v>
      </c>
      <c r="J28" s="22" t="n">
        <v>215.43</v>
      </c>
      <c r="K28" s="22" t="n">
        <v>821.3499999999999</v>
      </c>
      <c r="L28" s="22" t="n">
        <v>88.28</v>
      </c>
      <c r="M28" s="22" t="n">
        <v>254.5</v>
      </c>
      <c r="N28" s="22">
        <f>SUM(B28:M28)</f>
        <v/>
      </c>
      <c r="O28" s="22" t="n">
        <v>26.67</v>
      </c>
      <c r="P28" s="22" t="n">
        <v>16.99</v>
      </c>
      <c r="Q28" s="22" t="n">
        <v>99.65000000000001</v>
      </c>
      <c r="R28" s="22" t="n">
        <v>30.76</v>
      </c>
      <c r="S28" s="22" t="n">
        <v>48.77</v>
      </c>
      <c r="T28" s="22" t="n">
        <v>139.95</v>
      </c>
      <c r="U28" s="22" t="n">
        <v>191.54</v>
      </c>
      <c r="AA28" s="22">
        <f>SUM(O28:U28)</f>
        <v/>
      </c>
      <c r="AB28" s="22">
        <f>SUM(O28:Z28)</f>
        <v/>
      </c>
      <c r="AC28" s="22" t="n">
        <v>50</v>
      </c>
      <c r="AD28" s="22" t="n">
        <v>50</v>
      </c>
      <c r="AE28" s="22" t="n">
        <v>50</v>
      </c>
      <c r="AF28" s="22" t="n">
        <v>50</v>
      </c>
      <c r="AG28" s="22" t="n">
        <v>50</v>
      </c>
      <c r="AH28" s="22" t="n">
        <v>50</v>
      </c>
      <c r="AI28" s="10">
        <f>SUM(AC28:AH28)</f>
        <v/>
      </c>
      <c r="AJ28" s="22">
        <f>SUM(AC28:AH28)+AI28</f>
        <v/>
      </c>
      <c r="AK28" s="11">
        <f>IF(N28&lt;&gt;0,(AB28-N28)/ABS(N28),0)</f>
        <v/>
      </c>
      <c r="AL28" s="11">
        <f>IF(AB28&lt;&gt;0,(AJ28-AB28)/ABS(AB28),0)</f>
        <v/>
      </c>
    </row>
    <row r="29" ht="13" customHeight="1">
      <c r="A29" s="21" t="inlineStr">
        <is>
          <t xml:space="preserve">    Nursery Consumables</t>
        </is>
      </c>
      <c r="N29" s="22">
        <f>SUM(B29:M29)</f>
        <v/>
      </c>
      <c r="O29" s="22" t="n">
        <v>37.28</v>
      </c>
      <c r="P29" s="22" t="n">
        <v>173.28</v>
      </c>
      <c r="Q29" s="22" t="n">
        <v>69.61</v>
      </c>
      <c r="R29" s="22" t="n">
        <v>163.95</v>
      </c>
      <c r="S29" s="22" t="n">
        <v>223.29</v>
      </c>
      <c r="T29" s="22" t="n">
        <v>304.13</v>
      </c>
      <c r="U29" s="22" t="n">
        <v>104.9</v>
      </c>
      <c r="V29" s="22" t="n">
        <v>174.487508</v>
      </c>
      <c r="W29" s="22" t="n">
        <v>184.8236</v>
      </c>
      <c r="X29" s="22" t="n">
        <v>202.1968</v>
      </c>
      <c r="Y29" s="22" t="n">
        <v>199.186</v>
      </c>
      <c r="Z29" s="22" t="n">
        <v>196.6224</v>
      </c>
      <c r="AA29" s="22">
        <f>SUM(O29:U29)</f>
        <v/>
      </c>
      <c r="AB29" s="22">
        <f>SUM(O29:Z29)</f>
        <v/>
      </c>
      <c r="AC29" s="22" t="n">
        <v>198.1538</v>
      </c>
      <c r="AD29" s="22" t="n">
        <v>186.432428</v>
      </c>
      <c r="AE29" s="22" t="n">
        <v>225.840888</v>
      </c>
      <c r="AF29" s="22" t="n">
        <v>168.26784</v>
      </c>
      <c r="AG29" s="22" t="n">
        <v>166.305568</v>
      </c>
      <c r="AH29" s="22" t="n">
        <v>177.648536</v>
      </c>
      <c r="AI29" s="10">
        <f>SUM(AC29:AH29)</f>
        <v/>
      </c>
      <c r="AJ29" s="22">
        <f>SUM(AC29:AH29)+AI29</f>
        <v/>
      </c>
      <c r="AK29" s="11">
        <f>IF(N29&lt;&gt;0,(AB29-N29)/ABS(N29),0)</f>
        <v/>
      </c>
      <c r="AL29" s="11">
        <f>IF(AB29&lt;&gt;0,(AJ29-AB29)/ABS(AB29),0)</f>
        <v/>
      </c>
    </row>
    <row r="30" ht="13" customHeight="1">
      <c r="A30" s="23" t="inlineStr">
        <is>
          <t>Total Childcare Costs</t>
        </is>
      </c>
      <c r="B30" s="24">
        <f>B24+B25+B26+B27+B28+B29</f>
        <v/>
      </c>
      <c r="C30" s="24">
        <f>C24+C25+C26+C27+C28+C29</f>
        <v/>
      </c>
      <c r="D30" s="24">
        <f>D24+D25+D26+D27+D28+D29</f>
        <v/>
      </c>
      <c r="E30" s="24">
        <f>E24+E25+E26+E27+E28+E29</f>
        <v/>
      </c>
      <c r="F30" s="24">
        <f>F24+F25+F26+F27+F28+F29</f>
        <v/>
      </c>
      <c r="G30" s="24">
        <f>G24+G25+G26+G27+G28+G29</f>
        <v/>
      </c>
      <c r="H30" s="24">
        <f>H24+H25+H26+H27+H28+H29</f>
        <v/>
      </c>
      <c r="I30" s="24">
        <f>I24+I25+I26+I27+I28+I29</f>
        <v/>
      </c>
      <c r="J30" s="24">
        <f>J24+J25+J26+J27+J28+J29</f>
        <v/>
      </c>
      <c r="K30" s="24">
        <f>K24+K25+K26+K27+K28+K29</f>
        <v/>
      </c>
      <c r="L30" s="24">
        <f>L24+L25+L26+L27+L28+L29</f>
        <v/>
      </c>
      <c r="M30" s="24">
        <f>M24+M25+M26+M27+M28+M29</f>
        <v/>
      </c>
      <c r="N30" s="24">
        <f>N24+N25+N26+N27+N28+N29</f>
        <v/>
      </c>
      <c r="O30" s="24">
        <f>O24+O25+O26+O27+O28+O29</f>
        <v/>
      </c>
      <c r="P30" s="24">
        <f>P24+P25+P26+P27+P28+P29</f>
        <v/>
      </c>
      <c r="Q30" s="24">
        <f>Q24+Q25+Q26+Q27+Q28+Q29</f>
        <v/>
      </c>
      <c r="R30" s="24">
        <f>R24+R25+R26+R27+R28+R29</f>
        <v/>
      </c>
      <c r="S30" s="24">
        <f>S24+S25+S26+S27+S28+S29</f>
        <v/>
      </c>
      <c r="T30" s="24">
        <f>T24+T25+T26+T27+T28+T29</f>
        <v/>
      </c>
      <c r="U30" s="24">
        <f>U24+U25+U26+U27+U28+U29</f>
        <v/>
      </c>
      <c r="V30" s="24">
        <f>V24+V25+V26+V27+V28+V29</f>
        <v/>
      </c>
      <c r="W30" s="24">
        <f>W24+W25+W26+W27+W28+W29</f>
        <v/>
      </c>
      <c r="X30" s="24">
        <f>X24+X25+X26+X27+X28+X29</f>
        <v/>
      </c>
      <c r="Y30" s="24">
        <f>Y24+Y25+Y26+Y27+Y28+Y29</f>
        <v/>
      </c>
      <c r="Z30" s="24">
        <f>Z24+Z25+Z26+Z27+Z28+Z29</f>
        <v/>
      </c>
      <c r="AA30" s="24">
        <f>AA24+AA25+AA26+AA27+AA28+AA29</f>
        <v/>
      </c>
      <c r="AB30" s="24">
        <f>AB24+AB25+AB26+AB27+AB28+AB29</f>
        <v/>
      </c>
      <c r="AC30" s="24">
        <f>AC24+AC25+AC26+AC27+AC28+AC29</f>
        <v/>
      </c>
      <c r="AD30" s="24">
        <f>AD24+AD25+AD26+AD27+AD28+AD29</f>
        <v/>
      </c>
      <c r="AE30" s="24">
        <f>AE24+AE25+AE26+AE27+AE28+AE29</f>
        <v/>
      </c>
      <c r="AF30" s="24">
        <f>AF24+AF25+AF26+AF27+AF28+AF29</f>
        <v/>
      </c>
      <c r="AG30" s="24">
        <f>AG24+AG25+AG26+AG27+AG28+AG29</f>
        <v/>
      </c>
      <c r="AH30" s="24">
        <f>AH24+AH25+AH26+AH27+AH28+AH29</f>
        <v/>
      </c>
      <c r="AI30" s="24">
        <f>AI24+AI25+AI26+AI27+AI28+AI29</f>
        <v/>
      </c>
      <c r="AJ30" s="24">
        <f>AJ24+AJ25+AJ26+AJ27+AJ28+AJ29</f>
        <v/>
      </c>
      <c r="AK30" s="11">
        <f>IF(N30&lt;&gt;0,(AB30-N30)/ABS(N30),0)</f>
        <v/>
      </c>
      <c r="AL30" s="11">
        <f>IF(AB30&lt;&gt;0,(AJ30-AB30)/ABS(AB30),0)</f>
        <v/>
      </c>
    </row>
    <row r="31" ht="5" customHeight="1"/>
    <row r="32" ht="13" customHeight="1">
      <c r="A32" s="14" t="inlineStr">
        <is>
          <t>Premises &amp; Admin</t>
        </is>
      </c>
    </row>
    <row r="33" ht="13" customHeight="1">
      <c r="A33" s="25" t="inlineStr">
        <is>
          <t xml:space="preserve">    Rent</t>
        </is>
      </c>
      <c r="B33" s="26" t="n">
        <v>4000</v>
      </c>
      <c r="C33" s="26" t="n">
        <v>4000</v>
      </c>
      <c r="D33" s="26" t="n">
        <v>4000</v>
      </c>
      <c r="E33" s="26" t="n">
        <v>4000</v>
      </c>
      <c r="F33" s="26" t="n">
        <v>4000</v>
      </c>
      <c r="G33" s="26" t="n">
        <v>4000</v>
      </c>
      <c r="H33" s="26" t="n">
        <v>4000</v>
      </c>
      <c r="I33" s="26" t="n">
        <v>4000</v>
      </c>
      <c r="J33" s="26" t="n">
        <v>4000</v>
      </c>
      <c r="K33" s="26" t="n">
        <v>4000</v>
      </c>
      <c r="L33" s="26" t="n">
        <v>4000</v>
      </c>
      <c r="M33" s="26" t="n">
        <v>4000</v>
      </c>
      <c r="N33" s="26">
        <f>SUM(B33:M33)</f>
        <v/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  <c r="AA33" s="26">
        <f>SUM(O33:U33)</f>
        <v/>
      </c>
      <c r="AB33" s="26">
        <f>SUM(O33:Z33)</f>
        <v/>
      </c>
      <c r="AC33" s="26" t="n">
        <v>0</v>
      </c>
      <c r="AD33" s="26" t="n">
        <v>0</v>
      </c>
      <c r="AE33" s="26" t="n">
        <v>0</v>
      </c>
      <c r="AF33" s="26" t="n">
        <v>0</v>
      </c>
      <c r="AG33" s="26" t="n">
        <v>0</v>
      </c>
      <c r="AH33" s="26" t="n">
        <v>0</v>
      </c>
      <c r="AI33" s="10">
        <f>SUM(AC33:AH33)</f>
        <v/>
      </c>
      <c r="AJ33" s="26">
        <f>SUM(AC33:AH33)+AI33</f>
        <v/>
      </c>
      <c r="AK33" s="11">
        <f>IF(N33&lt;&gt;0,(AB33-N33)/ABS(N33),0)</f>
        <v/>
      </c>
      <c r="AL33" s="11">
        <f>IF(AB33&lt;&gt;0,(AJ33-AB33)/ABS(AB33),0)</f>
        <v/>
      </c>
    </row>
    <row r="34" ht="13" customHeight="1">
      <c r="A34" s="25" t="inlineStr">
        <is>
          <t xml:space="preserve">    Business Rates</t>
        </is>
      </c>
      <c r="B34" s="26" t="n">
        <v>288.13</v>
      </c>
      <c r="C34" s="26" t="n">
        <v>288.13</v>
      </c>
      <c r="D34" s="26" t="n">
        <v>288.13</v>
      </c>
      <c r="E34" s="26" t="n">
        <v>332.67</v>
      </c>
      <c r="F34" s="26" t="n">
        <v>332.66</v>
      </c>
      <c r="G34" s="26" t="n">
        <v>332.67</v>
      </c>
      <c r="H34" s="26" t="n">
        <v>332.67</v>
      </c>
      <c r="I34" s="26" t="n">
        <v>332.67</v>
      </c>
      <c r="J34" s="26" t="n">
        <v>332.67</v>
      </c>
      <c r="K34" s="26" t="n">
        <v>332.67</v>
      </c>
      <c r="L34" s="26" t="n">
        <v>332.67</v>
      </c>
      <c r="M34" s="26" t="n">
        <v>332.67</v>
      </c>
      <c r="N34" s="26">
        <f>SUM(B34:M34)</f>
        <v/>
      </c>
      <c r="O34" s="26" t="n">
        <v>332.66</v>
      </c>
      <c r="P34" s="26" t="n">
        <v>332.66</v>
      </c>
      <c r="Q34" s="26" t="n">
        <v>332.66</v>
      </c>
      <c r="R34" s="26" t="n">
        <v>349.3</v>
      </c>
      <c r="S34" s="26" t="n">
        <v>349.3</v>
      </c>
      <c r="T34" s="26" t="n">
        <v>1234.3</v>
      </c>
      <c r="U34" s="26" t="n">
        <v>349.3</v>
      </c>
      <c r="AA34" s="26">
        <f>SUM(O34:U34)</f>
        <v/>
      </c>
      <c r="AB34" s="26">
        <f>SUM(O34:Z34)</f>
        <v/>
      </c>
      <c r="AC34" s="26" t="n">
        <v>567</v>
      </c>
      <c r="AD34" s="26" t="n">
        <v>567</v>
      </c>
      <c r="AE34" s="26" t="n">
        <v>567</v>
      </c>
      <c r="AF34" s="26" t="n">
        <v>567</v>
      </c>
      <c r="AG34" s="26" t="n">
        <v>567</v>
      </c>
      <c r="AH34" s="26" t="n">
        <v>567</v>
      </c>
      <c r="AI34" s="10">
        <f>SUM(AC34:AH34)</f>
        <v/>
      </c>
      <c r="AJ34" s="26">
        <f>SUM(AC34:AH34)+AI34</f>
        <v/>
      </c>
      <c r="AK34" s="11">
        <f>IF(N34&lt;&gt;0,(AB34-N34)/ABS(N34),0)</f>
        <v/>
      </c>
      <c r="AL34" s="11">
        <f>IF(AB34&lt;&gt;0,(AJ34-AB34)/ABS(AB34),0)</f>
        <v/>
      </c>
    </row>
    <row r="35" ht="13" customHeight="1">
      <c r="A35" s="25" t="inlineStr">
        <is>
          <t xml:space="preserve">    Utilities</t>
        </is>
      </c>
      <c r="B35" s="26" t="n">
        <v>303.39</v>
      </c>
      <c r="C35" s="26" t="n">
        <v>600.05</v>
      </c>
      <c r="D35" s="26" t="n">
        <v>339.82</v>
      </c>
      <c r="E35" s="26" t="n">
        <v>1107.55</v>
      </c>
      <c r="F35" s="26" t="n">
        <v>191.41</v>
      </c>
      <c r="G35" s="26" t="n">
        <v>433.34</v>
      </c>
      <c r="H35" s="26" t="n">
        <v>13.48</v>
      </c>
      <c r="I35" s="26" t="n">
        <v>270.72</v>
      </c>
      <c r="J35" s="26" t="n">
        <v>252.23</v>
      </c>
      <c r="K35" s="26" t="n">
        <v>193.9</v>
      </c>
      <c r="L35" s="26" t="n">
        <v>265.24</v>
      </c>
      <c r="M35" s="26" t="n">
        <v>276.9</v>
      </c>
      <c r="N35" s="26">
        <f>SUM(B35:M35)</f>
        <v/>
      </c>
      <c r="O35" s="26" t="n">
        <v>1223.6</v>
      </c>
      <c r="P35" s="26" t="n">
        <v>629.46</v>
      </c>
      <c r="Q35" s="26" t="n">
        <v>822.72</v>
      </c>
      <c r="R35" s="26" t="n">
        <v>0</v>
      </c>
      <c r="S35" s="26" t="n">
        <v>235.27</v>
      </c>
      <c r="T35" s="26" t="n">
        <v>533.9</v>
      </c>
      <c r="U35" s="26" t="n">
        <v>592.62</v>
      </c>
      <c r="AA35" s="26">
        <f>SUM(O35:U35)</f>
        <v/>
      </c>
      <c r="AB35" s="26">
        <f>SUM(O35:Z35)</f>
        <v/>
      </c>
      <c r="AC35" s="26" t="n">
        <v>370</v>
      </c>
      <c r="AD35" s="26" t="n">
        <v>370</v>
      </c>
      <c r="AE35" s="26" t="n">
        <v>370</v>
      </c>
      <c r="AF35" s="26" t="n">
        <v>370</v>
      </c>
      <c r="AG35" s="26" t="n">
        <v>370</v>
      </c>
      <c r="AH35" s="26" t="n">
        <v>370</v>
      </c>
      <c r="AI35" s="10">
        <f>SUM(AC35:AH35)</f>
        <v/>
      </c>
      <c r="AJ35" s="26">
        <f>SUM(AC35:AH35)+AI35</f>
        <v/>
      </c>
      <c r="AK35" s="11">
        <f>IF(N35&lt;&gt;0,(AB35-N35)/ABS(N35),0)</f>
        <v/>
      </c>
      <c r="AL35" s="11">
        <f>IF(AB35&lt;&gt;0,(AJ35-AB35)/ABS(AB35),0)</f>
        <v/>
      </c>
    </row>
    <row r="36" ht="13" customHeight="1">
      <c r="A36" s="25" t="inlineStr">
        <is>
          <t xml:space="preserve">    Repairs &amp; Maintenance</t>
        </is>
      </c>
      <c r="B36" s="26" t="n">
        <v>14.75</v>
      </c>
      <c r="C36" s="26" t="n">
        <v>860.16</v>
      </c>
      <c r="D36" s="26" t="n">
        <v>301.16</v>
      </c>
      <c r="E36" s="26" t="n">
        <v>135.95</v>
      </c>
      <c r="F36" s="26" t="n">
        <v>458.8600000000001</v>
      </c>
      <c r="G36" s="26" t="n">
        <v>143.28</v>
      </c>
      <c r="H36" s="26" t="n">
        <v>52.85</v>
      </c>
      <c r="I36" s="26" t="n">
        <v>0</v>
      </c>
      <c r="J36" s="26" t="n">
        <v>837.0300000000001</v>
      </c>
      <c r="K36" s="26" t="n">
        <v>0</v>
      </c>
      <c r="L36" s="26" t="n">
        <v>0</v>
      </c>
      <c r="M36" s="26" t="n">
        <v>0</v>
      </c>
      <c r="N36" s="26">
        <f>SUM(B36:M36)</f>
        <v/>
      </c>
      <c r="O36" s="26" t="n">
        <v>0</v>
      </c>
      <c r="P36" s="26" t="n">
        <v>150</v>
      </c>
      <c r="Q36" s="26" t="n">
        <v>407.76</v>
      </c>
      <c r="R36" s="26" t="n">
        <v>21.45</v>
      </c>
      <c r="S36" s="26" t="n">
        <v>0</v>
      </c>
      <c r="T36" s="26" t="n">
        <v>0</v>
      </c>
      <c r="U36" s="26" t="n">
        <v>132.22</v>
      </c>
      <c r="AA36" s="26">
        <f>SUM(O36:U36)</f>
        <v/>
      </c>
      <c r="AB36" s="26">
        <f>SUM(O36:Z36)</f>
        <v/>
      </c>
      <c r="AC36" s="26" t="n">
        <v>0</v>
      </c>
      <c r="AD36" s="26" t="n">
        <v>0</v>
      </c>
      <c r="AE36" s="26" t="n">
        <v>0</v>
      </c>
      <c r="AF36" s="26" t="n">
        <v>0</v>
      </c>
      <c r="AG36" s="26" t="n">
        <v>0</v>
      </c>
      <c r="AH36" s="26" t="n">
        <v>0</v>
      </c>
      <c r="AI36" s="10">
        <f>SUM(AC36:AH36)</f>
        <v/>
      </c>
      <c r="AJ36" s="26">
        <f>SUM(AC36:AH36)+AI36</f>
        <v/>
      </c>
      <c r="AK36" s="11">
        <f>IF(N36&lt;&gt;0,(AB36-N36)/ABS(N36),0)</f>
        <v/>
      </c>
      <c r="AL36" s="11">
        <f>IF(AB36&lt;&gt;0,(AJ36-AB36)/ABS(AB36),0)</f>
        <v/>
      </c>
    </row>
    <row r="37" ht="13" customHeight="1">
      <c r="A37" s="25" t="inlineStr">
        <is>
          <t xml:space="preserve">    Cleaning</t>
        </is>
      </c>
      <c r="B37" s="26" t="n">
        <v>241.17</v>
      </c>
      <c r="C37" s="26" t="n">
        <v>155.6</v>
      </c>
      <c r="D37" s="26" t="n">
        <v>234.59</v>
      </c>
      <c r="E37" s="26" t="n">
        <v>34.56</v>
      </c>
      <c r="F37" s="26" t="n">
        <v>327.88</v>
      </c>
      <c r="G37" s="26" t="n">
        <v>324.71</v>
      </c>
      <c r="H37" s="26" t="n">
        <v>295.5700000000001</v>
      </c>
      <c r="I37" s="26" t="n">
        <v>176.07</v>
      </c>
      <c r="J37" s="26" t="n">
        <v>356.1900000000001</v>
      </c>
      <c r="K37" s="26" t="n">
        <v>263.93</v>
      </c>
      <c r="L37" s="26" t="n">
        <v>133.32</v>
      </c>
      <c r="M37" s="26" t="n">
        <v>172.64</v>
      </c>
      <c r="N37" s="26">
        <f>SUM(B37:M37)</f>
        <v/>
      </c>
      <c r="O37" s="26" t="n">
        <v>283.56</v>
      </c>
      <c r="P37" s="26" t="n">
        <v>93.11</v>
      </c>
      <c r="Q37" s="26" t="n">
        <v>375.91</v>
      </c>
      <c r="R37" s="26" t="n">
        <v>96.76000000000001</v>
      </c>
      <c r="S37" s="26" t="n">
        <v>261.6</v>
      </c>
      <c r="T37" s="26" t="n">
        <v>118.25</v>
      </c>
      <c r="U37" s="26" t="n">
        <v>366.0600000000001</v>
      </c>
      <c r="AA37" s="26">
        <f>SUM(O37:U37)</f>
        <v/>
      </c>
      <c r="AB37" s="26">
        <f>SUM(O37:Z37)</f>
        <v/>
      </c>
      <c r="AC37" s="26" t="n">
        <v>240</v>
      </c>
      <c r="AD37" s="26" t="n">
        <v>240</v>
      </c>
      <c r="AE37" s="26" t="n">
        <v>240</v>
      </c>
      <c r="AF37" s="26" t="n">
        <v>240</v>
      </c>
      <c r="AG37" s="26" t="n">
        <v>240</v>
      </c>
      <c r="AH37" s="26" t="n">
        <v>240</v>
      </c>
      <c r="AI37" s="10">
        <f>SUM(AC37:AH37)</f>
        <v/>
      </c>
      <c r="AJ37" s="26">
        <f>SUM(AC37:AH37)+AI37</f>
        <v/>
      </c>
      <c r="AK37" s="11">
        <f>IF(N37&lt;&gt;0,(AB37-N37)/ABS(N37),0)</f>
        <v/>
      </c>
      <c r="AL37" s="11">
        <f>IF(AB37&lt;&gt;0,(AJ37-AB37)/ABS(AB37),0)</f>
        <v/>
      </c>
    </row>
    <row r="38" ht="13" customHeight="1">
      <c r="A38" s="25" t="inlineStr">
        <is>
          <t xml:space="preserve">    Waste Disposal</t>
        </is>
      </c>
      <c r="B38" s="26" t="n">
        <v>174</v>
      </c>
      <c r="C38" s="26" t="n">
        <v>430.4</v>
      </c>
      <c r="D38" s="26" t="n">
        <v>327.59</v>
      </c>
      <c r="E38" s="26" t="n">
        <v>331.37</v>
      </c>
      <c r="F38" s="26" t="n">
        <v>431.6</v>
      </c>
      <c r="G38" s="26" t="n">
        <v>420.67</v>
      </c>
      <c r="H38" s="26" t="n">
        <v>375.23</v>
      </c>
      <c r="I38" s="26" t="n">
        <v>402.05</v>
      </c>
      <c r="J38" s="26" t="n">
        <v>655.86</v>
      </c>
      <c r="K38" s="26" t="n">
        <v>402.05</v>
      </c>
      <c r="L38" s="26" t="n">
        <v>307.15</v>
      </c>
      <c r="M38" s="26" t="n">
        <v>360.56</v>
      </c>
      <c r="N38" s="26">
        <f>SUM(B38:M38)</f>
        <v/>
      </c>
      <c r="O38" s="26" t="n">
        <v>307.15</v>
      </c>
      <c r="P38" s="26" t="n">
        <v>307.15</v>
      </c>
      <c r="Q38" s="26" t="n">
        <v>345.56</v>
      </c>
      <c r="R38" s="26" t="n">
        <v>415.2</v>
      </c>
      <c r="S38" s="26" t="n">
        <v>343.44</v>
      </c>
      <c r="T38" s="26" t="n">
        <v>208.38</v>
      </c>
      <c r="U38" s="26" t="n">
        <v>434.15</v>
      </c>
      <c r="AA38" s="26">
        <f>SUM(O38:U38)</f>
        <v/>
      </c>
      <c r="AB38" s="26">
        <f>SUM(O38:Z38)</f>
        <v/>
      </c>
      <c r="AC38" s="26" t="n">
        <v>395</v>
      </c>
      <c r="AD38" s="26" t="n">
        <v>395</v>
      </c>
      <c r="AE38" s="26" t="n">
        <v>395</v>
      </c>
      <c r="AF38" s="26" t="n">
        <v>395</v>
      </c>
      <c r="AG38" s="26" t="n">
        <v>395</v>
      </c>
      <c r="AH38" s="26" t="n">
        <v>395</v>
      </c>
      <c r="AI38" s="10">
        <f>SUM(AC38:AH38)</f>
        <v/>
      </c>
      <c r="AJ38" s="26">
        <f>SUM(AC38:AH38)+AI38</f>
        <v/>
      </c>
      <c r="AK38" s="11">
        <f>IF(N38&lt;&gt;0,(AB38-N38)/ABS(N38),0)</f>
        <v/>
      </c>
      <c r="AL38" s="11">
        <f>IF(AB38&lt;&gt;0,(AJ38-AB38)/ABS(AB38),0)</f>
        <v/>
      </c>
    </row>
    <row r="39" ht="13" customHeight="1">
      <c r="A39" s="25" t="inlineStr">
        <is>
          <t xml:space="preserve">    Postage/Printing/Stationery</t>
        </is>
      </c>
      <c r="B39" s="26" t="n">
        <v>57.7</v>
      </c>
      <c r="C39" s="26" t="n">
        <v>32.5</v>
      </c>
      <c r="D39" s="26" t="n">
        <v>46.08</v>
      </c>
      <c r="E39" s="26" t="n">
        <v>27.84</v>
      </c>
      <c r="F39" s="26" t="n">
        <v>46.06</v>
      </c>
      <c r="G39" s="26" t="n">
        <v>31.21</v>
      </c>
      <c r="H39" s="26" t="n">
        <v>278.14</v>
      </c>
      <c r="I39" s="26" t="n">
        <v>30.06</v>
      </c>
      <c r="J39" s="26" t="n">
        <v>26.83</v>
      </c>
      <c r="K39" s="26" t="n">
        <v>100.92</v>
      </c>
      <c r="L39" s="26" t="n">
        <v>34.91</v>
      </c>
      <c r="M39" s="26" t="n">
        <v>59.33000000000001</v>
      </c>
      <c r="N39" s="26">
        <f>SUM(B39:M39)</f>
        <v/>
      </c>
      <c r="O39" s="26" t="n">
        <v>256.04</v>
      </c>
      <c r="P39" s="26" t="n">
        <v>296.51</v>
      </c>
      <c r="Q39" s="26" t="n">
        <v>534</v>
      </c>
      <c r="R39" s="26" t="n">
        <v>639.8100000000001</v>
      </c>
      <c r="S39" s="26" t="n">
        <v>234.32</v>
      </c>
      <c r="T39" s="26" t="n">
        <v>166.74</v>
      </c>
      <c r="U39" s="26" t="n">
        <v>337.08</v>
      </c>
      <c r="AA39" s="26">
        <f>SUM(O39:U39)</f>
        <v/>
      </c>
      <c r="AB39" s="26">
        <f>SUM(O39:Z39)</f>
        <v/>
      </c>
      <c r="AC39" s="26" t="n">
        <v>0</v>
      </c>
      <c r="AD39" s="26" t="n">
        <v>0</v>
      </c>
      <c r="AE39" s="26" t="n">
        <v>0</v>
      </c>
      <c r="AF39" s="26" t="n">
        <v>0</v>
      </c>
      <c r="AG39" s="26" t="n">
        <v>0</v>
      </c>
      <c r="AH39" s="26" t="n">
        <v>0</v>
      </c>
      <c r="AI39" s="10">
        <f>SUM(AC39:AH39)</f>
        <v/>
      </c>
      <c r="AJ39" s="26">
        <f>SUM(AC39:AH39)+AI39</f>
        <v/>
      </c>
      <c r="AK39" s="11">
        <f>IF(N39&lt;&gt;0,(AB39-N39)/ABS(N39),0)</f>
        <v/>
      </c>
      <c r="AL39" s="11">
        <f>IF(AB39&lt;&gt;0,(AJ39-AB39)/ABS(AB39),0)</f>
        <v/>
      </c>
    </row>
    <row r="40" ht="13" customHeight="1">
      <c r="A40" s="25" t="inlineStr">
        <is>
          <t xml:space="preserve">    Telephone</t>
        </is>
      </c>
      <c r="B40" s="26" t="n">
        <v>99.91</v>
      </c>
      <c r="C40" s="26" t="n">
        <v>98.52</v>
      </c>
      <c r="D40" s="26" t="n">
        <v>98.52</v>
      </c>
      <c r="E40" s="26" t="n">
        <v>99.91</v>
      </c>
      <c r="F40" s="26" t="n">
        <v>99.91</v>
      </c>
      <c r="G40" s="26" t="n">
        <v>99.91</v>
      </c>
      <c r="H40" s="26" t="n">
        <v>99.91</v>
      </c>
      <c r="I40" s="26" t="n">
        <v>99.91</v>
      </c>
      <c r="J40" s="26" t="n">
        <v>110.53</v>
      </c>
      <c r="K40" s="26" t="n">
        <v>7.5</v>
      </c>
      <c r="L40" s="26" t="n">
        <v>0</v>
      </c>
      <c r="M40" s="26" t="n">
        <v>7.5</v>
      </c>
      <c r="N40" s="26">
        <f>SUM(B40:M40)</f>
        <v/>
      </c>
      <c r="O40" s="26" t="n">
        <v>72</v>
      </c>
      <c r="P40" s="26" t="n">
        <v>30</v>
      </c>
      <c r="Q40" s="26" t="n">
        <v>0</v>
      </c>
      <c r="R40" s="26" t="n">
        <v>110</v>
      </c>
      <c r="S40" s="26" t="n">
        <v>192</v>
      </c>
      <c r="T40" s="26" t="n">
        <v>335</v>
      </c>
      <c r="U40" s="26" t="n">
        <v>75</v>
      </c>
      <c r="AA40" s="26">
        <f>SUM(O40:U40)</f>
        <v/>
      </c>
      <c r="AB40" s="26">
        <f>SUM(O40:Z40)</f>
        <v/>
      </c>
      <c r="AC40" s="26" t="n">
        <v>0</v>
      </c>
      <c r="AD40" s="26" t="n">
        <v>0</v>
      </c>
      <c r="AE40" s="26" t="n">
        <v>0</v>
      </c>
      <c r="AF40" s="26" t="n">
        <v>0</v>
      </c>
      <c r="AG40" s="26" t="n">
        <v>0</v>
      </c>
      <c r="AH40" s="26" t="n">
        <v>0</v>
      </c>
      <c r="AI40" s="10">
        <f>SUM(AC40:AH40)</f>
        <v/>
      </c>
      <c r="AJ40" s="26">
        <f>SUM(AC40:AH40)+AI40</f>
        <v/>
      </c>
      <c r="AK40" s="11">
        <f>IF(N40&lt;&gt;0,(AB40-N40)/ABS(N40),0)</f>
        <v/>
      </c>
      <c r="AL40" s="11">
        <f>IF(AB40&lt;&gt;0,(AJ40-AB40)/ABS(AB40),0)</f>
        <v/>
      </c>
    </row>
    <row r="41" ht="13" customHeight="1">
      <c r="A41" s="25" t="inlineStr">
        <is>
          <t xml:space="preserve">    Marketing</t>
        </is>
      </c>
      <c r="B41" s="26" t="n">
        <v>0</v>
      </c>
      <c r="C41" s="26" t="n">
        <v>0</v>
      </c>
      <c r="D41" s="26" t="n">
        <v>0</v>
      </c>
      <c r="E41" s="26" t="n">
        <v>0</v>
      </c>
      <c r="F41" s="26" t="n">
        <v>0</v>
      </c>
      <c r="G41" s="26" t="n">
        <v>0</v>
      </c>
      <c r="H41" s="26" t="n">
        <v>0</v>
      </c>
      <c r="I41" s="26" t="n">
        <v>0</v>
      </c>
      <c r="J41" s="26" t="n">
        <v>0</v>
      </c>
      <c r="K41" s="26" t="n">
        <v>0</v>
      </c>
      <c r="L41" s="26" t="n">
        <v>0</v>
      </c>
      <c r="M41" s="26" t="n">
        <v>0</v>
      </c>
      <c r="N41" s="26">
        <f>SUM(B41:M41)</f>
        <v/>
      </c>
      <c r="O41" s="26" t="n">
        <v>0</v>
      </c>
      <c r="P41" s="26" t="n">
        <v>0</v>
      </c>
      <c r="Q41" s="26" t="n">
        <v>0</v>
      </c>
      <c r="R41" s="26" t="n">
        <v>0</v>
      </c>
      <c r="S41" s="26" t="n">
        <v>0</v>
      </c>
      <c r="T41" s="26" t="n">
        <v>0</v>
      </c>
      <c r="U41" s="26" t="n">
        <v>0</v>
      </c>
      <c r="V41" s="26" t="n">
        <v>0</v>
      </c>
      <c r="W41" s="26" t="n">
        <v>0</v>
      </c>
      <c r="X41" s="26" t="n">
        <v>0</v>
      </c>
      <c r="Y41" s="26" t="n">
        <v>0</v>
      </c>
      <c r="Z41" s="26" t="n">
        <v>0</v>
      </c>
      <c r="AA41" s="26">
        <f>SUM(O41:U41)</f>
        <v/>
      </c>
      <c r="AB41" s="26">
        <f>SUM(O41:Z41)</f>
        <v/>
      </c>
      <c r="AC41" s="26" t="n">
        <v>100</v>
      </c>
      <c r="AD41" s="26" t="n">
        <v>100</v>
      </c>
      <c r="AE41" s="26" t="n">
        <v>100</v>
      </c>
      <c r="AF41" s="26" t="n">
        <v>100</v>
      </c>
      <c r="AG41" s="26" t="n">
        <v>100</v>
      </c>
      <c r="AH41" s="26" t="n">
        <v>100</v>
      </c>
      <c r="AI41" s="10">
        <f>SUM(AC41:AH41)</f>
        <v/>
      </c>
      <c r="AJ41" s="26">
        <f>SUM(AC41:AH41)+AI41</f>
        <v/>
      </c>
      <c r="AK41" s="11">
        <f>IF(N41&lt;&gt;0,(AB41-N41)/ABS(N41),0)</f>
        <v/>
      </c>
      <c r="AL41" s="11">
        <f>IF(AB41&lt;&gt;0,(AJ41-AB41)/ABS(AB41),0)</f>
        <v/>
      </c>
    </row>
    <row r="42" ht="13" customHeight="1">
      <c r="A42" s="27" t="inlineStr">
        <is>
          <t>Total Premises &amp; Admin</t>
        </is>
      </c>
      <c r="B42" s="28">
        <f>B33+B34+B35+B36+B37+B38+B39+B40+B41</f>
        <v/>
      </c>
      <c r="C42" s="28">
        <f>C33+C34+C35+C36+C37+C38+C39+C40+C41</f>
        <v/>
      </c>
      <c r="D42" s="28">
        <f>D33+D34+D35+D36+D37+D38+D39+D40+D41</f>
        <v/>
      </c>
      <c r="E42" s="28">
        <f>E33+E34+E35+E36+E37+E38+E39+E40+E41</f>
        <v/>
      </c>
      <c r="F42" s="28">
        <f>F33+F34+F35+F36+F37+F38+F39+F40+F41</f>
        <v/>
      </c>
      <c r="G42" s="28">
        <f>G33+G34+G35+G36+G37+G38+G39+G40+G41</f>
        <v/>
      </c>
      <c r="H42" s="28">
        <f>H33+H34+H35+H36+H37+H38+H39+H40+H41</f>
        <v/>
      </c>
      <c r="I42" s="28">
        <f>I33+I34+I35+I36+I37+I38+I39+I40+I41</f>
        <v/>
      </c>
      <c r="J42" s="28">
        <f>J33+J34+J35+J36+J37+J38+J39+J40+J41</f>
        <v/>
      </c>
      <c r="K42" s="28">
        <f>K33+K34+K35+K36+K37+K38+K39+K40+K41</f>
        <v/>
      </c>
      <c r="L42" s="28">
        <f>L33+L34+L35+L36+L37+L38+L39+L40+L41</f>
        <v/>
      </c>
      <c r="M42" s="28">
        <f>M33+M34+M35+M36+M37+M38+M39+M40+M41</f>
        <v/>
      </c>
      <c r="N42" s="28">
        <f>N33+N34+N35+N36+N37+N38+N39+N40+N41</f>
        <v/>
      </c>
      <c r="O42" s="28">
        <f>O33+O34+O35+O36+O37+O38+O39+O40+O41</f>
        <v/>
      </c>
      <c r="P42" s="28">
        <f>P33+P34+P35+P36+P37+P38+P39+P40+P41</f>
        <v/>
      </c>
      <c r="Q42" s="28">
        <f>Q33+Q34+Q35+Q36+Q37+Q38+Q39+Q40+Q41</f>
        <v/>
      </c>
      <c r="R42" s="28">
        <f>R33+R34+R35+R36+R37+R38+R39+R40+R41</f>
        <v/>
      </c>
      <c r="S42" s="28">
        <f>S33+S34+S35+S36+S37+S38+S39+S40+S41</f>
        <v/>
      </c>
      <c r="T42" s="28">
        <f>T33+T34+T35+T36+T37+T38+T39+T40+T41</f>
        <v/>
      </c>
      <c r="U42" s="28">
        <f>U33+U34+U35+U36+U37+U38+U39+U40+U41</f>
        <v/>
      </c>
      <c r="V42" s="28">
        <f>V33+V34+V35+V36+V37+V38+V39+V40+V41</f>
        <v/>
      </c>
      <c r="W42" s="28">
        <f>W33+W34+W35+W36+W37+W38+W39+W40+W41</f>
        <v/>
      </c>
      <c r="X42" s="28">
        <f>X33+X34+X35+X36+X37+X38+X39+X40+X41</f>
        <v/>
      </c>
      <c r="Y42" s="28">
        <f>Y33+Y34+Y35+Y36+Y37+Y38+Y39+Y40+Y41</f>
        <v/>
      </c>
      <c r="Z42" s="28">
        <f>Z33+Z34+Z35+Z36+Z37+Z38+Z39+Z40+Z41</f>
        <v/>
      </c>
      <c r="AA42" s="28">
        <f>AA33+AA34+AA35+AA36+AA37+AA38+AA39+AA40+AA41</f>
        <v/>
      </c>
      <c r="AB42" s="28">
        <f>AB33+AB34+AB35+AB36+AB37+AB38+AB39+AB40+AB41</f>
        <v/>
      </c>
      <c r="AC42" s="28">
        <f>AC33+AC34+AC35+AC36+AC37+AC38+AC39+AC40+AC41</f>
        <v/>
      </c>
      <c r="AD42" s="28">
        <f>AD33+AD34+AD35+AD36+AD37+AD38+AD39+AD40+AD41</f>
        <v/>
      </c>
      <c r="AE42" s="28">
        <f>AE33+AE34+AE35+AE36+AE37+AE38+AE39+AE40+AE41</f>
        <v/>
      </c>
      <c r="AF42" s="28">
        <f>AF33+AF34+AF35+AF36+AF37+AF38+AF39+AF40+AF41</f>
        <v/>
      </c>
      <c r="AG42" s="28">
        <f>AG33+AG34+AG35+AG36+AG37+AG38+AG39+AG40+AG41</f>
        <v/>
      </c>
      <c r="AH42" s="28">
        <f>AH33+AH34+AH35+AH36+AH37+AH38+AH39+AH40+AH41</f>
        <v/>
      </c>
      <c r="AI42" s="28">
        <f>AI33+AI34+AI35+AI36+AI37+AI38+AI39+AI40+AI41</f>
        <v/>
      </c>
      <c r="AJ42" s="28">
        <f>AJ33+AJ34+AJ35+AJ36+AJ37+AJ38+AJ39+AJ40+AJ41</f>
        <v/>
      </c>
      <c r="AK42" s="11">
        <f>IF(N42&lt;&gt;0,(AB42-N42)/ABS(N42),0)</f>
        <v/>
      </c>
      <c r="AL42" s="11">
        <f>IF(AB42&lt;&gt;0,(AJ42-AB42)/ABS(AB42),0)</f>
        <v/>
      </c>
    </row>
    <row r="43" ht="5" customHeight="1"/>
    <row r="44" ht="13" customHeight="1">
      <c r="A44" s="29" t="inlineStr">
        <is>
          <t>Total Direct Costs</t>
        </is>
      </c>
      <c r="AK44" s="11">
        <f>IF(N44&lt;&gt;0,(AB44-N44)/ABS(N44),0)</f>
        <v/>
      </c>
      <c r="AL44" s="11">
        <f>IF(AB44&lt;&gt;0,(AJ44-AB44)/ABS(AB44),0)</f>
        <v/>
      </c>
    </row>
    <row r="45" ht="5" customHeight="1"/>
    <row r="46" ht="15" customHeight="1">
      <c r="A46" s="30" t="inlineStr">
        <is>
          <t>CONTRIBUTION</t>
        </is>
      </c>
      <c r="B46" s="31">
        <f>B7-B44</f>
        <v/>
      </c>
      <c r="C46" s="31">
        <f>C7-C44</f>
        <v/>
      </c>
      <c r="D46" s="31">
        <f>D7-D44</f>
        <v/>
      </c>
      <c r="E46" s="31">
        <f>E7-E44</f>
        <v/>
      </c>
      <c r="F46" s="31">
        <f>F7-F44</f>
        <v/>
      </c>
      <c r="G46" s="31">
        <f>G7-G44</f>
        <v/>
      </c>
      <c r="H46" s="31">
        <f>H7-H44</f>
        <v/>
      </c>
      <c r="I46" s="31">
        <f>I7-I44</f>
        <v/>
      </c>
      <c r="J46" s="31">
        <f>J7-J44</f>
        <v/>
      </c>
      <c r="K46" s="31">
        <f>K7-K44</f>
        <v/>
      </c>
      <c r="L46" s="31">
        <f>L7-L44</f>
        <v/>
      </c>
      <c r="M46" s="31">
        <f>M7-M44</f>
        <v/>
      </c>
      <c r="N46" s="31">
        <f>N7-N44</f>
        <v/>
      </c>
      <c r="O46" s="31">
        <f>O7-O44</f>
        <v/>
      </c>
      <c r="P46" s="31">
        <f>P7-P44</f>
        <v/>
      </c>
      <c r="Q46" s="31">
        <f>Q7-Q44</f>
        <v/>
      </c>
      <c r="R46" s="31">
        <f>R7-R44</f>
        <v/>
      </c>
      <c r="S46" s="31">
        <f>S7-S44</f>
        <v/>
      </c>
      <c r="T46" s="31">
        <f>T7-T44</f>
        <v/>
      </c>
      <c r="U46" s="31">
        <f>U7-U44</f>
        <v/>
      </c>
      <c r="V46" s="31">
        <f>V7-V44</f>
        <v/>
      </c>
      <c r="W46" s="31">
        <f>W7-W44</f>
        <v/>
      </c>
      <c r="X46" s="31">
        <f>X7-X44</f>
        <v/>
      </c>
      <c r="Y46" s="31">
        <f>Y7-Y44</f>
        <v/>
      </c>
      <c r="Z46" s="31">
        <f>Z7-Z44</f>
        <v/>
      </c>
      <c r="AA46" s="31">
        <f>AA7-AA44</f>
        <v/>
      </c>
      <c r="AB46" s="31">
        <f>AB7-AB44</f>
        <v/>
      </c>
      <c r="AC46" s="31">
        <f>AC7-AC44</f>
        <v/>
      </c>
      <c r="AD46" s="31">
        <f>AD7-AD44</f>
        <v/>
      </c>
      <c r="AE46" s="31">
        <f>AE7-AE44</f>
        <v/>
      </c>
      <c r="AF46" s="31">
        <f>AF7-AF44</f>
        <v/>
      </c>
      <c r="AG46" s="31">
        <f>AG7-AG44</f>
        <v/>
      </c>
      <c r="AH46" s="31">
        <f>AH7-AH44</f>
        <v/>
      </c>
      <c r="AI46" s="31">
        <f>AI7-AI44</f>
        <v/>
      </c>
      <c r="AJ46" s="31">
        <f>AJ7-AJ44</f>
        <v/>
      </c>
      <c r="AK46" s="11">
        <f>IF(N46&lt;&gt;0,(AB46-N46)/ABS(N46),0)</f>
        <v/>
      </c>
      <c r="AL46" s="11">
        <f>IF(AB46&lt;&gt;0,(AJ46-AB46)/ABS(AB46),0)</f>
        <v/>
      </c>
    </row>
  </sheetData>
  <mergeCells count="8">
    <mergeCell ref="A10:AL10"/>
    <mergeCell ref="B1:N1"/>
    <mergeCell ref="A23:AL23"/>
    <mergeCell ref="A32:AL32"/>
    <mergeCell ref="AC1:AJ1"/>
    <mergeCell ref="A9:AL9"/>
    <mergeCell ref="A3:AL3"/>
    <mergeCell ref="O1:A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4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9.5" customWidth="1" min="27" max="27"/>
    <col width="9.5" customWidth="1" min="28" max="28"/>
    <col width="9.5" customWidth="1" min="29" max="29"/>
    <col width="9.5" customWidth="1" min="30" max="30"/>
    <col width="9.5" customWidth="1" min="31" max="31"/>
    <col width="9.5" customWidth="1" min="32" max="32"/>
    <col width="9.5" customWidth="1" min="33" max="33"/>
    <col width="9.5" customWidth="1" min="34" max="34"/>
    <col width="9.5" customWidth="1" min="35" max="35"/>
    <col width="11" customWidth="1" min="36" max="36"/>
    <col width="10" customWidth="1" min="37" max="37"/>
    <col width="10" customWidth="1" min="38" max="38"/>
  </cols>
  <sheetData>
    <row r="1" ht="18" customHeight="1">
      <c r="A1" s="1" t="inlineStr">
        <is>
          <t>Hazebrouck</t>
        </is>
      </c>
      <c r="B1" s="2" t="inlineStr">
        <is>
          <t>Actuals 2025</t>
        </is>
      </c>
      <c r="O1" s="2" t="inlineStr">
        <is>
          <t>2026 Actual / Forecast</t>
        </is>
      </c>
      <c r="AC1" s="2" t="inlineStr">
        <is>
          <t>2027 Forecast</t>
        </is>
      </c>
      <c r="AK1" s="3" t="inlineStr">
        <is>
          <t>YoY</t>
        </is>
      </c>
      <c r="AL1" s="3" t="inlineStr">
        <is>
          <t>YoY</t>
        </is>
      </c>
    </row>
    <row r="2" ht="22" customHeight="1">
      <c r="B2" s="4" t="inlineStr">
        <is>
          <t>Jan</t>
        </is>
      </c>
      <c r="C2" s="4" t="inlineStr">
        <is>
          <t>Feb</t>
        </is>
      </c>
      <c r="D2" s="4" t="inlineStr">
        <is>
          <t>Mar</t>
        </is>
      </c>
      <c r="E2" s="4" t="inlineStr">
        <is>
          <t>Apr</t>
        </is>
      </c>
      <c r="F2" s="4" t="inlineStr">
        <is>
          <t>May</t>
        </is>
      </c>
      <c r="G2" s="4" t="inlineStr">
        <is>
          <t>Jun</t>
        </is>
      </c>
      <c r="H2" s="4" t="inlineStr">
        <is>
          <t>Jul</t>
        </is>
      </c>
      <c r="I2" s="4" t="inlineStr">
        <is>
          <t>Aug</t>
        </is>
      </c>
      <c r="J2" s="4" t="inlineStr">
        <is>
          <t>Sep</t>
        </is>
      </c>
      <c r="K2" s="4" t="inlineStr">
        <is>
          <t>Oct</t>
        </is>
      </c>
      <c r="L2" s="4" t="inlineStr">
        <is>
          <t>Nov</t>
        </is>
      </c>
      <c r="M2" s="4" t="inlineStr">
        <is>
          <t>Dec</t>
        </is>
      </c>
      <c r="N2" s="5" t="inlineStr">
        <is>
          <t>FY2025
Total</t>
        </is>
      </c>
      <c r="O2" s="4" t="inlineStr">
        <is>
          <t>Jan</t>
        </is>
      </c>
      <c r="P2" s="4" t="inlineStr">
        <is>
          <t>Feb</t>
        </is>
      </c>
      <c r="Q2" s="4" t="inlineStr">
        <is>
          <t>Mar</t>
        </is>
      </c>
      <c r="R2" s="4" t="inlineStr">
        <is>
          <t>Apr</t>
        </is>
      </c>
      <c r="S2" s="4" t="inlineStr">
        <is>
          <t>May</t>
        </is>
      </c>
      <c r="T2" s="4" t="inlineStr">
        <is>
          <t>Jun</t>
        </is>
      </c>
      <c r="U2" s="4" t="inlineStr">
        <is>
          <t>Jul</t>
        </is>
      </c>
      <c r="V2" s="4" t="inlineStr">
        <is>
          <t>Aug</t>
        </is>
      </c>
      <c r="W2" s="4" t="inlineStr">
        <is>
          <t>Sep</t>
        </is>
      </c>
      <c r="X2" s="4" t="inlineStr">
        <is>
          <t>Oct</t>
        </is>
      </c>
      <c r="Y2" s="4" t="inlineStr">
        <is>
          <t>Nov</t>
        </is>
      </c>
      <c r="Z2" s="4" t="inlineStr">
        <is>
          <t>Dec</t>
        </is>
      </c>
      <c r="AA2" s="4" t="inlineStr">
        <is>
          <t>YTD</t>
        </is>
      </c>
      <c r="AB2" s="5" t="inlineStr">
        <is>
          <t>FY2026
Outlook</t>
        </is>
      </c>
      <c r="AC2" s="4" t="inlineStr">
        <is>
          <t>Jan</t>
        </is>
      </c>
      <c r="AD2" s="4" t="inlineStr">
        <is>
          <t>Feb</t>
        </is>
      </c>
      <c r="AE2" s="4" t="inlineStr">
        <is>
          <t>Mar</t>
        </is>
      </c>
      <c r="AF2" s="4" t="inlineStr">
        <is>
          <t>Apr</t>
        </is>
      </c>
      <c r="AG2" s="4" t="inlineStr">
        <is>
          <t>May</t>
        </is>
      </c>
      <c r="AH2" s="4" t="inlineStr">
        <is>
          <t>Jun</t>
        </is>
      </c>
      <c r="AI2" s="6" t="inlineStr">
        <is>
          <t>Jul-Dec
Proj.</t>
        </is>
      </c>
      <c r="AJ2" s="4" t="inlineStr">
        <is>
          <t>FY2027</t>
        </is>
      </c>
      <c r="AK2" s="6" t="inlineStr">
        <is>
          <t>25→26
%</t>
        </is>
      </c>
      <c r="AL2" s="6" t="inlineStr">
        <is>
          <t>26→27
%</t>
        </is>
      </c>
    </row>
    <row r="3" ht="15" customHeight="1">
      <c r="A3" s="7" t="inlineStr">
        <is>
          <t>INCOME</t>
        </is>
      </c>
    </row>
    <row r="4" ht="13" customHeight="1">
      <c r="A4" s="8" t="inlineStr">
        <is>
          <t xml:space="preserve">    Fee Income Regular</t>
        </is>
      </c>
      <c r="B4" s="9" t="n">
        <v>44526.36</v>
      </c>
      <c r="C4" s="9" t="n">
        <v>42668.15</v>
      </c>
      <c r="D4" s="9" t="n">
        <v>49356.27</v>
      </c>
      <c r="E4" s="9" t="n">
        <v>55745.42</v>
      </c>
      <c r="F4" s="9" t="n">
        <v>50381.74</v>
      </c>
      <c r="G4" s="9" t="n">
        <v>50496.26</v>
      </c>
      <c r="H4" s="9" t="n">
        <v>61970.37</v>
      </c>
      <c r="I4" s="9" t="n">
        <v>50217.38</v>
      </c>
      <c r="J4" s="9" t="n">
        <v>36754.18</v>
      </c>
      <c r="K4" s="9" t="n">
        <v>35941.95</v>
      </c>
      <c r="L4" s="9" t="n">
        <v>31455.98</v>
      </c>
      <c r="M4" s="9" t="n">
        <v>43997.17</v>
      </c>
      <c r="N4" s="9">
        <f>SUM(B4:M4)</f>
        <v/>
      </c>
      <c r="O4" s="9" t="n">
        <v>40552.59</v>
      </c>
      <c r="P4" s="9" t="n">
        <v>36292.38999999999</v>
      </c>
      <c r="Q4" s="9" t="n">
        <v>41164.89999999999</v>
      </c>
      <c r="R4" s="9" t="n">
        <v>42853.82999999999</v>
      </c>
      <c r="S4" s="9" t="n">
        <v>34239.50999999999</v>
      </c>
      <c r="T4" s="9" t="n">
        <v>35527.34</v>
      </c>
      <c r="U4" s="9" t="n">
        <v>44114.17999999999</v>
      </c>
      <c r="AA4" s="9">
        <f>SUM(O4:U4)</f>
        <v/>
      </c>
      <c r="AB4" s="9">
        <f>SUM(O4:Z4)</f>
        <v/>
      </c>
      <c r="AC4" s="9" t="n">
        <v>59616.39</v>
      </c>
      <c r="AD4" s="9" t="n">
        <v>56865.4</v>
      </c>
      <c r="AE4" s="9" t="n">
        <v>68454.33</v>
      </c>
      <c r="AF4" s="9" t="n">
        <v>58114.53</v>
      </c>
      <c r="AG4" s="9" t="n">
        <v>45217.21</v>
      </c>
      <c r="AH4" s="9" t="n">
        <v>47158.84</v>
      </c>
      <c r="AI4" s="10">
        <f>SUM(AC4:AH4)</f>
        <v/>
      </c>
      <c r="AJ4" s="9">
        <f>SUM(AC4:AH4)+AI4</f>
        <v/>
      </c>
      <c r="AK4" s="11">
        <f>IF(N4&lt;&gt;0,(AB4-N4)/ABS(N4),0)</f>
        <v/>
      </c>
      <c r="AL4" s="11">
        <f>IF(AB4&lt;&gt;0,(AJ4-AB4)/ABS(AB4),0)</f>
        <v/>
      </c>
    </row>
    <row r="5" ht="13" customHeight="1">
      <c r="A5" s="8" t="inlineStr">
        <is>
          <t xml:space="preserve">    EEEF Embedded</t>
        </is>
      </c>
      <c r="B5" s="9" t="n">
        <v>16877.61</v>
      </c>
      <c r="C5" s="9" t="n">
        <v>16877.61</v>
      </c>
      <c r="D5" s="9" t="n">
        <v>17395.39</v>
      </c>
      <c r="E5" s="9" t="n">
        <v>12211.58</v>
      </c>
      <c r="F5" s="9" t="n">
        <v>12211.58</v>
      </c>
      <c r="G5" s="9" t="n">
        <v>12211.58</v>
      </c>
      <c r="H5" s="9" t="n">
        <v>35264.02</v>
      </c>
      <c r="I5" s="9" t="n">
        <v>0</v>
      </c>
      <c r="J5" s="9" t="n">
        <v>14082.29</v>
      </c>
      <c r="K5" s="9" t="n">
        <v>14082.29</v>
      </c>
      <c r="L5" s="9" t="n">
        <v>33950.17</v>
      </c>
      <c r="M5" s="9" t="n">
        <v>34388.31</v>
      </c>
      <c r="N5" s="9">
        <f>SUM(B5:M5)</f>
        <v/>
      </c>
      <c r="O5" s="9" t="n">
        <v>24341.41</v>
      </c>
      <c r="P5" s="9" t="n">
        <v>24341.41</v>
      </c>
      <c r="Q5" s="9" t="n">
        <v>31208.03</v>
      </c>
      <c r="R5" s="9" t="n">
        <v>23609.06</v>
      </c>
      <c r="S5" s="9" t="n">
        <v>23609.06</v>
      </c>
      <c r="T5" s="9" t="n">
        <v>26879.66</v>
      </c>
      <c r="U5" s="9" t="n">
        <v>24032.53</v>
      </c>
      <c r="AA5" s="9">
        <f>SUM(O5:U5)</f>
        <v/>
      </c>
      <c r="AB5" s="9">
        <f>SUM(O5:Z5)</f>
        <v/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10">
        <f>SUM(AC5:AH5)</f>
        <v/>
      </c>
      <c r="AJ5" s="9">
        <f>SUM(AC5:AH5)+AI5</f>
        <v/>
      </c>
      <c r="AK5" s="11">
        <f>IF(N5&lt;&gt;0,(AB5-N5)/ABS(N5),0)</f>
        <v/>
      </c>
      <c r="AL5" s="11">
        <f>IF(AB5&lt;&gt;0,(AJ5-AB5)/ABS(AB5),0)</f>
        <v/>
      </c>
    </row>
    <row r="6" ht="13" customHeight="1">
      <c r="A6" s="8" t="inlineStr">
        <is>
          <t xml:space="preserve">    Other Income</t>
        </is>
      </c>
      <c r="B6" s="9" t="n">
        <v>100</v>
      </c>
      <c r="C6" s="9" t="n">
        <v>100</v>
      </c>
      <c r="D6" s="9" t="n">
        <v>150</v>
      </c>
      <c r="E6" s="9" t="n">
        <v>150</v>
      </c>
      <c r="F6" s="9" t="n">
        <v>150</v>
      </c>
      <c r="G6" s="9" t="n">
        <v>150</v>
      </c>
      <c r="H6" s="9" t="n">
        <v>150</v>
      </c>
      <c r="I6" s="9" t="n">
        <v>3333.04</v>
      </c>
      <c r="J6" s="9" t="n">
        <v>150</v>
      </c>
      <c r="K6" s="9" t="n">
        <v>150</v>
      </c>
      <c r="L6" s="9" t="n">
        <v>150</v>
      </c>
      <c r="M6" s="9" t="n">
        <v>150</v>
      </c>
      <c r="N6" s="9">
        <f>SUM(B6:M6)</f>
        <v/>
      </c>
      <c r="O6" s="9" t="n">
        <v>150</v>
      </c>
      <c r="P6" s="9" t="n">
        <v>150</v>
      </c>
      <c r="Q6" s="9" t="n">
        <v>150</v>
      </c>
      <c r="R6" s="9" t="n">
        <v>150</v>
      </c>
      <c r="S6" s="9" t="n">
        <v>150</v>
      </c>
      <c r="T6" s="9" t="n">
        <v>150</v>
      </c>
      <c r="U6" s="9" t="n">
        <v>150</v>
      </c>
      <c r="AA6" s="9">
        <f>SUM(O6:U6)</f>
        <v/>
      </c>
      <c r="AB6" s="9">
        <f>SUM(O6:Z6)</f>
        <v/>
      </c>
      <c r="AC6" s="9" t="n">
        <v>0</v>
      </c>
      <c r="AD6" s="9" t="n">
        <v>0</v>
      </c>
      <c r="AE6" s="9" t="n">
        <v>0</v>
      </c>
      <c r="AF6" s="9" t="n">
        <v>0</v>
      </c>
      <c r="AG6" s="9" t="n">
        <v>0</v>
      </c>
      <c r="AH6" s="9" t="n">
        <v>0</v>
      </c>
      <c r="AI6" s="10">
        <f>SUM(AC6:AH6)</f>
        <v/>
      </c>
      <c r="AJ6" s="9">
        <f>SUM(AC6:AH6)+AI6</f>
        <v/>
      </c>
      <c r="AK6" s="11">
        <f>IF(N6&lt;&gt;0,(AB6-N6)/ABS(N6),0)</f>
        <v/>
      </c>
      <c r="AL6" s="11">
        <f>IF(AB6&lt;&gt;0,(AJ6-AB6)/ABS(AB6),0)</f>
        <v/>
      </c>
    </row>
    <row r="7" ht="13" customHeight="1">
      <c r="A7" s="12" t="inlineStr">
        <is>
          <t>Total Income</t>
        </is>
      </c>
      <c r="B7" s="13">
        <f>B4+B5+B6</f>
        <v/>
      </c>
      <c r="C7" s="13">
        <f>C4+C5+C6</f>
        <v/>
      </c>
      <c r="D7" s="13">
        <f>D4+D5+D6</f>
        <v/>
      </c>
      <c r="E7" s="13">
        <f>E4+E5+E6</f>
        <v/>
      </c>
      <c r="F7" s="13">
        <f>F4+F5+F6</f>
        <v/>
      </c>
      <c r="G7" s="13">
        <f>G4+G5+G6</f>
        <v/>
      </c>
      <c r="H7" s="13">
        <f>H4+H5+H6</f>
        <v/>
      </c>
      <c r="I7" s="13">
        <f>I4+I5+I6</f>
        <v/>
      </c>
      <c r="J7" s="13">
        <f>J4+J5+J6</f>
        <v/>
      </c>
      <c r="K7" s="13">
        <f>K4+K5+K6</f>
        <v/>
      </c>
      <c r="L7" s="13">
        <f>L4+L5+L6</f>
        <v/>
      </c>
      <c r="M7" s="13">
        <f>M4+M5+M6</f>
        <v/>
      </c>
      <c r="N7" s="13">
        <f>N4+N5+N6</f>
        <v/>
      </c>
      <c r="O7" s="13">
        <f>O4+O5+O6</f>
        <v/>
      </c>
      <c r="P7" s="13">
        <f>P4+P5+P6</f>
        <v/>
      </c>
      <c r="Q7" s="13">
        <f>Q4+Q5+Q6</f>
        <v/>
      </c>
      <c r="R7" s="13">
        <f>R4+R5+R6</f>
        <v/>
      </c>
      <c r="S7" s="13">
        <f>S4+S5+S6</f>
        <v/>
      </c>
      <c r="T7" s="13">
        <f>T4+T5+T6</f>
        <v/>
      </c>
      <c r="U7" s="13">
        <f>U4+U5+U6</f>
        <v/>
      </c>
      <c r="V7" s="13">
        <f>V4+V5+V6</f>
        <v/>
      </c>
      <c r="W7" s="13">
        <f>W4+W5+W6</f>
        <v/>
      </c>
      <c r="X7" s="13">
        <f>X4+X5+X6</f>
        <v/>
      </c>
      <c r="Y7" s="13">
        <f>Y4+Y5+Y6</f>
        <v/>
      </c>
      <c r="Z7" s="13">
        <f>Z4+Z5+Z6</f>
        <v/>
      </c>
      <c r="AA7" s="13">
        <f>AA4+AA5+AA6</f>
        <v/>
      </c>
      <c r="AB7" s="13">
        <f>AB4+AB5+AB6</f>
        <v/>
      </c>
      <c r="AC7" s="13">
        <f>AC4+AC5+AC6</f>
        <v/>
      </c>
      <c r="AD7" s="13">
        <f>AD4+AD5+AD6</f>
        <v/>
      </c>
      <c r="AE7" s="13">
        <f>AE4+AE5+AE6</f>
        <v/>
      </c>
      <c r="AF7" s="13">
        <f>AF4+AF5+AF6</f>
        <v/>
      </c>
      <c r="AG7" s="13">
        <f>AG4+AG5+AG6</f>
        <v/>
      </c>
      <c r="AH7" s="13">
        <f>AH4+AH5+AH6</f>
        <v/>
      </c>
      <c r="AI7" s="13">
        <f>AI4+AI5+AI6</f>
        <v/>
      </c>
      <c r="AJ7" s="13">
        <f>AJ4+AJ5+AJ6</f>
        <v/>
      </c>
      <c r="AK7" s="11">
        <f>IF(N7&lt;&gt;0,(AB7-N7)/ABS(N7),0)</f>
        <v/>
      </c>
      <c r="AL7" s="11">
        <f>IF(AB7&lt;&gt;0,(AJ7-AB7)/ABS(AB7),0)</f>
        <v/>
      </c>
    </row>
    <row r="8" ht="5" customHeight="1"/>
    <row r="9" ht="15" customHeight="1">
      <c r="A9" s="7" t="inlineStr">
        <is>
          <t>DIRECT COSTS</t>
        </is>
      </c>
    </row>
    <row r="10" ht="13" customHeight="1">
      <c r="A10" s="14" t="inlineStr">
        <is>
          <t>Personnel</t>
        </is>
      </c>
    </row>
    <row r="11" ht="13" customHeight="1">
      <c r="A11" s="15" t="inlineStr">
        <is>
          <t xml:space="preserve">    Nursery Salaries</t>
        </is>
      </c>
      <c r="B11" s="16" t="n">
        <v>24899.66</v>
      </c>
      <c r="C11" s="16" t="n">
        <v>26577.82</v>
      </c>
      <c r="D11" s="16" t="n">
        <v>26925.91</v>
      </c>
      <c r="E11" s="16" t="n">
        <v>29092.65</v>
      </c>
      <c r="F11" s="16" t="n">
        <v>30703.98</v>
      </c>
      <c r="G11" s="16" t="n">
        <v>32699.41</v>
      </c>
      <c r="H11" s="16" t="n">
        <v>32041.49</v>
      </c>
      <c r="I11" s="16" t="n">
        <v>30033.99</v>
      </c>
      <c r="J11" s="16" t="n">
        <v>30047.01</v>
      </c>
      <c r="K11" s="16" t="n">
        <v>23930.87</v>
      </c>
      <c r="L11" s="16" t="n">
        <v>23821.02</v>
      </c>
      <c r="M11" s="16" t="n">
        <v>27265.52</v>
      </c>
      <c r="N11" s="16">
        <f>SUM(B11:M11)</f>
        <v/>
      </c>
      <c r="O11" s="16" t="n">
        <v>28276.3</v>
      </c>
      <c r="P11" s="16" t="n">
        <v>26802.27</v>
      </c>
      <c r="Q11" s="16" t="n">
        <v>25382.96</v>
      </c>
      <c r="R11" s="16" t="n">
        <v>25595.28</v>
      </c>
      <c r="S11" s="16" t="n">
        <v>24639.07</v>
      </c>
      <c r="T11" s="16" t="n">
        <v>24164.19</v>
      </c>
      <c r="U11" s="16" t="n">
        <v>25386.13</v>
      </c>
      <c r="AA11" s="16">
        <f>SUM(O11:U11)</f>
        <v/>
      </c>
      <c r="AB11" s="16">
        <f>SUM(O11:Z11)</f>
        <v/>
      </c>
      <c r="AC11" s="16" t="n">
        <v>25386.13</v>
      </c>
      <c r="AD11" s="16" t="n">
        <v>25386.13</v>
      </c>
      <c r="AE11" s="16" t="n">
        <v>25386.13</v>
      </c>
      <c r="AF11" s="16" t="n">
        <v>25386.13</v>
      </c>
      <c r="AG11" s="16" t="n">
        <v>25386.13</v>
      </c>
      <c r="AH11" s="16" t="n">
        <v>25386.13</v>
      </c>
      <c r="AI11" s="10">
        <f>SUM(AC11:AH11)</f>
        <v/>
      </c>
      <c r="AJ11" s="16">
        <f>SUM(AC11:AH11)+AI11</f>
        <v/>
      </c>
      <c r="AK11" s="11">
        <f>IF(N11&lt;&gt;0,(AB11-N11)/ABS(N11),0)</f>
        <v/>
      </c>
      <c r="AL11" s="11">
        <f>IF(AB11&lt;&gt;0,(AJ11-AB11)/ABS(AB11),0)</f>
        <v/>
      </c>
    </row>
    <row r="12" ht="13" customHeight="1">
      <c r="A12" s="15" t="inlineStr">
        <is>
          <t xml:space="preserve">    Nursery NI</t>
        </is>
      </c>
      <c r="B12" s="16" t="n">
        <v>2002.62</v>
      </c>
      <c r="C12" s="16" t="n">
        <v>2207.05</v>
      </c>
      <c r="D12" s="16" t="n">
        <v>2189.18</v>
      </c>
      <c r="E12" s="16" t="n">
        <v>3403.25</v>
      </c>
      <c r="F12" s="16" t="n">
        <v>3660.67</v>
      </c>
      <c r="G12" s="16" t="n">
        <v>3726.55</v>
      </c>
      <c r="H12" s="16" t="n">
        <v>3675.17</v>
      </c>
      <c r="I12" s="16" t="n">
        <v>3450.1</v>
      </c>
      <c r="J12" s="16" t="n">
        <v>3516.17</v>
      </c>
      <c r="K12" s="16" t="n">
        <v>2723.85</v>
      </c>
      <c r="L12" s="16" t="n">
        <v>2722.83</v>
      </c>
      <c r="M12" s="16" t="n">
        <v>2951.52</v>
      </c>
      <c r="N12" s="16">
        <f>SUM(B12:M12)</f>
        <v/>
      </c>
      <c r="O12" s="16" t="n">
        <v>3122.38</v>
      </c>
      <c r="P12" s="16" t="n">
        <v>2859.56</v>
      </c>
      <c r="Q12" s="16" t="n">
        <v>2641.72</v>
      </c>
      <c r="R12" s="16" t="n">
        <v>2695.94</v>
      </c>
      <c r="S12" s="16" t="n">
        <v>2587.54</v>
      </c>
      <c r="T12" s="16" t="n">
        <v>2503.45</v>
      </c>
      <c r="U12" s="16" t="n">
        <v>2708.66</v>
      </c>
      <c r="AA12" s="16">
        <f>SUM(O12:U12)</f>
        <v/>
      </c>
      <c r="AB12" s="16">
        <f>SUM(O12:Z12)</f>
        <v/>
      </c>
      <c r="AC12" s="16" t="n">
        <v>2708.66</v>
      </c>
      <c r="AD12" s="16" t="n">
        <v>2708.66</v>
      </c>
      <c r="AE12" s="16" t="n">
        <v>2708.66</v>
      </c>
      <c r="AF12" s="16" t="n">
        <v>2708.66</v>
      </c>
      <c r="AG12" s="16" t="n">
        <v>2708.66</v>
      </c>
      <c r="AH12" s="16" t="n">
        <v>2708.66</v>
      </c>
      <c r="AI12" s="10">
        <f>SUM(AC12:AH12)</f>
        <v/>
      </c>
      <c r="AJ12" s="16">
        <f>SUM(AC12:AH12)+AI12</f>
        <v/>
      </c>
      <c r="AK12" s="11">
        <f>IF(N12&lt;&gt;0,(AB12-N12)/ABS(N12),0)</f>
        <v/>
      </c>
      <c r="AL12" s="11">
        <f>IF(AB12&lt;&gt;0,(AJ12-AB12)/ABS(AB12),0)</f>
        <v/>
      </c>
    </row>
    <row r="13" ht="13" customHeight="1">
      <c r="A13" s="15" t="inlineStr">
        <is>
          <t xml:space="preserve">    Nursery Pension</t>
        </is>
      </c>
      <c r="B13" s="16" t="n">
        <v>498.73</v>
      </c>
      <c r="C13" s="16" t="n">
        <v>506.68</v>
      </c>
      <c r="D13" s="16" t="n">
        <v>526.7</v>
      </c>
      <c r="E13" s="16" t="n">
        <v>643.53</v>
      </c>
      <c r="F13" s="16" t="n">
        <v>694.99</v>
      </c>
      <c r="G13" s="16" t="n">
        <v>708.16</v>
      </c>
      <c r="H13" s="16" t="n">
        <v>700.99</v>
      </c>
      <c r="I13" s="16" t="n">
        <v>652.88</v>
      </c>
      <c r="J13" s="16" t="n">
        <v>662.3</v>
      </c>
      <c r="K13" s="16" t="n">
        <v>516.9299999999999</v>
      </c>
      <c r="L13" s="16" t="n">
        <v>516.73</v>
      </c>
      <c r="M13" s="16" t="n">
        <v>527.27</v>
      </c>
      <c r="N13" s="16">
        <f>SUM(B13:M13)</f>
        <v/>
      </c>
      <c r="O13" s="16" t="n">
        <v>546.7</v>
      </c>
      <c r="P13" s="16" t="n">
        <v>540.97</v>
      </c>
      <c r="Q13" s="16" t="n">
        <v>497.41</v>
      </c>
      <c r="R13" s="16" t="n">
        <v>511.34</v>
      </c>
      <c r="S13" s="16" t="n">
        <v>489.65</v>
      </c>
      <c r="T13" s="16" t="n">
        <v>472.83</v>
      </c>
      <c r="U13" s="16" t="n">
        <v>513.88</v>
      </c>
      <c r="AA13" s="16">
        <f>SUM(O13:U13)</f>
        <v/>
      </c>
      <c r="AB13" s="16">
        <f>SUM(O13:Z13)</f>
        <v/>
      </c>
      <c r="AC13" s="16" t="n">
        <v>513.88</v>
      </c>
      <c r="AD13" s="16" t="n">
        <v>513.88</v>
      </c>
      <c r="AE13" s="16" t="n">
        <v>513.88</v>
      </c>
      <c r="AF13" s="16" t="n">
        <v>513.88</v>
      </c>
      <c r="AG13" s="16" t="n">
        <v>513.88</v>
      </c>
      <c r="AH13" s="16" t="n">
        <v>513.88</v>
      </c>
      <c r="AI13" s="10">
        <f>SUM(AC13:AH13)</f>
        <v/>
      </c>
      <c r="AJ13" s="16">
        <f>SUM(AC13:AH13)+AI13</f>
        <v/>
      </c>
      <c r="AK13" s="11">
        <f>IF(N13&lt;&gt;0,(AB13-N13)/ABS(N13),0)</f>
        <v/>
      </c>
      <c r="AL13" s="11">
        <f>IF(AB13&lt;&gt;0,(AJ13-AB13)/ABS(AB13),0)</f>
        <v/>
      </c>
    </row>
    <row r="14" ht="13" customHeight="1">
      <c r="A14" s="15" t="inlineStr">
        <is>
          <t xml:space="preserve">    Uniform</t>
        </is>
      </c>
      <c r="B14" s="16" t="n">
        <v>70.56</v>
      </c>
      <c r="C14" s="16" t="n">
        <v>56.16</v>
      </c>
      <c r="D14" s="16" t="n">
        <v>171.23</v>
      </c>
      <c r="E14" s="16" t="n">
        <v>0</v>
      </c>
      <c r="F14" s="16" t="n">
        <v>119.96</v>
      </c>
      <c r="G14" s="16" t="n">
        <v>78.48</v>
      </c>
      <c r="H14" s="16" t="n">
        <v>0</v>
      </c>
      <c r="I14" s="16" t="n">
        <v>0</v>
      </c>
      <c r="J14" s="16" t="n">
        <v>0</v>
      </c>
      <c r="K14" s="16" t="n">
        <v>136.44</v>
      </c>
      <c r="L14" s="16" t="n">
        <v>0</v>
      </c>
      <c r="M14" s="16" t="n">
        <v>0</v>
      </c>
      <c r="N14" s="16">
        <f>SUM(B14:M14)</f>
        <v/>
      </c>
      <c r="O14" s="16" t="n">
        <v>135.3</v>
      </c>
      <c r="P14" s="16" t="n">
        <v>0</v>
      </c>
      <c r="Q14" s="16" t="n">
        <v>0</v>
      </c>
      <c r="R14" s="16" t="n">
        <v>0</v>
      </c>
      <c r="S14" s="16" t="n">
        <v>0</v>
      </c>
      <c r="T14" s="16" t="n">
        <v>59.28</v>
      </c>
      <c r="U14" s="16" t="n">
        <v>29.94</v>
      </c>
      <c r="AA14" s="16">
        <f>SUM(O14:U14)</f>
        <v/>
      </c>
      <c r="AB14" s="16">
        <f>SUM(O14:Z14)</f>
        <v/>
      </c>
      <c r="AC14" s="16" t="n">
        <v>50</v>
      </c>
      <c r="AD14" s="16" t="n">
        <v>50</v>
      </c>
      <c r="AE14" s="16" t="n">
        <v>50</v>
      </c>
      <c r="AF14" s="16" t="n">
        <v>50</v>
      </c>
      <c r="AG14" s="16" t="n">
        <v>50</v>
      </c>
      <c r="AH14" s="16" t="n">
        <v>50</v>
      </c>
      <c r="AI14" s="10">
        <f>SUM(AC14:AH14)</f>
        <v/>
      </c>
      <c r="AJ14" s="16">
        <f>SUM(AC14:AH14)+AI14</f>
        <v/>
      </c>
      <c r="AK14" s="11">
        <f>IF(N14&lt;&gt;0,(AB14-N14)/ABS(N14),0)</f>
        <v/>
      </c>
      <c r="AL14" s="11">
        <f>IF(AB14&lt;&gt;0,(AJ14-AB14)/ABS(AB14),0)</f>
        <v/>
      </c>
    </row>
    <row r="15" ht="13" customHeight="1">
      <c r="A15" s="15" t="inlineStr">
        <is>
          <t xml:space="preserve">    Training</t>
        </is>
      </c>
      <c r="B15" s="16" t="n">
        <v>96</v>
      </c>
      <c r="C15" s="16" t="n">
        <v>0</v>
      </c>
      <c r="D15" s="16" t="n">
        <v>48</v>
      </c>
      <c r="E15" s="16" t="n">
        <v>156</v>
      </c>
      <c r="F15" s="16" t="n">
        <v>98.40000000000001</v>
      </c>
      <c r="G15" s="16" t="n">
        <v>0</v>
      </c>
      <c r="H15" s="16" t="n">
        <v>270</v>
      </c>
      <c r="I15" s="16" t="n">
        <v>0</v>
      </c>
      <c r="J15" s="16" t="n">
        <v>0</v>
      </c>
      <c r="K15" s="16" t="n">
        <v>193.2</v>
      </c>
      <c r="L15" s="16" t="n">
        <v>594</v>
      </c>
      <c r="M15" s="16" t="n">
        <v>37.2</v>
      </c>
      <c r="N15" s="16">
        <f>SUM(B15:M15)</f>
        <v/>
      </c>
      <c r="O15" s="16" t="n">
        <v>0</v>
      </c>
      <c r="P15" s="16" t="n">
        <v>58</v>
      </c>
      <c r="Q15" s="16" t="n">
        <v>0</v>
      </c>
      <c r="R15" s="16" t="n">
        <v>24</v>
      </c>
      <c r="S15" s="16" t="n">
        <v>0</v>
      </c>
      <c r="T15" s="16" t="n">
        <v>-500</v>
      </c>
      <c r="U15" s="16" t="n">
        <v>331.63</v>
      </c>
      <c r="AA15" s="16">
        <f>SUM(O15:U15)</f>
        <v/>
      </c>
      <c r="AB15" s="16">
        <f>SUM(O15:Z15)</f>
        <v/>
      </c>
      <c r="AC15" s="16" t="n">
        <v>0</v>
      </c>
      <c r="AD15" s="16" t="n">
        <v>0</v>
      </c>
      <c r="AE15" s="16" t="n">
        <v>0</v>
      </c>
      <c r="AF15" s="16" t="n">
        <v>0</v>
      </c>
      <c r="AG15" s="16" t="n">
        <v>0</v>
      </c>
      <c r="AH15" s="16" t="n">
        <v>0</v>
      </c>
      <c r="AI15" s="10">
        <f>SUM(AC15:AH15)</f>
        <v/>
      </c>
      <c r="AJ15" s="16">
        <f>SUM(AC15:AH15)+AI15</f>
        <v/>
      </c>
      <c r="AK15" s="11">
        <f>IF(N15&lt;&gt;0,(AB15-N15)/ABS(N15),0)</f>
        <v/>
      </c>
      <c r="AL15" s="11">
        <f>IF(AB15&lt;&gt;0,(AJ15-AB15)/ABS(AB15),0)</f>
        <v/>
      </c>
    </row>
    <row r="16" ht="13" customHeight="1">
      <c r="A16" s="15" t="inlineStr">
        <is>
          <t xml:space="preserve">    Staff Welfare</t>
        </is>
      </c>
      <c r="B16" s="16" t="n">
        <v>133.75</v>
      </c>
      <c r="C16" s="16" t="n">
        <v>119.98</v>
      </c>
      <c r="D16" s="16" t="n">
        <v>168.98</v>
      </c>
      <c r="E16" s="16" t="n">
        <v>151.14</v>
      </c>
      <c r="F16" s="16" t="n">
        <v>162.64</v>
      </c>
      <c r="G16" s="16" t="n">
        <v>156.4</v>
      </c>
      <c r="H16" s="16" t="n">
        <v>78.23999999999999</v>
      </c>
      <c r="I16" s="16" t="n">
        <v>238.74</v>
      </c>
      <c r="J16" s="16" t="n">
        <v>0</v>
      </c>
      <c r="K16" s="16" t="n">
        <v>154.24</v>
      </c>
      <c r="L16" s="16" t="n">
        <v>73.00999999999999</v>
      </c>
      <c r="M16" s="16" t="n">
        <v>375.95</v>
      </c>
      <c r="N16" s="16">
        <f>SUM(B16:M16)</f>
        <v/>
      </c>
      <c r="O16" s="16" t="n">
        <v>132.69</v>
      </c>
      <c r="P16" s="16" t="n">
        <v>153.97</v>
      </c>
      <c r="Q16" s="16" t="n">
        <v>157.6</v>
      </c>
      <c r="R16" s="16" t="n">
        <v>163.93</v>
      </c>
      <c r="S16" s="16" t="n">
        <v>163.71</v>
      </c>
      <c r="T16" s="16" t="n">
        <v>48.41</v>
      </c>
      <c r="U16" s="16" t="n">
        <v>199.54</v>
      </c>
      <c r="AA16" s="16">
        <f>SUM(O16:U16)</f>
        <v/>
      </c>
      <c r="AB16" s="16">
        <f>SUM(O16:Z16)</f>
        <v/>
      </c>
      <c r="AC16" s="16" t="n">
        <v>132.69</v>
      </c>
      <c r="AD16" s="16" t="n">
        <v>132.69</v>
      </c>
      <c r="AE16" s="16" t="n">
        <v>132.69</v>
      </c>
      <c r="AF16" s="16" t="n">
        <v>132.69</v>
      </c>
      <c r="AG16" s="16" t="n">
        <v>132.69</v>
      </c>
      <c r="AH16" s="16" t="n">
        <v>132.69</v>
      </c>
      <c r="AI16" s="10">
        <f>SUM(AC16:AH16)</f>
        <v/>
      </c>
      <c r="AJ16" s="16">
        <f>SUM(AC16:AH16)+AI16</f>
        <v/>
      </c>
      <c r="AK16" s="11">
        <f>IF(N16&lt;&gt;0,(AB16-N16)/ABS(N16),0)</f>
        <v/>
      </c>
      <c r="AL16" s="11">
        <f>IF(AB16&lt;&gt;0,(AJ16-AB16)/ABS(AB16),0)</f>
        <v/>
      </c>
    </row>
    <row r="17" ht="13" customHeight="1">
      <c r="A17" s="15" t="inlineStr">
        <is>
          <t xml:space="preserve">    Recruitment</t>
        </is>
      </c>
      <c r="B17" s="16" t="n">
        <v>0</v>
      </c>
      <c r="C17" s="16" t="n">
        <v>0</v>
      </c>
      <c r="D17" s="16" t="n">
        <v>0</v>
      </c>
      <c r="E17" s="16" t="n">
        <v>0</v>
      </c>
      <c r="F17" s="16" t="n">
        <v>0</v>
      </c>
      <c r="G17" s="16" t="n">
        <v>0</v>
      </c>
      <c r="H17" s="16" t="n">
        <v>0</v>
      </c>
      <c r="I17" s="16" t="n">
        <v>0</v>
      </c>
      <c r="J17" s="16" t="n">
        <v>0</v>
      </c>
      <c r="K17" s="16" t="n">
        <v>0</v>
      </c>
      <c r="L17" s="16" t="n">
        <v>0</v>
      </c>
      <c r="M17" s="16" t="n">
        <v>0</v>
      </c>
      <c r="N17" s="16">
        <f>SUM(B17:M17)</f>
        <v/>
      </c>
      <c r="O17" s="16" t="n">
        <v>0</v>
      </c>
      <c r="P17" s="16" t="n">
        <v>0</v>
      </c>
      <c r="Q17" s="16" t="n">
        <v>0</v>
      </c>
      <c r="R17" s="16" t="n">
        <v>0</v>
      </c>
      <c r="S17" s="16" t="n">
        <v>0</v>
      </c>
      <c r="T17" s="16" t="n">
        <v>0</v>
      </c>
      <c r="U17" s="16" t="n">
        <v>0</v>
      </c>
      <c r="V17" s="16" t="n">
        <v>0</v>
      </c>
      <c r="W17" s="16" t="n">
        <v>0</v>
      </c>
      <c r="X17" s="16" t="n">
        <v>0</v>
      </c>
      <c r="Y17" s="16" t="n">
        <v>0</v>
      </c>
      <c r="Z17" s="16" t="n">
        <v>0</v>
      </c>
      <c r="AA17" s="16">
        <f>SUM(O17:U17)</f>
        <v/>
      </c>
      <c r="AB17" s="16">
        <f>SUM(O17:Z17)</f>
        <v/>
      </c>
      <c r="AC17" s="16" t="n">
        <v>0</v>
      </c>
      <c r="AD17" s="16" t="n">
        <v>0</v>
      </c>
      <c r="AE17" s="16" t="n">
        <v>0</v>
      </c>
      <c r="AF17" s="16" t="n">
        <v>0</v>
      </c>
      <c r="AG17" s="16" t="n">
        <v>0</v>
      </c>
      <c r="AH17" s="16" t="n">
        <v>0</v>
      </c>
      <c r="AI17" s="10">
        <f>SUM(AC17:AH17)</f>
        <v/>
      </c>
      <c r="AJ17" s="16">
        <f>SUM(AC17:AH17)+AI17</f>
        <v/>
      </c>
      <c r="AK17" s="11">
        <f>IF(N17&lt;&gt;0,(AB17-N17)/ABS(N17),0)</f>
        <v/>
      </c>
      <c r="AL17" s="11">
        <f>IF(AB17&lt;&gt;0,(AJ17-AB17)/ABS(AB17),0)</f>
        <v/>
      </c>
    </row>
    <row r="18" ht="13" customHeight="1">
      <c r="A18" s="15" t="inlineStr">
        <is>
          <t xml:space="preserve">    Rewards &amp; Recognition</t>
        </is>
      </c>
      <c r="B18" s="16" t="n">
        <v>0</v>
      </c>
      <c r="C18" s="16" t="n">
        <v>0</v>
      </c>
      <c r="D18" s="16" t="n">
        <v>0</v>
      </c>
      <c r="E18" s="16" t="n">
        <v>0</v>
      </c>
      <c r="F18" s="16" t="n">
        <v>0</v>
      </c>
      <c r="G18" s="16" t="n">
        <v>0</v>
      </c>
      <c r="H18" s="16" t="n">
        <v>30</v>
      </c>
      <c r="I18" s="16" t="n">
        <v>9.49</v>
      </c>
      <c r="J18" s="16" t="n">
        <v>21</v>
      </c>
      <c r="K18" s="16" t="n">
        <v>26.97</v>
      </c>
      <c r="L18" s="16" t="n">
        <v>0</v>
      </c>
      <c r="M18" s="16" t="n">
        <v>10.05</v>
      </c>
      <c r="N18" s="16">
        <f>SUM(B18:M18)</f>
        <v/>
      </c>
      <c r="O18" s="16" t="n">
        <v>30</v>
      </c>
      <c r="P18" s="16" t="n">
        <v>50.75</v>
      </c>
      <c r="Q18" s="16" t="n">
        <v>27.55</v>
      </c>
      <c r="R18" s="16" t="n">
        <v>0</v>
      </c>
      <c r="S18" s="16" t="n">
        <v>0</v>
      </c>
      <c r="T18" s="16" t="n">
        <v>0</v>
      </c>
      <c r="U18" s="16" t="n">
        <v>0</v>
      </c>
      <c r="AA18" s="16">
        <f>SUM(O18:U18)</f>
        <v/>
      </c>
      <c r="AB18" s="16">
        <f>SUM(O18:Z18)</f>
        <v/>
      </c>
      <c r="AC18" s="16" t="n">
        <v>42</v>
      </c>
      <c r="AD18" s="16" t="n">
        <v>42</v>
      </c>
      <c r="AE18" s="16" t="n">
        <v>42</v>
      </c>
      <c r="AF18" s="16" t="n">
        <v>42</v>
      </c>
      <c r="AG18" s="16" t="n">
        <v>42</v>
      </c>
      <c r="AH18" s="16" t="n">
        <v>42</v>
      </c>
      <c r="AI18" s="10">
        <f>SUM(AC18:AH18)</f>
        <v/>
      </c>
      <c r="AJ18" s="16">
        <f>SUM(AC18:AH18)+AI18</f>
        <v/>
      </c>
      <c r="AK18" s="11">
        <f>IF(N18&lt;&gt;0,(AB18-N18)/ABS(N18),0)</f>
        <v/>
      </c>
      <c r="AL18" s="11">
        <f>IF(AB18&lt;&gt;0,(AJ18-AB18)/ABS(AB18),0)</f>
        <v/>
      </c>
    </row>
    <row r="19" ht="13" customHeight="1">
      <c r="A19" s="15" t="inlineStr">
        <is>
          <t xml:space="preserve">    Temps</t>
        </is>
      </c>
      <c r="B19" s="16" t="n">
        <v>0</v>
      </c>
      <c r="C19" s="16" t="n">
        <v>0</v>
      </c>
      <c r="D19" s="16" t="n">
        <v>0</v>
      </c>
      <c r="E19" s="16" t="n">
        <v>0</v>
      </c>
      <c r="F19" s="16" t="n">
        <v>0</v>
      </c>
      <c r="G19" s="16" t="n">
        <v>0</v>
      </c>
      <c r="H19" s="16" t="n">
        <v>0</v>
      </c>
      <c r="I19" s="16" t="n">
        <v>0</v>
      </c>
      <c r="J19" s="16" t="n">
        <v>0</v>
      </c>
      <c r="K19" s="16" t="n">
        <v>0</v>
      </c>
      <c r="L19" s="16" t="n">
        <v>0</v>
      </c>
      <c r="M19" s="16" t="n">
        <v>0</v>
      </c>
      <c r="N19" s="16">
        <f>SUM(B19:M19)</f>
        <v/>
      </c>
      <c r="O19" s="16" t="n">
        <v>0</v>
      </c>
      <c r="P19" s="16" t="n">
        <v>0</v>
      </c>
      <c r="Q19" s="16" t="n">
        <v>0</v>
      </c>
      <c r="R19" s="16" t="n">
        <v>0</v>
      </c>
      <c r="S19" s="16" t="n">
        <v>0</v>
      </c>
      <c r="T19" s="16" t="n">
        <v>0</v>
      </c>
      <c r="U19" s="16" t="n">
        <v>0</v>
      </c>
      <c r="V19" s="16" t="n">
        <v>0</v>
      </c>
      <c r="W19" s="16" t="n">
        <v>0</v>
      </c>
      <c r="X19" s="16" t="n">
        <v>0</v>
      </c>
      <c r="Y19" s="16" t="n">
        <v>0</v>
      </c>
      <c r="Z19" s="16" t="n">
        <v>0</v>
      </c>
      <c r="AA19" s="16">
        <f>SUM(O19:U19)</f>
        <v/>
      </c>
      <c r="AB19" s="16">
        <f>SUM(O19:Z19)</f>
        <v/>
      </c>
      <c r="AC19" s="16" t="n">
        <v>0</v>
      </c>
      <c r="AD19" s="16" t="n">
        <v>0</v>
      </c>
      <c r="AE19" s="16" t="n">
        <v>0</v>
      </c>
      <c r="AF19" s="16" t="n">
        <v>0</v>
      </c>
      <c r="AG19" s="16" t="n">
        <v>0</v>
      </c>
      <c r="AH19" s="16" t="n">
        <v>0</v>
      </c>
      <c r="AI19" s="10">
        <f>SUM(AC19:AH19)</f>
        <v/>
      </c>
      <c r="AJ19" s="16">
        <f>SUM(AC19:AH19)+AI19</f>
        <v/>
      </c>
      <c r="AK19" s="11">
        <f>IF(N19&lt;&gt;0,(AB19-N19)/ABS(N19),0)</f>
        <v/>
      </c>
      <c r="AL19" s="11">
        <f>IF(AB19&lt;&gt;0,(AJ19-AB19)/ABS(AB19),0)</f>
        <v/>
      </c>
    </row>
    <row r="20" ht="13" customHeight="1">
      <c r="A20" s="17" t="inlineStr">
        <is>
          <t>Total Personnel</t>
        </is>
      </c>
      <c r="B20" s="18">
        <f>B11+B12+B13+B14+B15+B16+B17+B18+B19</f>
        <v/>
      </c>
      <c r="C20" s="18">
        <f>C11+C12+C13+C14+C15+C16+C17+C18+C19</f>
        <v/>
      </c>
      <c r="D20" s="18">
        <f>D11+D12+D13+D14+D15+D16+D17+D18+D19</f>
        <v/>
      </c>
      <c r="E20" s="18">
        <f>E11+E12+E13+E14+E15+E16+E17+E18+E19</f>
        <v/>
      </c>
      <c r="F20" s="18">
        <f>F11+F12+F13+F14+F15+F16+F17+F18+F19</f>
        <v/>
      </c>
      <c r="G20" s="18">
        <f>G11+G12+G13+G14+G15+G16+G17+G18+G19</f>
        <v/>
      </c>
      <c r="H20" s="18">
        <f>H11+H12+H13+H14+H15+H16+H17+H18+H19</f>
        <v/>
      </c>
      <c r="I20" s="18">
        <f>I11+I12+I13+I14+I15+I16+I17+I18+I19</f>
        <v/>
      </c>
      <c r="J20" s="18">
        <f>J11+J12+J13+J14+J15+J16+J17+J18+J19</f>
        <v/>
      </c>
      <c r="K20" s="18">
        <f>K11+K12+K13+K14+K15+K16+K17+K18+K19</f>
        <v/>
      </c>
      <c r="L20" s="18">
        <f>L11+L12+L13+L14+L15+L16+L17+L18+L19</f>
        <v/>
      </c>
      <c r="M20" s="18">
        <f>M11+M12+M13+M14+M15+M16+M17+M18+M19</f>
        <v/>
      </c>
      <c r="N20" s="18">
        <f>N11+N12+N13+N14+N15+N16+N17+N18+N19</f>
        <v/>
      </c>
      <c r="O20" s="18">
        <f>O11+O12+O13+O14+O15+O16+O17+O18+O19</f>
        <v/>
      </c>
      <c r="P20" s="18">
        <f>P11+P12+P13+P14+P15+P16+P17+P18+P19</f>
        <v/>
      </c>
      <c r="Q20" s="18">
        <f>Q11+Q12+Q13+Q14+Q15+Q16+Q17+Q18+Q19</f>
        <v/>
      </c>
      <c r="R20" s="18">
        <f>R11+R12+R13+R14+R15+R16+R17+R18+R19</f>
        <v/>
      </c>
      <c r="S20" s="18">
        <f>S11+S12+S13+S14+S15+S16+S17+S18+S19</f>
        <v/>
      </c>
      <c r="T20" s="18">
        <f>T11+T12+T13+T14+T15+T16+T17+T18+T19</f>
        <v/>
      </c>
      <c r="U20" s="18">
        <f>U11+U12+U13+U14+U15+U16+U17+U18+U19</f>
        <v/>
      </c>
      <c r="V20" s="18">
        <f>V11+V12+V13+V14+V15+V16+V17+V18+V19</f>
        <v/>
      </c>
      <c r="W20" s="18">
        <f>W11+W12+W13+W14+W15+W16+W17+W18+W19</f>
        <v/>
      </c>
      <c r="X20" s="18">
        <f>X11+X12+X13+X14+X15+X16+X17+X18+X19</f>
        <v/>
      </c>
      <c r="Y20" s="18">
        <f>Y11+Y12+Y13+Y14+Y15+Y16+Y17+Y18+Y19</f>
        <v/>
      </c>
      <c r="Z20" s="18">
        <f>Z11+Z12+Z13+Z14+Z15+Z16+Z17+Z18+Z19</f>
        <v/>
      </c>
      <c r="AA20" s="18">
        <f>AA11+AA12+AA13+AA14+AA15+AA16+AA17+AA18+AA19</f>
        <v/>
      </c>
      <c r="AB20" s="18">
        <f>AB11+AB12+AB13+AB14+AB15+AB16+AB17+AB18+AB19</f>
        <v/>
      </c>
      <c r="AC20" s="18">
        <f>AC11+AC12+AC13+AC14+AC15+AC16+AC17+AC18+AC19</f>
        <v/>
      </c>
      <c r="AD20" s="18">
        <f>AD11+AD12+AD13+AD14+AD15+AD16+AD17+AD18+AD19</f>
        <v/>
      </c>
      <c r="AE20" s="18">
        <f>AE11+AE12+AE13+AE14+AE15+AE16+AE17+AE18+AE19</f>
        <v/>
      </c>
      <c r="AF20" s="18">
        <f>AF11+AF12+AF13+AF14+AF15+AF16+AF17+AF18+AF19</f>
        <v/>
      </c>
      <c r="AG20" s="18">
        <f>AG11+AG12+AG13+AG14+AG15+AG16+AG17+AG18+AG19</f>
        <v/>
      </c>
      <c r="AH20" s="18">
        <f>AH11+AH12+AH13+AH14+AH15+AH16+AH17+AH18+AH19</f>
        <v/>
      </c>
      <c r="AI20" s="18">
        <f>AI11+AI12+AI13+AI14+AI15+AI16+AI17+AI18+AI19</f>
        <v/>
      </c>
      <c r="AJ20" s="18">
        <f>AJ11+AJ12+AJ13+AJ14+AJ15+AJ16+AJ17+AJ18+AJ19</f>
        <v/>
      </c>
      <c r="AK20" s="11">
        <f>IF(N20&lt;&gt;0,(AB20-N20)/ABS(N20),0)</f>
        <v/>
      </c>
      <c r="AL20" s="11">
        <f>IF(AB20&lt;&gt;0,(AJ20-AB20)/ABS(AB20),0)</f>
        <v/>
      </c>
    </row>
    <row r="21" ht="13" customHeight="1">
      <c r="A21" s="19" t="inlineStr">
        <is>
          <t xml:space="preserve">    Sal:Rev</t>
        </is>
      </c>
      <c r="B21" s="20">
        <f>IF(B7&gt;0,B20/B7,0)</f>
        <v/>
      </c>
      <c r="C21" s="20">
        <f>IF(C7&gt;0,C20/C7,0)</f>
        <v/>
      </c>
      <c r="D21" s="20">
        <f>IF(D7&gt;0,D20/D7,0)</f>
        <v/>
      </c>
      <c r="E21" s="20">
        <f>IF(E7&gt;0,E20/E7,0)</f>
        <v/>
      </c>
      <c r="F21" s="20">
        <f>IF(F7&gt;0,F20/F7,0)</f>
        <v/>
      </c>
      <c r="G21" s="20">
        <f>IF(G7&gt;0,G20/G7,0)</f>
        <v/>
      </c>
      <c r="H21" s="20">
        <f>IF(H7&gt;0,H20/H7,0)</f>
        <v/>
      </c>
      <c r="I21" s="20">
        <f>IF(I7&gt;0,I20/I7,0)</f>
        <v/>
      </c>
      <c r="J21" s="20">
        <f>IF(J7&gt;0,J20/J7,0)</f>
        <v/>
      </c>
      <c r="K21" s="20">
        <f>IF(K7&gt;0,K20/K7,0)</f>
        <v/>
      </c>
      <c r="L21" s="20">
        <f>IF(L7&gt;0,L20/L7,0)</f>
        <v/>
      </c>
      <c r="M21" s="20">
        <f>IF(M7&gt;0,M20/M7,0)</f>
        <v/>
      </c>
      <c r="N21" s="20">
        <f>IF(N7&gt;0,N20/N7,0)</f>
        <v/>
      </c>
      <c r="O21" s="20">
        <f>IF(O7&gt;0,O20/O7,0)</f>
        <v/>
      </c>
      <c r="P21" s="20">
        <f>IF(P7&gt;0,P20/P7,0)</f>
        <v/>
      </c>
      <c r="Q21" s="20">
        <f>IF(Q7&gt;0,Q20/Q7,0)</f>
        <v/>
      </c>
      <c r="R21" s="20">
        <f>IF(R7&gt;0,R20/R7,0)</f>
        <v/>
      </c>
      <c r="S21" s="20">
        <f>IF(S7&gt;0,S20/S7,0)</f>
        <v/>
      </c>
      <c r="T21" s="20">
        <f>IF(T7&gt;0,T20/T7,0)</f>
        <v/>
      </c>
      <c r="U21" s="20">
        <f>IF(U7&gt;0,U20/U7,0)</f>
        <v/>
      </c>
      <c r="V21" s="20">
        <f>IF(V7&gt;0,V20/V7,0)</f>
        <v/>
      </c>
      <c r="W21" s="20">
        <f>IF(W7&gt;0,W20/W7,0)</f>
        <v/>
      </c>
      <c r="X21" s="20">
        <f>IF(X7&gt;0,X20/X7,0)</f>
        <v/>
      </c>
      <c r="Y21" s="20">
        <f>IF(Y7&gt;0,Y20/Y7,0)</f>
        <v/>
      </c>
      <c r="Z21" s="20">
        <f>IF(Z7&gt;0,Z20/Z7,0)</f>
        <v/>
      </c>
      <c r="AA21" s="20">
        <f>IF(AA7&gt;0,AA20/AA7,0)</f>
        <v/>
      </c>
      <c r="AB21" s="20">
        <f>IF(AB7&gt;0,AB20/AB7,0)</f>
        <v/>
      </c>
      <c r="AC21" s="20">
        <f>IF(AC7&gt;0,AC20/AC7,0)</f>
        <v/>
      </c>
      <c r="AD21" s="20">
        <f>IF(AD7&gt;0,AD20/AD7,0)</f>
        <v/>
      </c>
      <c r="AE21" s="20">
        <f>IF(AE7&gt;0,AE20/AE7,0)</f>
        <v/>
      </c>
      <c r="AF21" s="20">
        <f>IF(AF7&gt;0,AF20/AF7,0)</f>
        <v/>
      </c>
      <c r="AG21" s="20">
        <f>IF(AG7&gt;0,AG20/AG7,0)</f>
        <v/>
      </c>
      <c r="AH21" s="20">
        <f>IF(AH7&gt;0,AH20/AH7,0)</f>
        <v/>
      </c>
      <c r="AI21" s="20">
        <f>IF(AI7&gt;0,AI20/AI7,0)</f>
        <v/>
      </c>
      <c r="AJ21" s="20">
        <f>IF(AJ7&gt;0,AJ20/AJ7,0)</f>
        <v/>
      </c>
    </row>
    <row r="22" ht="5" customHeight="1"/>
    <row r="23" ht="13" customHeight="1">
      <c r="A23" s="14" t="inlineStr">
        <is>
          <t>Childcare</t>
        </is>
      </c>
    </row>
    <row r="24" ht="13" customHeight="1">
      <c r="A24" s="21" t="inlineStr">
        <is>
          <t xml:space="preserve">    Catering Costs</t>
        </is>
      </c>
      <c r="N24" s="22">
        <f>SUM(B24:M24)</f>
        <v/>
      </c>
      <c r="O24" s="22" t="n">
        <v>1913.69</v>
      </c>
      <c r="P24" s="22" t="n">
        <v>2339.36</v>
      </c>
      <c r="Q24" s="22" t="n">
        <v>2227.04</v>
      </c>
      <c r="R24" s="22" t="n">
        <v>1978.58</v>
      </c>
      <c r="S24" s="22" t="n">
        <v>1723.72</v>
      </c>
      <c r="T24" s="22" t="n">
        <v>2074.85</v>
      </c>
      <c r="U24" s="22" t="n">
        <v>2481.22</v>
      </c>
      <c r="V24" s="22" t="n">
        <v>1146.27</v>
      </c>
      <c r="W24" s="22" t="n">
        <v>1532.3724</v>
      </c>
      <c r="X24" s="22" t="n">
        <v>1791.27</v>
      </c>
      <c r="Y24" s="22" t="n">
        <v>1764.99</v>
      </c>
      <c r="Z24" s="22" t="n">
        <v>1495.74</v>
      </c>
      <c r="AA24" s="22">
        <f>SUM(O24:U24)</f>
        <v/>
      </c>
      <c r="AB24" s="22">
        <f>SUM(O24:Z24)</f>
        <v/>
      </c>
      <c r="AC24" s="22" t="n">
        <v>1788.4917</v>
      </c>
      <c r="AD24" s="22" t="n">
        <v>1705.962</v>
      </c>
      <c r="AE24" s="22" t="n">
        <v>2053.6299</v>
      </c>
      <c r="AF24" s="22" t="n">
        <v>1743.4359</v>
      </c>
      <c r="AG24" s="22" t="n">
        <v>1356.5163</v>
      </c>
      <c r="AH24" s="22" t="n">
        <v>1414.7652</v>
      </c>
      <c r="AI24" s="10">
        <f>SUM(AC24:AH24)</f>
        <v/>
      </c>
      <c r="AJ24" s="22">
        <f>SUM(AC24:AH24)+AI24</f>
        <v/>
      </c>
      <c r="AK24" s="11">
        <f>IF(N24&lt;&gt;0,(AB24-N24)/ABS(N24),0)</f>
        <v/>
      </c>
      <c r="AL24" s="11">
        <f>IF(AB24&lt;&gt;0,(AJ24-AB24)/ABS(AB24),0)</f>
        <v/>
      </c>
    </row>
    <row r="25" ht="13" customHeight="1">
      <c r="A25" s="21" t="inlineStr">
        <is>
          <t xml:space="preserve">    Toys and Games</t>
        </is>
      </c>
      <c r="B25" s="22" t="n">
        <v>345.51</v>
      </c>
      <c r="C25" s="22" t="n">
        <v>751.0200000000001</v>
      </c>
      <c r="D25" s="22" t="n">
        <v>178.36</v>
      </c>
      <c r="E25" s="22" t="n">
        <v>150.78</v>
      </c>
      <c r="F25" s="22" t="n">
        <v>488.33</v>
      </c>
      <c r="G25" s="22" t="n">
        <v>322.31</v>
      </c>
      <c r="H25" s="22" t="n">
        <v>82.25999999999999</v>
      </c>
      <c r="I25" s="22" t="n">
        <v>311.59</v>
      </c>
      <c r="J25" s="22" t="n">
        <v>65.91</v>
      </c>
      <c r="K25" s="22" t="n">
        <v>455.4800000000001</v>
      </c>
      <c r="L25" s="22" t="n">
        <v>445.5099999999999</v>
      </c>
      <c r="M25" s="22" t="n">
        <v>229.46</v>
      </c>
      <c r="N25" s="22">
        <f>SUM(B25:M25)</f>
        <v/>
      </c>
      <c r="O25" s="22" t="n">
        <v>272.87</v>
      </c>
      <c r="P25" s="22" t="n">
        <v>16.47</v>
      </c>
      <c r="Q25" s="22" t="n">
        <v>417.58</v>
      </c>
      <c r="R25" s="22" t="n">
        <v>44.43</v>
      </c>
      <c r="S25" s="22" t="n">
        <v>553.8199999999999</v>
      </c>
      <c r="T25" s="22" t="n">
        <v>372.91</v>
      </c>
      <c r="U25" s="22" t="n">
        <v>274.15</v>
      </c>
      <c r="AA25" s="22">
        <f>SUM(O25:U25)</f>
        <v/>
      </c>
      <c r="AB25" s="22">
        <f>SUM(O25:Z25)</f>
        <v/>
      </c>
      <c r="AC25" s="22" t="n">
        <v>53</v>
      </c>
      <c r="AD25" s="22" t="n">
        <v>53</v>
      </c>
      <c r="AE25" s="22" t="n">
        <v>53</v>
      </c>
      <c r="AF25" s="22" t="n">
        <v>53</v>
      </c>
      <c r="AG25" s="22" t="n">
        <v>53</v>
      </c>
      <c r="AH25" s="22" t="n">
        <v>53</v>
      </c>
      <c r="AI25" s="10">
        <f>SUM(AC25:AH25)</f>
        <v/>
      </c>
      <c r="AJ25" s="22">
        <f>SUM(AC25:AH25)+AI25</f>
        <v/>
      </c>
      <c r="AK25" s="11">
        <f>IF(N25&lt;&gt;0,(AB25-N25)/ABS(N25),0)</f>
        <v/>
      </c>
      <c r="AL25" s="11">
        <f>IF(AB25&lt;&gt;0,(AJ25-AB25)/ABS(AB25),0)</f>
        <v/>
      </c>
    </row>
    <row r="26" ht="13" customHeight="1">
      <c r="A26" s="21" t="inlineStr">
        <is>
          <t xml:space="preserve">    Art Materials</t>
        </is>
      </c>
      <c r="N26" s="22">
        <f>SUM(B26:M26)</f>
        <v/>
      </c>
      <c r="O26" s="22" t="n">
        <v>68</v>
      </c>
      <c r="P26" s="22" t="n">
        <v>106.03</v>
      </c>
      <c r="Q26" s="22" t="n">
        <v>139.34</v>
      </c>
      <c r="R26" s="22" t="n">
        <v>75.17</v>
      </c>
      <c r="S26" s="22" t="n">
        <v>133.3</v>
      </c>
      <c r="T26" s="22" t="n">
        <v>104.5</v>
      </c>
      <c r="U26" s="22" t="n">
        <v>50.74</v>
      </c>
      <c r="V26" s="22" t="n">
        <v>76.41800000000001</v>
      </c>
      <c r="W26" s="22" t="n">
        <v>102.15816</v>
      </c>
      <c r="X26" s="22" t="n">
        <v>119.418</v>
      </c>
      <c r="Y26" s="22" t="n">
        <v>117.666</v>
      </c>
      <c r="Z26" s="22" t="n">
        <v>99.71600000000001</v>
      </c>
      <c r="AA26" s="22">
        <f>SUM(O26:U26)</f>
        <v/>
      </c>
      <c r="AB26" s="22">
        <f>SUM(O26:Z26)</f>
        <v/>
      </c>
      <c r="AC26" s="22" t="n">
        <v>119.23278</v>
      </c>
      <c r="AD26" s="22" t="n">
        <v>113.7308</v>
      </c>
      <c r="AE26" s="22" t="n">
        <v>136.90866</v>
      </c>
      <c r="AF26" s="22" t="n">
        <v>116.22906</v>
      </c>
      <c r="AG26" s="22" t="n">
        <v>90.43442</v>
      </c>
      <c r="AH26" s="22" t="n">
        <v>94.31768</v>
      </c>
      <c r="AI26" s="10">
        <f>SUM(AC26:AH26)</f>
        <v/>
      </c>
      <c r="AJ26" s="22">
        <f>SUM(AC26:AH26)+AI26</f>
        <v/>
      </c>
      <c r="AK26" s="11">
        <f>IF(N26&lt;&gt;0,(AB26-N26)/ABS(N26),0)</f>
        <v/>
      </c>
      <c r="AL26" s="11">
        <f>IF(AB26&lt;&gt;0,(AJ26-AB26)/ABS(AB26),0)</f>
        <v/>
      </c>
    </row>
    <row r="27" ht="13" customHeight="1">
      <c r="A27" s="21" t="inlineStr">
        <is>
          <t xml:space="preserve">    Nursery Stationery</t>
        </is>
      </c>
      <c r="B27" s="22" t="n">
        <v>65.61999999999999</v>
      </c>
      <c r="C27" s="22" t="n">
        <v>0</v>
      </c>
      <c r="D27" s="22" t="n">
        <v>34.48999999999999</v>
      </c>
      <c r="E27" s="22" t="n">
        <v>0</v>
      </c>
      <c r="F27" s="22" t="n">
        <v>10.98</v>
      </c>
      <c r="G27" s="22" t="n">
        <v>60.12</v>
      </c>
      <c r="H27" s="22" t="n">
        <v>75.83</v>
      </c>
      <c r="I27" s="22" t="n">
        <v>75.47</v>
      </c>
      <c r="J27" s="22" t="n">
        <v>37.5</v>
      </c>
      <c r="K27" s="22" t="n">
        <v>39.66</v>
      </c>
      <c r="L27" s="22" t="n">
        <v>17.99</v>
      </c>
      <c r="M27" s="22" t="n">
        <v>26.23</v>
      </c>
      <c r="N27" s="22">
        <f>SUM(B27:M27)</f>
        <v/>
      </c>
      <c r="O27" s="22" t="n">
        <v>34.47</v>
      </c>
      <c r="P27" s="22" t="n">
        <v>5.99</v>
      </c>
      <c r="Q27" s="22" t="n">
        <v>35.57</v>
      </c>
      <c r="R27" s="22" t="n">
        <v>10.58</v>
      </c>
      <c r="S27" s="22" t="n">
        <v>32.1</v>
      </c>
      <c r="T27" s="22" t="n">
        <v>12.04</v>
      </c>
      <c r="U27" s="22" t="n">
        <v>5.04</v>
      </c>
      <c r="AA27" s="22">
        <f>SUM(O27:U27)</f>
        <v/>
      </c>
      <c r="AB27" s="22">
        <f>SUM(O27:Z27)</f>
        <v/>
      </c>
      <c r="AC27" s="22" t="n">
        <v>98</v>
      </c>
      <c r="AD27" s="22" t="n">
        <v>98</v>
      </c>
      <c r="AE27" s="22" t="n">
        <v>98</v>
      </c>
      <c r="AF27" s="22" t="n">
        <v>98</v>
      </c>
      <c r="AG27" s="22" t="n">
        <v>98</v>
      </c>
      <c r="AH27" s="22" t="n">
        <v>98</v>
      </c>
      <c r="AI27" s="10">
        <f>SUM(AC27:AH27)</f>
        <v/>
      </c>
      <c r="AJ27" s="22">
        <f>SUM(AC27:AH27)+AI27</f>
        <v/>
      </c>
      <c r="AK27" s="11">
        <f>IF(N27&lt;&gt;0,(AB27-N27)/ABS(N27),0)</f>
        <v/>
      </c>
      <c r="AL27" s="11">
        <f>IF(AB27&lt;&gt;0,(AJ27-AB27)/ABS(AB27),0)</f>
        <v/>
      </c>
    </row>
    <row r="28" ht="13" customHeight="1">
      <c r="A28" s="21" t="inlineStr">
        <is>
          <t xml:space="preserve">    Nursery Equipment</t>
        </is>
      </c>
      <c r="B28" s="22" t="n">
        <v>46.92999999999999</v>
      </c>
      <c r="C28" s="22" t="n">
        <v>379.43</v>
      </c>
      <c r="D28" s="22" t="n">
        <v>0</v>
      </c>
      <c r="E28" s="22" t="n">
        <v>296.79</v>
      </c>
      <c r="F28" s="22" t="n">
        <v>5.49</v>
      </c>
      <c r="G28" s="22" t="n">
        <v>42.48</v>
      </c>
      <c r="H28" s="22" t="n">
        <v>146.76</v>
      </c>
      <c r="I28" s="22" t="n">
        <v>139.82</v>
      </c>
      <c r="J28" s="22" t="n">
        <v>78.06999999999999</v>
      </c>
      <c r="K28" s="22" t="n">
        <v>255.55</v>
      </c>
      <c r="L28" s="22" t="n">
        <v>279.7</v>
      </c>
      <c r="M28" s="22" t="n">
        <v>94.52999999999999</v>
      </c>
      <c r="N28" s="22">
        <f>SUM(B28:M28)</f>
        <v/>
      </c>
      <c r="O28" s="22" t="n">
        <v>18.6</v>
      </c>
      <c r="P28" s="22" t="n">
        <v>0</v>
      </c>
      <c r="Q28" s="22" t="n">
        <v>17.49</v>
      </c>
      <c r="R28" s="22" t="n">
        <v>91.95999999999999</v>
      </c>
      <c r="S28" s="22" t="n">
        <v>-77.97</v>
      </c>
      <c r="T28" s="22" t="n">
        <v>0</v>
      </c>
      <c r="U28" s="22" t="n">
        <v>7.94</v>
      </c>
      <c r="AA28" s="22">
        <f>SUM(O28:U28)</f>
        <v/>
      </c>
      <c r="AB28" s="22">
        <f>SUM(O28:Z28)</f>
        <v/>
      </c>
      <c r="AC28" s="22" t="n">
        <v>53</v>
      </c>
      <c r="AD28" s="22" t="n">
        <v>53</v>
      </c>
      <c r="AE28" s="22" t="n">
        <v>53</v>
      </c>
      <c r="AF28" s="22" t="n">
        <v>53</v>
      </c>
      <c r="AG28" s="22" t="n">
        <v>53</v>
      </c>
      <c r="AH28" s="22" t="n">
        <v>53</v>
      </c>
      <c r="AI28" s="10">
        <f>SUM(AC28:AH28)</f>
        <v/>
      </c>
      <c r="AJ28" s="22">
        <f>SUM(AC28:AH28)+AI28</f>
        <v/>
      </c>
      <c r="AK28" s="11">
        <f>IF(N28&lt;&gt;0,(AB28-N28)/ABS(N28),0)</f>
        <v/>
      </c>
      <c r="AL28" s="11">
        <f>IF(AB28&lt;&gt;0,(AJ28-AB28)/ABS(AB28),0)</f>
        <v/>
      </c>
    </row>
    <row r="29" ht="13" customHeight="1">
      <c r="A29" s="21" t="inlineStr">
        <is>
          <t xml:space="preserve">    Nursery Consumables</t>
        </is>
      </c>
      <c r="N29" s="22">
        <f>SUM(B29:M29)</f>
        <v/>
      </c>
      <c r="O29" s="22" t="n">
        <v>284.34</v>
      </c>
      <c r="P29" s="22" t="n">
        <v>440.32</v>
      </c>
      <c r="Q29" s="22" t="n">
        <v>438.53</v>
      </c>
      <c r="R29" s="22" t="n">
        <v>394.8199999999999</v>
      </c>
      <c r="S29" s="22" t="n">
        <v>302.87</v>
      </c>
      <c r="T29" s="22" t="n">
        <v>208.43</v>
      </c>
      <c r="U29" s="22" t="n">
        <v>87.88</v>
      </c>
      <c r="V29" s="22" t="n">
        <v>152.836</v>
      </c>
      <c r="W29" s="22" t="n">
        <v>204.31632</v>
      </c>
      <c r="X29" s="22" t="n">
        <v>238.836</v>
      </c>
      <c r="Y29" s="22" t="n">
        <v>235.332</v>
      </c>
      <c r="Z29" s="22" t="n">
        <v>199.432</v>
      </c>
      <c r="AA29" s="22">
        <f>SUM(O29:U29)</f>
        <v/>
      </c>
      <c r="AB29" s="22">
        <f>SUM(O29:Z29)</f>
        <v/>
      </c>
      <c r="AC29" s="22" t="n">
        <v>238.46556</v>
      </c>
      <c r="AD29" s="22" t="n">
        <v>227.4616</v>
      </c>
      <c r="AE29" s="22" t="n">
        <v>273.81732</v>
      </c>
      <c r="AF29" s="22" t="n">
        <v>232.45812</v>
      </c>
      <c r="AG29" s="22" t="n">
        <v>180.86884</v>
      </c>
      <c r="AH29" s="22" t="n">
        <v>188.63536</v>
      </c>
      <c r="AI29" s="10">
        <f>SUM(AC29:AH29)</f>
        <v/>
      </c>
      <c r="AJ29" s="22">
        <f>SUM(AC29:AH29)+AI29</f>
        <v/>
      </c>
      <c r="AK29" s="11">
        <f>IF(N29&lt;&gt;0,(AB29-N29)/ABS(N29),0)</f>
        <v/>
      </c>
      <c r="AL29" s="11">
        <f>IF(AB29&lt;&gt;0,(AJ29-AB29)/ABS(AB29),0)</f>
        <v/>
      </c>
    </row>
    <row r="30" ht="13" customHeight="1">
      <c r="A30" s="23" t="inlineStr">
        <is>
          <t>Total Childcare Costs</t>
        </is>
      </c>
      <c r="B30" s="24">
        <f>B24+B25+B26+B27+B28+B29</f>
        <v/>
      </c>
      <c r="C30" s="24">
        <f>C24+C25+C26+C27+C28+C29</f>
        <v/>
      </c>
      <c r="D30" s="24">
        <f>D24+D25+D26+D27+D28+D29</f>
        <v/>
      </c>
      <c r="E30" s="24">
        <f>E24+E25+E26+E27+E28+E29</f>
        <v/>
      </c>
      <c r="F30" s="24">
        <f>F24+F25+F26+F27+F28+F29</f>
        <v/>
      </c>
      <c r="G30" s="24">
        <f>G24+G25+G26+G27+G28+G29</f>
        <v/>
      </c>
      <c r="H30" s="24">
        <f>H24+H25+H26+H27+H28+H29</f>
        <v/>
      </c>
      <c r="I30" s="24">
        <f>I24+I25+I26+I27+I28+I29</f>
        <v/>
      </c>
      <c r="J30" s="24">
        <f>J24+J25+J26+J27+J28+J29</f>
        <v/>
      </c>
      <c r="K30" s="24">
        <f>K24+K25+K26+K27+K28+K29</f>
        <v/>
      </c>
      <c r="L30" s="24">
        <f>L24+L25+L26+L27+L28+L29</f>
        <v/>
      </c>
      <c r="M30" s="24">
        <f>M24+M25+M26+M27+M28+M29</f>
        <v/>
      </c>
      <c r="N30" s="24">
        <f>N24+N25+N26+N27+N28+N29</f>
        <v/>
      </c>
      <c r="O30" s="24">
        <f>O24+O25+O26+O27+O28+O29</f>
        <v/>
      </c>
      <c r="P30" s="24">
        <f>P24+P25+P26+P27+P28+P29</f>
        <v/>
      </c>
      <c r="Q30" s="24">
        <f>Q24+Q25+Q26+Q27+Q28+Q29</f>
        <v/>
      </c>
      <c r="R30" s="24">
        <f>R24+R25+R26+R27+R28+R29</f>
        <v/>
      </c>
      <c r="S30" s="24">
        <f>S24+S25+S26+S27+S28+S29</f>
        <v/>
      </c>
      <c r="T30" s="24">
        <f>T24+T25+T26+T27+T28+T29</f>
        <v/>
      </c>
      <c r="U30" s="24">
        <f>U24+U25+U26+U27+U28+U29</f>
        <v/>
      </c>
      <c r="V30" s="24">
        <f>V24+V25+V26+V27+V28+V29</f>
        <v/>
      </c>
      <c r="W30" s="24">
        <f>W24+W25+W26+W27+W28+W29</f>
        <v/>
      </c>
      <c r="X30" s="24">
        <f>X24+X25+X26+X27+X28+X29</f>
        <v/>
      </c>
      <c r="Y30" s="24">
        <f>Y24+Y25+Y26+Y27+Y28+Y29</f>
        <v/>
      </c>
      <c r="Z30" s="24">
        <f>Z24+Z25+Z26+Z27+Z28+Z29</f>
        <v/>
      </c>
      <c r="AA30" s="24">
        <f>AA24+AA25+AA26+AA27+AA28+AA29</f>
        <v/>
      </c>
      <c r="AB30" s="24">
        <f>AB24+AB25+AB26+AB27+AB28+AB29</f>
        <v/>
      </c>
      <c r="AC30" s="24">
        <f>AC24+AC25+AC26+AC27+AC28+AC29</f>
        <v/>
      </c>
      <c r="AD30" s="24">
        <f>AD24+AD25+AD26+AD27+AD28+AD29</f>
        <v/>
      </c>
      <c r="AE30" s="24">
        <f>AE24+AE25+AE26+AE27+AE28+AE29</f>
        <v/>
      </c>
      <c r="AF30" s="24">
        <f>AF24+AF25+AF26+AF27+AF28+AF29</f>
        <v/>
      </c>
      <c r="AG30" s="24">
        <f>AG24+AG25+AG26+AG27+AG28+AG29</f>
        <v/>
      </c>
      <c r="AH30" s="24">
        <f>AH24+AH25+AH26+AH27+AH28+AH29</f>
        <v/>
      </c>
      <c r="AI30" s="24">
        <f>AI24+AI25+AI26+AI27+AI28+AI29</f>
        <v/>
      </c>
      <c r="AJ30" s="24">
        <f>AJ24+AJ25+AJ26+AJ27+AJ28+AJ29</f>
        <v/>
      </c>
      <c r="AK30" s="11">
        <f>IF(N30&lt;&gt;0,(AB30-N30)/ABS(N30),0)</f>
        <v/>
      </c>
      <c r="AL30" s="11">
        <f>IF(AB30&lt;&gt;0,(AJ30-AB30)/ABS(AB30),0)</f>
        <v/>
      </c>
    </row>
    <row r="31" ht="5" customHeight="1"/>
    <row r="32" ht="13" customHeight="1">
      <c r="A32" s="14" t="inlineStr">
        <is>
          <t>Premises &amp; Admin</t>
        </is>
      </c>
    </row>
    <row r="33" ht="13" customHeight="1">
      <c r="A33" s="25" t="inlineStr">
        <is>
          <t xml:space="preserve">    Rent</t>
        </is>
      </c>
      <c r="B33" s="26" t="n">
        <v>4645.83</v>
      </c>
      <c r="C33" s="26" t="n">
        <v>4645.83</v>
      </c>
      <c r="D33" s="26" t="n">
        <v>4645.83</v>
      </c>
      <c r="E33" s="26" t="n">
        <v>4645.83</v>
      </c>
      <c r="F33" s="26" t="n">
        <v>4645.83</v>
      </c>
      <c r="G33" s="26" t="n">
        <v>4645.83</v>
      </c>
      <c r="H33" s="26" t="n">
        <v>4645.84</v>
      </c>
      <c r="I33" s="26" t="n">
        <v>4645.83</v>
      </c>
      <c r="J33" s="26" t="n">
        <v>4645.84</v>
      </c>
      <c r="K33" s="26" t="n">
        <v>4645.83</v>
      </c>
      <c r="L33" s="26" t="n">
        <v>4645.83</v>
      </c>
      <c r="M33" s="26" t="n">
        <v>4645.83</v>
      </c>
      <c r="N33" s="26">
        <f>SUM(B33:M33)</f>
        <v/>
      </c>
      <c r="O33" s="26" t="n">
        <v>4645.84</v>
      </c>
      <c r="P33" s="26" t="n">
        <v>4645.83</v>
      </c>
      <c r="Q33" s="26" t="n">
        <v>4645.83</v>
      </c>
      <c r="R33" s="26" t="n">
        <v>4645.83</v>
      </c>
      <c r="S33" s="26" t="n">
        <v>4645.83</v>
      </c>
      <c r="T33" s="26" t="n">
        <v>4645.84</v>
      </c>
      <c r="U33" s="26" t="n">
        <v>4645.83</v>
      </c>
      <c r="AA33" s="26">
        <f>SUM(O33:U33)</f>
        <v/>
      </c>
      <c r="AB33" s="26">
        <f>SUM(O33:Z33)</f>
        <v/>
      </c>
      <c r="AC33" s="26" t="n">
        <v>0</v>
      </c>
      <c r="AD33" s="26" t="n">
        <v>0</v>
      </c>
      <c r="AE33" s="26" t="n">
        <v>0</v>
      </c>
      <c r="AF33" s="26" t="n">
        <v>0</v>
      </c>
      <c r="AG33" s="26" t="n">
        <v>0</v>
      </c>
      <c r="AH33" s="26" t="n">
        <v>0</v>
      </c>
      <c r="AI33" s="10">
        <f>SUM(AC33:AH33)</f>
        <v/>
      </c>
      <c r="AJ33" s="26">
        <f>SUM(AC33:AH33)+AI33</f>
        <v/>
      </c>
      <c r="AK33" s="11">
        <f>IF(N33&lt;&gt;0,(AB33-N33)/ABS(N33),0)</f>
        <v/>
      </c>
      <c r="AL33" s="11">
        <f>IF(AB33&lt;&gt;0,(AJ33-AB33)/ABS(AB33),0)</f>
        <v/>
      </c>
    </row>
    <row r="34" ht="13" customHeight="1">
      <c r="A34" s="25" t="inlineStr">
        <is>
          <t xml:space="preserve">    Business Rates</t>
        </is>
      </c>
      <c r="B34" s="26" t="n">
        <v>3844.75</v>
      </c>
      <c r="C34" s="26" t="n">
        <v>3844.75</v>
      </c>
      <c r="D34" s="26" t="n">
        <v>3844.75</v>
      </c>
      <c r="E34" s="26" t="n">
        <v>3908.13</v>
      </c>
      <c r="F34" s="26" t="n">
        <v>3908.13</v>
      </c>
      <c r="G34" s="26" t="n">
        <v>3908.13</v>
      </c>
      <c r="H34" s="26" t="n">
        <v>3908.13</v>
      </c>
      <c r="I34" s="26" t="n">
        <v>3908.13</v>
      </c>
      <c r="J34" s="26" t="n">
        <v>3908.13</v>
      </c>
      <c r="K34" s="26" t="n">
        <v>3908.13</v>
      </c>
      <c r="L34" s="26" t="n">
        <v>3908.13</v>
      </c>
      <c r="M34" s="26" t="n">
        <v>3908.13</v>
      </c>
      <c r="N34" s="26">
        <f>SUM(B34:M34)</f>
        <v/>
      </c>
      <c r="O34" s="26" t="n">
        <v>3908.11</v>
      </c>
      <c r="P34" s="26" t="n">
        <v>3908.11</v>
      </c>
      <c r="Q34" s="26" t="n">
        <v>3908.11</v>
      </c>
      <c r="R34" s="26" t="n">
        <v>3082.92</v>
      </c>
      <c r="S34" s="26" t="n">
        <v>3082.92</v>
      </c>
      <c r="T34" s="26" t="n">
        <v>3082.92</v>
      </c>
      <c r="U34" s="26" t="n">
        <v>3082.92</v>
      </c>
      <c r="AA34" s="26">
        <f>SUM(O34:U34)</f>
        <v/>
      </c>
      <c r="AB34" s="26">
        <f>SUM(O34:Z34)</f>
        <v/>
      </c>
      <c r="AC34" s="26" t="n">
        <v>3082.92</v>
      </c>
      <c r="AD34" s="26" t="n">
        <v>3082.92</v>
      </c>
      <c r="AE34" s="26" t="n">
        <v>3082.92</v>
      </c>
      <c r="AF34" s="26" t="n">
        <v>3082.92</v>
      </c>
      <c r="AG34" s="26" t="n">
        <v>3082.92</v>
      </c>
      <c r="AH34" s="26" t="n">
        <v>3082.92</v>
      </c>
      <c r="AI34" s="10">
        <f>SUM(AC34:AH34)</f>
        <v/>
      </c>
      <c r="AJ34" s="26">
        <f>SUM(AC34:AH34)+AI34</f>
        <v/>
      </c>
      <c r="AK34" s="11">
        <f>IF(N34&lt;&gt;0,(AB34-N34)/ABS(N34),0)</f>
        <v/>
      </c>
      <c r="AL34" s="11">
        <f>IF(AB34&lt;&gt;0,(AJ34-AB34)/ABS(AB34),0)</f>
        <v/>
      </c>
    </row>
    <row r="35" ht="13" customHeight="1">
      <c r="A35" s="25" t="inlineStr">
        <is>
          <t xml:space="preserve">    Utilities</t>
        </is>
      </c>
      <c r="B35" s="26" t="n">
        <v>300</v>
      </c>
      <c r="C35" s="26" t="n">
        <v>300</v>
      </c>
      <c r="D35" s="26" t="n">
        <v>300</v>
      </c>
      <c r="E35" s="26" t="n">
        <v>300</v>
      </c>
      <c r="F35" s="26" t="n">
        <v>300</v>
      </c>
      <c r="G35" s="26" t="n">
        <v>300</v>
      </c>
      <c r="H35" s="26" t="n">
        <v>300</v>
      </c>
      <c r="I35" s="26" t="n">
        <v>300</v>
      </c>
      <c r="J35" s="26" t="n">
        <v>300</v>
      </c>
      <c r="K35" s="26" t="n">
        <v>300</v>
      </c>
      <c r="L35" s="26" t="n">
        <v>300</v>
      </c>
      <c r="M35" s="26" t="n">
        <v>300</v>
      </c>
      <c r="N35" s="26">
        <f>SUM(B35:M35)</f>
        <v/>
      </c>
      <c r="O35" s="26" t="n">
        <v>300</v>
      </c>
      <c r="P35" s="26" t="n">
        <v>300</v>
      </c>
      <c r="Q35" s="26" t="n">
        <v>300</v>
      </c>
      <c r="R35" s="26" t="n">
        <v>300</v>
      </c>
      <c r="S35" s="26" t="n">
        <v>300</v>
      </c>
      <c r="T35" s="26" t="n">
        <v>300</v>
      </c>
      <c r="U35" s="26" t="n">
        <v>300</v>
      </c>
      <c r="AA35" s="26">
        <f>SUM(O35:U35)</f>
        <v/>
      </c>
      <c r="AB35" s="26">
        <f>SUM(O35:Z35)</f>
        <v/>
      </c>
      <c r="AC35" s="26" t="n">
        <v>300</v>
      </c>
      <c r="AD35" s="26" t="n">
        <v>300</v>
      </c>
      <c r="AE35" s="26" t="n">
        <v>300</v>
      </c>
      <c r="AF35" s="26" t="n">
        <v>300</v>
      </c>
      <c r="AG35" s="26" t="n">
        <v>300</v>
      </c>
      <c r="AH35" s="26" t="n">
        <v>300</v>
      </c>
      <c r="AI35" s="10">
        <f>SUM(AC35:AH35)</f>
        <v/>
      </c>
      <c r="AJ35" s="26">
        <f>SUM(AC35:AH35)+AI35</f>
        <v/>
      </c>
      <c r="AK35" s="11">
        <f>IF(N35&lt;&gt;0,(AB35-N35)/ABS(N35),0)</f>
        <v/>
      </c>
      <c r="AL35" s="11">
        <f>IF(AB35&lt;&gt;0,(AJ35-AB35)/ABS(AB35),0)</f>
        <v/>
      </c>
    </row>
    <row r="36" ht="13" customHeight="1">
      <c r="A36" s="25" t="inlineStr">
        <is>
          <t xml:space="preserve">    Repairs &amp; Maintenance</t>
        </is>
      </c>
      <c r="B36" s="26" t="n">
        <v>29.52</v>
      </c>
      <c r="C36" s="26" t="n">
        <v>4464.59</v>
      </c>
      <c r="D36" s="26" t="n">
        <v>0</v>
      </c>
      <c r="E36" s="26" t="n">
        <v>0</v>
      </c>
      <c r="F36" s="26" t="n">
        <v>48.2</v>
      </c>
      <c r="G36" s="26" t="n">
        <v>0</v>
      </c>
      <c r="H36" s="26" t="n">
        <v>0</v>
      </c>
      <c r="I36" s="26" t="n">
        <v>36.18</v>
      </c>
      <c r="J36" s="26" t="n">
        <v>48.39</v>
      </c>
      <c r="K36" s="26" t="n">
        <v>21.13</v>
      </c>
      <c r="L36" s="26" t="n">
        <v>40</v>
      </c>
      <c r="M36" s="26" t="n">
        <v>0</v>
      </c>
      <c r="N36" s="26">
        <f>SUM(B36:M36)</f>
        <v/>
      </c>
      <c r="O36" s="26" t="n">
        <v>0</v>
      </c>
      <c r="P36" s="26" t="n">
        <v>80.40000000000001</v>
      </c>
      <c r="Q36" s="26" t="n">
        <v>0</v>
      </c>
      <c r="R36" s="26" t="n">
        <v>0</v>
      </c>
      <c r="S36" s="26" t="n">
        <v>0</v>
      </c>
      <c r="T36" s="26" t="n">
        <v>0</v>
      </c>
      <c r="U36" s="26" t="n">
        <v>313.1</v>
      </c>
      <c r="AA36" s="26">
        <f>SUM(O36:U36)</f>
        <v/>
      </c>
      <c r="AB36" s="26">
        <f>SUM(O36:Z36)</f>
        <v/>
      </c>
      <c r="AC36" s="26" t="n">
        <v>0</v>
      </c>
      <c r="AD36" s="26" t="n">
        <v>0</v>
      </c>
      <c r="AE36" s="26" t="n">
        <v>0</v>
      </c>
      <c r="AF36" s="26" t="n">
        <v>0</v>
      </c>
      <c r="AG36" s="26" t="n">
        <v>0</v>
      </c>
      <c r="AH36" s="26" t="n">
        <v>0</v>
      </c>
      <c r="AI36" s="10">
        <f>SUM(AC36:AH36)</f>
        <v/>
      </c>
      <c r="AJ36" s="26">
        <f>SUM(AC36:AH36)+AI36</f>
        <v/>
      </c>
      <c r="AK36" s="11">
        <f>IF(N36&lt;&gt;0,(AB36-N36)/ABS(N36),0)</f>
        <v/>
      </c>
      <c r="AL36" s="11">
        <f>IF(AB36&lt;&gt;0,(AJ36-AB36)/ABS(AB36),0)</f>
        <v/>
      </c>
    </row>
    <row r="37" ht="13" customHeight="1">
      <c r="A37" s="25" t="inlineStr">
        <is>
          <t xml:space="preserve">    Cleaning</t>
        </is>
      </c>
      <c r="B37" s="26" t="n">
        <v>1025.16</v>
      </c>
      <c r="C37" s="26" t="n">
        <v>994.6700000000001</v>
      </c>
      <c r="D37" s="26" t="n">
        <v>1230.5</v>
      </c>
      <c r="E37" s="26" t="n">
        <v>952.4300000000001</v>
      </c>
      <c r="F37" s="26" t="n">
        <v>1083.43</v>
      </c>
      <c r="G37" s="26" t="n">
        <v>1263.91</v>
      </c>
      <c r="H37" s="26" t="n">
        <v>1279.37</v>
      </c>
      <c r="I37" s="26" t="n">
        <v>880.76</v>
      </c>
      <c r="J37" s="26" t="n">
        <v>903.78</v>
      </c>
      <c r="K37" s="26" t="n">
        <v>1337.18</v>
      </c>
      <c r="L37" s="26" t="n">
        <v>906.53</v>
      </c>
      <c r="M37" s="26" t="n">
        <v>956.1900000000001</v>
      </c>
      <c r="N37" s="26">
        <f>SUM(B37:M37)</f>
        <v/>
      </c>
      <c r="O37" s="26" t="n">
        <v>1070.49</v>
      </c>
      <c r="P37" s="26" t="n">
        <v>1130.83</v>
      </c>
      <c r="Q37" s="26" t="n">
        <v>1703.53</v>
      </c>
      <c r="R37" s="26" t="n">
        <v>260.51</v>
      </c>
      <c r="S37" s="26" t="n">
        <v>862.84</v>
      </c>
      <c r="T37" s="26" t="n">
        <v>1019.03</v>
      </c>
      <c r="U37" s="26" t="n">
        <v>2198.64</v>
      </c>
      <c r="AA37" s="26">
        <f>SUM(O37:U37)</f>
        <v/>
      </c>
      <c r="AB37" s="26">
        <f>SUM(O37:Z37)</f>
        <v/>
      </c>
      <c r="AC37" s="26" t="n">
        <v>1107</v>
      </c>
      <c r="AD37" s="26" t="n">
        <v>1107</v>
      </c>
      <c r="AE37" s="26" t="n">
        <v>1107</v>
      </c>
      <c r="AF37" s="26" t="n">
        <v>1107</v>
      </c>
      <c r="AG37" s="26" t="n">
        <v>1107</v>
      </c>
      <c r="AH37" s="26" t="n">
        <v>1107</v>
      </c>
      <c r="AI37" s="10">
        <f>SUM(AC37:AH37)</f>
        <v/>
      </c>
      <c r="AJ37" s="26">
        <f>SUM(AC37:AH37)+AI37</f>
        <v/>
      </c>
      <c r="AK37" s="11">
        <f>IF(N37&lt;&gt;0,(AB37-N37)/ABS(N37),0)</f>
        <v/>
      </c>
      <c r="AL37" s="11">
        <f>IF(AB37&lt;&gt;0,(AJ37-AB37)/ABS(AB37),0)</f>
        <v/>
      </c>
    </row>
    <row r="38" ht="13" customHeight="1">
      <c r="A38" s="25" t="inlineStr">
        <is>
          <t xml:space="preserve">    Waste Disposal</t>
        </is>
      </c>
      <c r="B38" s="26" t="n">
        <v>335.27</v>
      </c>
      <c r="C38" s="26" t="n">
        <v>416.27</v>
      </c>
      <c r="D38" s="26" t="n">
        <v>437.9400000000001</v>
      </c>
      <c r="E38" s="26" t="n">
        <v>344.92</v>
      </c>
      <c r="F38" s="26" t="n">
        <v>406.1900000000001</v>
      </c>
      <c r="G38" s="26" t="n">
        <v>426.02</v>
      </c>
      <c r="H38" s="26" t="n">
        <v>372.62</v>
      </c>
      <c r="I38" s="26" t="n">
        <v>437.31</v>
      </c>
      <c r="J38" s="26" t="n">
        <v>655.72</v>
      </c>
      <c r="K38" s="26" t="n">
        <v>386.92</v>
      </c>
      <c r="L38" s="26" t="n">
        <v>388.32</v>
      </c>
      <c r="M38" s="26" t="n">
        <v>441.73</v>
      </c>
      <c r="N38" s="26">
        <f>SUM(B38:M38)</f>
        <v/>
      </c>
      <c r="O38" s="26" t="n">
        <v>427.01</v>
      </c>
      <c r="P38" s="26" t="n">
        <v>402.51</v>
      </c>
      <c r="Q38" s="26" t="n">
        <v>455.91</v>
      </c>
      <c r="R38" s="26" t="n">
        <v>510.55</v>
      </c>
      <c r="S38" s="26" t="n">
        <v>429.51</v>
      </c>
      <c r="T38" s="26" t="n">
        <v>320.85</v>
      </c>
      <c r="U38" s="26" t="n">
        <v>493.58</v>
      </c>
      <c r="AA38" s="26">
        <f>SUM(O38:U38)</f>
        <v/>
      </c>
      <c r="AB38" s="26">
        <f>SUM(O38:Z38)</f>
        <v/>
      </c>
      <c r="AC38" s="26" t="n">
        <v>423</v>
      </c>
      <c r="AD38" s="26" t="n">
        <v>423</v>
      </c>
      <c r="AE38" s="26" t="n">
        <v>423</v>
      </c>
      <c r="AF38" s="26" t="n">
        <v>423</v>
      </c>
      <c r="AG38" s="26" t="n">
        <v>423</v>
      </c>
      <c r="AH38" s="26" t="n">
        <v>423</v>
      </c>
      <c r="AI38" s="10">
        <f>SUM(AC38:AH38)</f>
        <v/>
      </c>
      <c r="AJ38" s="26">
        <f>SUM(AC38:AH38)+AI38</f>
        <v/>
      </c>
      <c r="AK38" s="11">
        <f>IF(N38&lt;&gt;0,(AB38-N38)/ABS(N38),0)</f>
        <v/>
      </c>
      <c r="AL38" s="11">
        <f>IF(AB38&lt;&gt;0,(AJ38-AB38)/ABS(AB38),0)</f>
        <v/>
      </c>
    </row>
    <row r="39" ht="13" customHeight="1">
      <c r="A39" s="25" t="inlineStr">
        <is>
          <t xml:space="preserve">    Postage/Printing/Stationery</t>
        </is>
      </c>
      <c r="B39" s="26" t="n">
        <v>108.05</v>
      </c>
      <c r="C39" s="26" t="n">
        <v>44.34</v>
      </c>
      <c r="D39" s="26" t="n">
        <v>32.23</v>
      </c>
      <c r="E39" s="26" t="n">
        <v>12</v>
      </c>
      <c r="F39" s="26" t="n">
        <v>40.39</v>
      </c>
      <c r="G39" s="26" t="n">
        <v>34.34</v>
      </c>
      <c r="H39" s="26" t="n">
        <v>140.57</v>
      </c>
      <c r="I39" s="26" t="n">
        <v>47.51</v>
      </c>
      <c r="J39" s="26" t="n">
        <v>80.84999999999999</v>
      </c>
      <c r="K39" s="26" t="n">
        <v>63.14</v>
      </c>
      <c r="L39" s="26" t="n">
        <v>51.95</v>
      </c>
      <c r="M39" s="26" t="n">
        <v>154.14</v>
      </c>
      <c r="N39" s="26">
        <f>SUM(B39:M39)</f>
        <v/>
      </c>
      <c r="O39" s="26" t="n">
        <v>19.19</v>
      </c>
      <c r="P39" s="26" t="n">
        <v>48.62</v>
      </c>
      <c r="Q39" s="26" t="n">
        <v>59.29</v>
      </c>
      <c r="R39" s="26" t="n">
        <v>44.34</v>
      </c>
      <c r="S39" s="26" t="n">
        <v>41.65</v>
      </c>
      <c r="T39" s="26" t="n">
        <v>62.16</v>
      </c>
      <c r="U39" s="26" t="n">
        <v>73.75999999999999</v>
      </c>
      <c r="AA39" s="26">
        <f>SUM(O39:U39)</f>
        <v/>
      </c>
      <c r="AB39" s="26">
        <f>SUM(O39:Z39)</f>
        <v/>
      </c>
      <c r="AC39" s="26" t="n">
        <v>0</v>
      </c>
      <c r="AD39" s="26" t="n">
        <v>0</v>
      </c>
      <c r="AE39" s="26" t="n">
        <v>0</v>
      </c>
      <c r="AF39" s="26" t="n">
        <v>0</v>
      </c>
      <c r="AG39" s="26" t="n">
        <v>0</v>
      </c>
      <c r="AH39" s="26" t="n">
        <v>0</v>
      </c>
      <c r="AI39" s="10">
        <f>SUM(AC39:AH39)</f>
        <v/>
      </c>
      <c r="AJ39" s="26">
        <f>SUM(AC39:AH39)+AI39</f>
        <v/>
      </c>
      <c r="AK39" s="11">
        <f>IF(N39&lt;&gt;0,(AB39-N39)/ABS(N39),0)</f>
        <v/>
      </c>
      <c r="AL39" s="11">
        <f>IF(AB39&lt;&gt;0,(AJ39-AB39)/ABS(AB39),0)</f>
        <v/>
      </c>
    </row>
    <row r="40" ht="13" customHeight="1">
      <c r="A40" s="25" t="inlineStr">
        <is>
          <t xml:space="preserve">    Telephone</t>
        </is>
      </c>
      <c r="B40" s="26" t="n">
        <v>0</v>
      </c>
      <c r="C40" s="26" t="n">
        <v>0</v>
      </c>
      <c r="D40" s="26" t="n">
        <v>0</v>
      </c>
      <c r="E40" s="26" t="n">
        <v>0</v>
      </c>
      <c r="F40" s="26" t="n">
        <v>0</v>
      </c>
      <c r="G40" s="26" t="n">
        <v>0</v>
      </c>
      <c r="H40" s="26" t="n">
        <v>0</v>
      </c>
      <c r="I40" s="26" t="n">
        <v>0</v>
      </c>
      <c r="J40" s="26" t="n">
        <v>0</v>
      </c>
      <c r="K40" s="26" t="n">
        <v>0</v>
      </c>
      <c r="L40" s="26" t="n">
        <v>0</v>
      </c>
      <c r="M40" s="26" t="n">
        <v>0</v>
      </c>
      <c r="N40" s="26">
        <f>SUM(B40:M40)</f>
        <v/>
      </c>
      <c r="O40" s="26" t="n">
        <v>0</v>
      </c>
      <c r="P40" s="26" t="n">
        <v>0</v>
      </c>
      <c r="Q40" s="26" t="n">
        <v>74</v>
      </c>
      <c r="R40" s="26" t="n">
        <v>50</v>
      </c>
      <c r="S40" s="26" t="n">
        <v>0</v>
      </c>
      <c r="T40" s="26" t="n">
        <v>0</v>
      </c>
      <c r="U40" s="26" t="n">
        <v>0</v>
      </c>
      <c r="AA40" s="26">
        <f>SUM(O40:U40)</f>
        <v/>
      </c>
      <c r="AB40" s="26">
        <f>SUM(O40:Z40)</f>
        <v/>
      </c>
      <c r="AC40" s="26" t="n">
        <v>0</v>
      </c>
      <c r="AD40" s="26" t="n">
        <v>0</v>
      </c>
      <c r="AE40" s="26" t="n">
        <v>0</v>
      </c>
      <c r="AF40" s="26" t="n">
        <v>0</v>
      </c>
      <c r="AG40" s="26" t="n">
        <v>0</v>
      </c>
      <c r="AH40" s="26" t="n">
        <v>0</v>
      </c>
      <c r="AI40" s="10">
        <f>SUM(AC40:AH40)</f>
        <v/>
      </c>
      <c r="AJ40" s="26">
        <f>SUM(AC40:AH40)+AI40</f>
        <v/>
      </c>
      <c r="AK40" s="11">
        <f>IF(N40&lt;&gt;0,(AB40-N40)/ABS(N40),0)</f>
        <v/>
      </c>
      <c r="AL40" s="11">
        <f>IF(AB40&lt;&gt;0,(AJ40-AB40)/ABS(AB40),0)</f>
        <v/>
      </c>
    </row>
    <row r="41" ht="13" customHeight="1">
      <c r="A41" s="25" t="inlineStr">
        <is>
          <t xml:space="preserve">    Marketing</t>
        </is>
      </c>
      <c r="B41" s="26" t="n">
        <v>0</v>
      </c>
      <c r="C41" s="26" t="n">
        <v>0</v>
      </c>
      <c r="D41" s="26" t="n">
        <v>0</v>
      </c>
      <c r="E41" s="26" t="n">
        <v>0</v>
      </c>
      <c r="F41" s="26" t="n">
        <v>220</v>
      </c>
      <c r="G41" s="26" t="n">
        <v>45</v>
      </c>
      <c r="H41" s="26" t="n">
        <v>0</v>
      </c>
      <c r="I41" s="26" t="n">
        <v>90</v>
      </c>
      <c r="J41" s="26" t="n">
        <v>0</v>
      </c>
      <c r="K41" s="26" t="n">
        <v>137.5</v>
      </c>
      <c r="L41" s="26" t="n">
        <v>137.5</v>
      </c>
      <c r="M41" s="26" t="n">
        <v>137.5</v>
      </c>
      <c r="N41" s="26">
        <f>SUM(B41:M41)</f>
        <v/>
      </c>
      <c r="O41" s="26" t="n">
        <v>236.5</v>
      </c>
      <c r="P41" s="26" t="n">
        <v>137.5</v>
      </c>
      <c r="Q41" s="26" t="n">
        <v>137.5</v>
      </c>
      <c r="R41" s="26" t="n">
        <v>239.5</v>
      </c>
      <c r="S41" s="26" t="n">
        <v>357.5</v>
      </c>
      <c r="T41" s="26" t="n">
        <v>137.5</v>
      </c>
      <c r="U41" s="26" t="n">
        <v>137.5</v>
      </c>
      <c r="AA41" s="26">
        <f>SUM(O41:U41)</f>
        <v/>
      </c>
      <c r="AB41" s="26">
        <f>SUM(O41:Z41)</f>
        <v/>
      </c>
      <c r="AC41" s="26" t="n">
        <v>100</v>
      </c>
      <c r="AD41" s="26" t="n">
        <v>100</v>
      </c>
      <c r="AE41" s="26" t="n">
        <v>100</v>
      </c>
      <c r="AF41" s="26" t="n">
        <v>100</v>
      </c>
      <c r="AG41" s="26" t="n">
        <v>100</v>
      </c>
      <c r="AH41" s="26" t="n">
        <v>100</v>
      </c>
      <c r="AI41" s="10">
        <f>SUM(AC41:AH41)</f>
        <v/>
      </c>
      <c r="AJ41" s="26">
        <f>SUM(AC41:AH41)+AI41</f>
        <v/>
      </c>
      <c r="AK41" s="11">
        <f>IF(N41&lt;&gt;0,(AB41-N41)/ABS(N41),0)</f>
        <v/>
      </c>
      <c r="AL41" s="11">
        <f>IF(AB41&lt;&gt;0,(AJ41-AB41)/ABS(AB41),0)</f>
        <v/>
      </c>
    </row>
    <row r="42" ht="13" customHeight="1">
      <c r="A42" s="27" t="inlineStr">
        <is>
          <t>Total Premises &amp; Admin</t>
        </is>
      </c>
      <c r="B42" s="28">
        <f>B33+B34+B35+B36+B37+B38+B39+B40+B41</f>
        <v/>
      </c>
      <c r="C42" s="28">
        <f>C33+C34+C35+C36+C37+C38+C39+C40+C41</f>
        <v/>
      </c>
      <c r="D42" s="28">
        <f>D33+D34+D35+D36+D37+D38+D39+D40+D41</f>
        <v/>
      </c>
      <c r="E42" s="28">
        <f>E33+E34+E35+E36+E37+E38+E39+E40+E41</f>
        <v/>
      </c>
      <c r="F42" s="28">
        <f>F33+F34+F35+F36+F37+F38+F39+F40+F41</f>
        <v/>
      </c>
      <c r="G42" s="28">
        <f>G33+G34+G35+G36+G37+G38+G39+G40+G41</f>
        <v/>
      </c>
      <c r="H42" s="28">
        <f>H33+H34+H35+H36+H37+H38+H39+H40+H41</f>
        <v/>
      </c>
      <c r="I42" s="28">
        <f>I33+I34+I35+I36+I37+I38+I39+I40+I41</f>
        <v/>
      </c>
      <c r="J42" s="28">
        <f>J33+J34+J35+J36+J37+J38+J39+J40+J41</f>
        <v/>
      </c>
      <c r="K42" s="28">
        <f>K33+K34+K35+K36+K37+K38+K39+K40+K41</f>
        <v/>
      </c>
      <c r="L42" s="28">
        <f>L33+L34+L35+L36+L37+L38+L39+L40+L41</f>
        <v/>
      </c>
      <c r="M42" s="28">
        <f>M33+M34+M35+M36+M37+M38+M39+M40+M41</f>
        <v/>
      </c>
      <c r="N42" s="28">
        <f>N33+N34+N35+N36+N37+N38+N39+N40+N41</f>
        <v/>
      </c>
      <c r="O42" s="28">
        <f>O33+O34+O35+O36+O37+O38+O39+O40+O41</f>
        <v/>
      </c>
      <c r="P42" s="28">
        <f>P33+P34+P35+P36+P37+P38+P39+P40+P41</f>
        <v/>
      </c>
      <c r="Q42" s="28">
        <f>Q33+Q34+Q35+Q36+Q37+Q38+Q39+Q40+Q41</f>
        <v/>
      </c>
      <c r="R42" s="28">
        <f>R33+R34+R35+R36+R37+R38+R39+R40+R41</f>
        <v/>
      </c>
      <c r="S42" s="28">
        <f>S33+S34+S35+S36+S37+S38+S39+S40+S41</f>
        <v/>
      </c>
      <c r="T42" s="28">
        <f>T33+T34+T35+T36+T37+T38+T39+T40+T41</f>
        <v/>
      </c>
      <c r="U42" s="28">
        <f>U33+U34+U35+U36+U37+U38+U39+U40+U41</f>
        <v/>
      </c>
      <c r="V42" s="28">
        <f>V33+V34+V35+V36+V37+V38+V39+V40+V41</f>
        <v/>
      </c>
      <c r="W42" s="28">
        <f>W33+W34+W35+W36+W37+W38+W39+W40+W41</f>
        <v/>
      </c>
      <c r="X42" s="28">
        <f>X33+X34+X35+X36+X37+X38+X39+X40+X41</f>
        <v/>
      </c>
      <c r="Y42" s="28">
        <f>Y33+Y34+Y35+Y36+Y37+Y38+Y39+Y40+Y41</f>
        <v/>
      </c>
      <c r="Z42" s="28">
        <f>Z33+Z34+Z35+Z36+Z37+Z38+Z39+Z40+Z41</f>
        <v/>
      </c>
      <c r="AA42" s="28">
        <f>AA33+AA34+AA35+AA36+AA37+AA38+AA39+AA40+AA41</f>
        <v/>
      </c>
      <c r="AB42" s="28">
        <f>AB33+AB34+AB35+AB36+AB37+AB38+AB39+AB40+AB41</f>
        <v/>
      </c>
      <c r="AC42" s="28">
        <f>AC33+AC34+AC35+AC36+AC37+AC38+AC39+AC40+AC41</f>
        <v/>
      </c>
      <c r="AD42" s="28">
        <f>AD33+AD34+AD35+AD36+AD37+AD38+AD39+AD40+AD41</f>
        <v/>
      </c>
      <c r="AE42" s="28">
        <f>AE33+AE34+AE35+AE36+AE37+AE38+AE39+AE40+AE41</f>
        <v/>
      </c>
      <c r="AF42" s="28">
        <f>AF33+AF34+AF35+AF36+AF37+AF38+AF39+AF40+AF41</f>
        <v/>
      </c>
      <c r="AG42" s="28">
        <f>AG33+AG34+AG35+AG36+AG37+AG38+AG39+AG40+AG41</f>
        <v/>
      </c>
      <c r="AH42" s="28">
        <f>AH33+AH34+AH35+AH36+AH37+AH38+AH39+AH40+AH41</f>
        <v/>
      </c>
      <c r="AI42" s="28">
        <f>AI33+AI34+AI35+AI36+AI37+AI38+AI39+AI40+AI41</f>
        <v/>
      </c>
      <c r="AJ42" s="28">
        <f>AJ33+AJ34+AJ35+AJ36+AJ37+AJ38+AJ39+AJ40+AJ41</f>
        <v/>
      </c>
      <c r="AK42" s="11">
        <f>IF(N42&lt;&gt;0,(AB42-N42)/ABS(N42),0)</f>
        <v/>
      </c>
      <c r="AL42" s="11">
        <f>IF(AB42&lt;&gt;0,(AJ42-AB42)/ABS(AB42),0)</f>
        <v/>
      </c>
    </row>
    <row r="43" ht="5" customHeight="1"/>
    <row r="44" ht="13" customHeight="1">
      <c r="A44" s="29" t="inlineStr">
        <is>
          <t>Total Direct Costs</t>
        </is>
      </c>
      <c r="AK44" s="11">
        <f>IF(N44&lt;&gt;0,(AB44-N44)/ABS(N44),0)</f>
        <v/>
      </c>
      <c r="AL44" s="11">
        <f>IF(AB44&lt;&gt;0,(AJ44-AB44)/ABS(AB44),0)</f>
        <v/>
      </c>
    </row>
    <row r="45" ht="5" customHeight="1"/>
    <row r="46" ht="15" customHeight="1">
      <c r="A46" s="30" t="inlineStr">
        <is>
          <t>CONTRIBUTION</t>
        </is>
      </c>
      <c r="B46" s="31">
        <f>B7-B44</f>
        <v/>
      </c>
      <c r="C46" s="31">
        <f>C7-C44</f>
        <v/>
      </c>
      <c r="D46" s="31">
        <f>D7-D44</f>
        <v/>
      </c>
      <c r="E46" s="31">
        <f>E7-E44</f>
        <v/>
      </c>
      <c r="F46" s="31">
        <f>F7-F44</f>
        <v/>
      </c>
      <c r="G46" s="31">
        <f>G7-G44</f>
        <v/>
      </c>
      <c r="H46" s="31">
        <f>H7-H44</f>
        <v/>
      </c>
      <c r="I46" s="31">
        <f>I7-I44</f>
        <v/>
      </c>
      <c r="J46" s="31">
        <f>J7-J44</f>
        <v/>
      </c>
      <c r="K46" s="31">
        <f>K7-K44</f>
        <v/>
      </c>
      <c r="L46" s="31">
        <f>L7-L44</f>
        <v/>
      </c>
      <c r="M46" s="31">
        <f>M7-M44</f>
        <v/>
      </c>
      <c r="N46" s="31">
        <f>N7-N44</f>
        <v/>
      </c>
      <c r="O46" s="31">
        <f>O7-O44</f>
        <v/>
      </c>
      <c r="P46" s="31">
        <f>P7-P44</f>
        <v/>
      </c>
      <c r="Q46" s="31">
        <f>Q7-Q44</f>
        <v/>
      </c>
      <c r="R46" s="31">
        <f>R7-R44</f>
        <v/>
      </c>
      <c r="S46" s="31">
        <f>S7-S44</f>
        <v/>
      </c>
      <c r="T46" s="31">
        <f>T7-T44</f>
        <v/>
      </c>
      <c r="U46" s="31">
        <f>U7-U44</f>
        <v/>
      </c>
      <c r="V46" s="31">
        <f>V7-V44</f>
        <v/>
      </c>
      <c r="W46" s="31">
        <f>W7-W44</f>
        <v/>
      </c>
      <c r="X46" s="31">
        <f>X7-X44</f>
        <v/>
      </c>
      <c r="Y46" s="31">
        <f>Y7-Y44</f>
        <v/>
      </c>
      <c r="Z46" s="31">
        <f>Z7-Z44</f>
        <v/>
      </c>
      <c r="AA46" s="31">
        <f>AA7-AA44</f>
        <v/>
      </c>
      <c r="AB46" s="31">
        <f>AB7-AB44</f>
        <v/>
      </c>
      <c r="AC46" s="31">
        <f>AC7-AC44</f>
        <v/>
      </c>
      <c r="AD46" s="31">
        <f>AD7-AD44</f>
        <v/>
      </c>
      <c r="AE46" s="31">
        <f>AE7-AE44</f>
        <v/>
      </c>
      <c r="AF46" s="31">
        <f>AF7-AF44</f>
        <v/>
      </c>
      <c r="AG46" s="31">
        <f>AG7-AG44</f>
        <v/>
      </c>
      <c r="AH46" s="31">
        <f>AH7-AH44</f>
        <v/>
      </c>
      <c r="AI46" s="31">
        <f>AI7-AI44</f>
        <v/>
      </c>
      <c r="AJ46" s="31">
        <f>AJ7-AJ44</f>
        <v/>
      </c>
      <c r="AK46" s="11">
        <f>IF(N46&lt;&gt;0,(AB46-N46)/ABS(N46),0)</f>
        <v/>
      </c>
      <c r="AL46" s="11">
        <f>IF(AB46&lt;&gt;0,(AJ46-AB46)/ABS(AB46),0)</f>
        <v/>
      </c>
    </row>
  </sheetData>
  <mergeCells count="8">
    <mergeCell ref="A10:AL10"/>
    <mergeCell ref="B1:N1"/>
    <mergeCell ref="A23:AL23"/>
    <mergeCell ref="A32:AL32"/>
    <mergeCell ref="AC1:AJ1"/>
    <mergeCell ref="A9:AL9"/>
    <mergeCell ref="A3:AL3"/>
    <mergeCell ref="O1:A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4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9.5" customWidth="1" min="27" max="27"/>
    <col width="9.5" customWidth="1" min="28" max="28"/>
    <col width="9.5" customWidth="1" min="29" max="29"/>
    <col width="9.5" customWidth="1" min="30" max="30"/>
    <col width="9.5" customWidth="1" min="31" max="31"/>
    <col width="9.5" customWidth="1" min="32" max="32"/>
    <col width="9.5" customWidth="1" min="33" max="33"/>
    <col width="9.5" customWidth="1" min="34" max="34"/>
    <col width="9.5" customWidth="1" min="35" max="35"/>
    <col width="11" customWidth="1" min="36" max="36"/>
    <col width="10" customWidth="1" min="37" max="37"/>
    <col width="10" customWidth="1" min="38" max="38"/>
  </cols>
  <sheetData>
    <row r="1" ht="18" customHeight="1">
      <c r="A1" s="1" t="inlineStr">
        <is>
          <t>Our Den</t>
        </is>
      </c>
      <c r="B1" s="2" t="inlineStr">
        <is>
          <t>Actuals 2025</t>
        </is>
      </c>
      <c r="O1" s="2" t="inlineStr">
        <is>
          <t>2026 Actual / Forecast</t>
        </is>
      </c>
      <c r="AC1" s="2" t="inlineStr">
        <is>
          <t>2027 Forecast</t>
        </is>
      </c>
      <c r="AK1" s="3" t="inlineStr">
        <is>
          <t>YoY</t>
        </is>
      </c>
      <c r="AL1" s="3" t="inlineStr">
        <is>
          <t>YoY</t>
        </is>
      </c>
    </row>
    <row r="2" ht="22" customHeight="1">
      <c r="B2" s="4" t="inlineStr">
        <is>
          <t>Jan</t>
        </is>
      </c>
      <c r="C2" s="4" t="inlineStr">
        <is>
          <t>Feb</t>
        </is>
      </c>
      <c r="D2" s="4" t="inlineStr">
        <is>
          <t>Mar</t>
        </is>
      </c>
      <c r="E2" s="4" t="inlineStr">
        <is>
          <t>Apr</t>
        </is>
      </c>
      <c r="F2" s="4" t="inlineStr">
        <is>
          <t>May</t>
        </is>
      </c>
      <c r="G2" s="4" t="inlineStr">
        <is>
          <t>Jun</t>
        </is>
      </c>
      <c r="H2" s="4" t="inlineStr">
        <is>
          <t>Jul</t>
        </is>
      </c>
      <c r="I2" s="4" t="inlineStr">
        <is>
          <t>Aug</t>
        </is>
      </c>
      <c r="J2" s="4" t="inlineStr">
        <is>
          <t>Sep</t>
        </is>
      </c>
      <c r="K2" s="4" t="inlineStr">
        <is>
          <t>Oct</t>
        </is>
      </c>
      <c r="L2" s="4" t="inlineStr">
        <is>
          <t>Nov</t>
        </is>
      </c>
      <c r="M2" s="4" t="inlineStr">
        <is>
          <t>Dec</t>
        </is>
      </c>
      <c r="N2" s="5" t="inlineStr">
        <is>
          <t>FY2025
Total</t>
        </is>
      </c>
      <c r="O2" s="4" t="inlineStr">
        <is>
          <t>Jan</t>
        </is>
      </c>
      <c r="P2" s="4" t="inlineStr">
        <is>
          <t>Feb</t>
        </is>
      </c>
      <c r="Q2" s="4" t="inlineStr">
        <is>
          <t>Mar</t>
        </is>
      </c>
      <c r="R2" s="4" t="inlineStr">
        <is>
          <t>Apr</t>
        </is>
      </c>
      <c r="S2" s="4" t="inlineStr">
        <is>
          <t>May</t>
        </is>
      </c>
      <c r="T2" s="4" t="inlineStr">
        <is>
          <t>Jun</t>
        </is>
      </c>
      <c r="U2" s="4" t="inlineStr">
        <is>
          <t>Jul</t>
        </is>
      </c>
      <c r="V2" s="4" t="inlineStr">
        <is>
          <t>Aug</t>
        </is>
      </c>
      <c r="W2" s="4" t="inlineStr">
        <is>
          <t>Sep</t>
        </is>
      </c>
      <c r="X2" s="4" t="inlineStr">
        <is>
          <t>Oct</t>
        </is>
      </c>
      <c r="Y2" s="4" t="inlineStr">
        <is>
          <t>Nov</t>
        </is>
      </c>
      <c r="Z2" s="4" t="inlineStr">
        <is>
          <t>Dec</t>
        </is>
      </c>
      <c r="AA2" s="4" t="inlineStr">
        <is>
          <t>YTD</t>
        </is>
      </c>
      <c r="AB2" s="5" t="inlineStr">
        <is>
          <t>FY2026
Outlook</t>
        </is>
      </c>
      <c r="AC2" s="4" t="inlineStr">
        <is>
          <t>Jan</t>
        </is>
      </c>
      <c r="AD2" s="4" t="inlineStr">
        <is>
          <t>Feb</t>
        </is>
      </c>
      <c r="AE2" s="4" t="inlineStr">
        <is>
          <t>Mar</t>
        </is>
      </c>
      <c r="AF2" s="4" t="inlineStr">
        <is>
          <t>Apr</t>
        </is>
      </c>
      <c r="AG2" s="4" t="inlineStr">
        <is>
          <t>May</t>
        </is>
      </c>
      <c r="AH2" s="4" t="inlineStr">
        <is>
          <t>Jun</t>
        </is>
      </c>
      <c r="AI2" s="6" t="inlineStr">
        <is>
          <t>Jul-Dec
Proj.</t>
        </is>
      </c>
      <c r="AJ2" s="4" t="inlineStr">
        <is>
          <t>FY2027</t>
        </is>
      </c>
      <c r="AK2" s="6" t="inlineStr">
        <is>
          <t>25→26
%</t>
        </is>
      </c>
      <c r="AL2" s="6" t="inlineStr">
        <is>
          <t>26→27
%</t>
        </is>
      </c>
    </row>
    <row r="3" ht="15" customHeight="1">
      <c r="A3" s="7" t="inlineStr">
        <is>
          <t>INCOME</t>
        </is>
      </c>
    </row>
    <row r="4" ht="13" customHeight="1">
      <c r="A4" s="8" t="inlineStr">
        <is>
          <t xml:space="preserve">    Fee Income Regular</t>
        </is>
      </c>
      <c r="B4" s="9" t="n">
        <v>0</v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9" t="n">
        <v>0</v>
      </c>
      <c r="J4" s="9" t="n">
        <v>1523.64</v>
      </c>
      <c r="K4" s="9" t="n">
        <v>993.6600000000001</v>
      </c>
      <c r="L4" s="9" t="n">
        <v>851.8</v>
      </c>
      <c r="M4" s="9" t="n">
        <v>1363.66</v>
      </c>
      <c r="N4" s="9">
        <f>SUM(B4:M4)</f>
        <v/>
      </c>
      <c r="O4" s="9" t="n">
        <v>0</v>
      </c>
      <c r="P4" s="9" t="n">
        <v>0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AA4" s="9">
        <f>SUM(O4:U4)</f>
        <v/>
      </c>
      <c r="AB4" s="9">
        <f>SUM(O4:Z4)</f>
        <v/>
      </c>
      <c r="AC4" s="9" t="n">
        <v>29839.75</v>
      </c>
      <c r="AD4" s="9" t="n">
        <v>21836.64</v>
      </c>
      <c r="AE4" s="9" t="n">
        <v>28707.94</v>
      </c>
      <c r="AF4" s="9" t="n">
        <v>22423.44</v>
      </c>
      <c r="AG4" s="9" t="n">
        <v>29115.52</v>
      </c>
      <c r="AH4" s="9" t="n">
        <v>27182.25</v>
      </c>
      <c r="AI4" s="10">
        <f>SUM(AC4:AH4)</f>
        <v/>
      </c>
      <c r="AJ4" s="9">
        <f>SUM(AC4:AH4)+AI4</f>
        <v/>
      </c>
      <c r="AK4" s="11">
        <f>IF(N4&lt;&gt;0,(AB4-N4)/ABS(N4),0)</f>
        <v/>
      </c>
      <c r="AL4" s="11">
        <f>IF(AB4&lt;&gt;0,(AJ4-AB4)/ABS(AB4),0)</f>
        <v/>
      </c>
    </row>
    <row r="5" ht="13" customHeight="1">
      <c r="A5" s="8" t="inlineStr">
        <is>
          <t xml:space="preserve">    EEEF Embedded</t>
        </is>
      </c>
      <c r="B5" s="9" t="n">
        <v>0</v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6791.83</v>
      </c>
      <c r="M5" s="9" t="n">
        <v>6791.83</v>
      </c>
      <c r="N5" s="9">
        <f>SUM(B5:M5)</f>
        <v/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AA5" s="9">
        <f>SUM(O5:U5)</f>
        <v/>
      </c>
      <c r="AB5" s="9">
        <f>SUM(O5:Z5)</f>
        <v/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10">
        <f>SUM(AC5:AH5)</f>
        <v/>
      </c>
      <c r="AJ5" s="9">
        <f>SUM(AC5:AH5)+AI5</f>
        <v/>
      </c>
      <c r="AK5" s="11">
        <f>IF(N5&lt;&gt;0,(AB5-N5)/ABS(N5),0)</f>
        <v/>
      </c>
      <c r="AL5" s="11">
        <f>IF(AB5&lt;&gt;0,(AJ5-AB5)/ABS(AB5),0)</f>
        <v/>
      </c>
    </row>
    <row r="6" ht="13" customHeight="1">
      <c r="A6" s="8" t="inlineStr">
        <is>
          <t xml:space="preserve">    Other Income</t>
        </is>
      </c>
      <c r="B6" s="9" t="n">
        <v>0</v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  <c r="N6" s="9">
        <f>SUM(B6:M6)</f>
        <v/>
      </c>
      <c r="O6" s="9" t="n">
        <v>0</v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AA6" s="9">
        <f>SUM(O6:U6)</f>
        <v/>
      </c>
      <c r="AB6" s="9">
        <f>SUM(O6:Z6)</f>
        <v/>
      </c>
      <c r="AC6" s="9" t="n">
        <v>0</v>
      </c>
      <c r="AD6" s="9" t="n">
        <v>0</v>
      </c>
      <c r="AE6" s="9" t="n">
        <v>0</v>
      </c>
      <c r="AF6" s="9" t="n">
        <v>0</v>
      </c>
      <c r="AG6" s="9" t="n">
        <v>0</v>
      </c>
      <c r="AH6" s="9" t="n">
        <v>0</v>
      </c>
      <c r="AI6" s="10">
        <f>SUM(AC6:AH6)</f>
        <v/>
      </c>
      <c r="AJ6" s="9">
        <f>SUM(AC6:AH6)+AI6</f>
        <v/>
      </c>
      <c r="AK6" s="11">
        <f>IF(N6&lt;&gt;0,(AB6-N6)/ABS(N6),0)</f>
        <v/>
      </c>
      <c r="AL6" s="11">
        <f>IF(AB6&lt;&gt;0,(AJ6-AB6)/ABS(AB6),0)</f>
        <v/>
      </c>
    </row>
    <row r="7" ht="13" customHeight="1">
      <c r="A7" s="12" t="inlineStr">
        <is>
          <t>Total Income</t>
        </is>
      </c>
      <c r="B7" s="13">
        <f>B4+B5+B6</f>
        <v/>
      </c>
      <c r="C7" s="13">
        <f>C4+C5+C6</f>
        <v/>
      </c>
      <c r="D7" s="13">
        <f>D4+D5+D6</f>
        <v/>
      </c>
      <c r="E7" s="13">
        <f>E4+E5+E6</f>
        <v/>
      </c>
      <c r="F7" s="13">
        <f>F4+F5+F6</f>
        <v/>
      </c>
      <c r="G7" s="13">
        <f>G4+G5+G6</f>
        <v/>
      </c>
      <c r="H7" s="13">
        <f>H4+H5+H6</f>
        <v/>
      </c>
      <c r="I7" s="13">
        <f>I4+I5+I6</f>
        <v/>
      </c>
      <c r="J7" s="13">
        <f>J4+J5+J6</f>
        <v/>
      </c>
      <c r="K7" s="13">
        <f>K4+K5+K6</f>
        <v/>
      </c>
      <c r="L7" s="13">
        <f>L4+L5+L6</f>
        <v/>
      </c>
      <c r="M7" s="13">
        <f>M4+M5+M6</f>
        <v/>
      </c>
      <c r="N7" s="13">
        <f>N4+N5+N6</f>
        <v/>
      </c>
      <c r="O7" s="13">
        <f>O4+O5+O6</f>
        <v/>
      </c>
      <c r="P7" s="13">
        <f>P4+P5+P6</f>
        <v/>
      </c>
      <c r="Q7" s="13">
        <f>Q4+Q5+Q6</f>
        <v/>
      </c>
      <c r="R7" s="13">
        <f>R4+R5+R6</f>
        <v/>
      </c>
      <c r="S7" s="13">
        <f>S4+S5+S6</f>
        <v/>
      </c>
      <c r="T7" s="13">
        <f>T4+T5+T6</f>
        <v/>
      </c>
      <c r="U7" s="13">
        <f>U4+U5+U6</f>
        <v/>
      </c>
      <c r="V7" s="13">
        <f>V4+V5+V6</f>
        <v/>
      </c>
      <c r="W7" s="13">
        <f>W4+W5+W6</f>
        <v/>
      </c>
      <c r="X7" s="13">
        <f>X4+X5+X6</f>
        <v/>
      </c>
      <c r="Y7" s="13">
        <f>Y4+Y5+Y6</f>
        <v/>
      </c>
      <c r="Z7" s="13">
        <f>Z4+Z5+Z6</f>
        <v/>
      </c>
      <c r="AA7" s="13">
        <f>AA4+AA5+AA6</f>
        <v/>
      </c>
      <c r="AB7" s="13">
        <f>AB4+AB5+AB6</f>
        <v/>
      </c>
      <c r="AC7" s="13">
        <f>AC4+AC5+AC6</f>
        <v/>
      </c>
      <c r="AD7" s="13">
        <f>AD4+AD5+AD6</f>
        <v/>
      </c>
      <c r="AE7" s="13">
        <f>AE4+AE5+AE6</f>
        <v/>
      </c>
      <c r="AF7" s="13">
        <f>AF4+AF5+AF6</f>
        <v/>
      </c>
      <c r="AG7" s="13">
        <f>AG4+AG5+AG6</f>
        <v/>
      </c>
      <c r="AH7" s="13">
        <f>AH4+AH5+AH6</f>
        <v/>
      </c>
      <c r="AI7" s="13">
        <f>AI4+AI5+AI6</f>
        <v/>
      </c>
      <c r="AJ7" s="13">
        <f>AJ4+AJ5+AJ6</f>
        <v/>
      </c>
      <c r="AK7" s="11">
        <f>IF(N7&lt;&gt;0,(AB7-N7)/ABS(N7),0)</f>
        <v/>
      </c>
      <c r="AL7" s="11">
        <f>IF(AB7&lt;&gt;0,(AJ7-AB7)/ABS(AB7),0)</f>
        <v/>
      </c>
    </row>
    <row r="8" ht="5" customHeight="1"/>
    <row r="9" ht="15" customHeight="1">
      <c r="A9" s="7" t="inlineStr">
        <is>
          <t>DIRECT COSTS</t>
        </is>
      </c>
    </row>
    <row r="10" ht="13" customHeight="1">
      <c r="A10" s="14" t="inlineStr">
        <is>
          <t>Personnel</t>
        </is>
      </c>
    </row>
    <row r="11" ht="13" customHeight="1">
      <c r="A11" s="15" t="inlineStr">
        <is>
          <t xml:space="preserve">    Nursery Salaries</t>
        </is>
      </c>
      <c r="B11" s="16" t="n">
        <v>0</v>
      </c>
      <c r="C11" s="16" t="n">
        <v>0</v>
      </c>
      <c r="D11" s="16" t="n">
        <v>0</v>
      </c>
      <c r="E11" s="16" t="n">
        <v>0</v>
      </c>
      <c r="F11" s="16" t="n">
        <v>0</v>
      </c>
      <c r="G11" s="16" t="n">
        <v>0</v>
      </c>
      <c r="H11" s="16" t="n">
        <v>0</v>
      </c>
      <c r="I11" s="16" t="n">
        <v>0</v>
      </c>
      <c r="J11" s="16" t="n">
        <v>6448.15</v>
      </c>
      <c r="K11" s="16" t="n">
        <v>6689.36</v>
      </c>
      <c r="L11" s="16" t="n">
        <v>6765.64</v>
      </c>
      <c r="M11" s="16" t="n">
        <v>6815.95</v>
      </c>
      <c r="N11" s="16">
        <f>SUM(B11:M11)</f>
        <v/>
      </c>
      <c r="O11" s="16" t="n">
        <v>0</v>
      </c>
      <c r="P11" s="16" t="n">
        <v>0</v>
      </c>
      <c r="Q11" s="16" t="n">
        <v>0</v>
      </c>
      <c r="R11" s="16" t="n">
        <v>0</v>
      </c>
      <c r="S11" s="16" t="n">
        <v>0</v>
      </c>
      <c r="T11" s="16" t="n">
        <v>0</v>
      </c>
      <c r="U11" s="16" t="n">
        <v>0</v>
      </c>
      <c r="AA11" s="16">
        <f>SUM(O11:U11)</f>
        <v/>
      </c>
      <c r="AB11" s="16">
        <f>SUM(O11:Z11)</f>
        <v/>
      </c>
      <c r="AC11" s="16" t="n">
        <v>9114</v>
      </c>
      <c r="AD11" s="16" t="n">
        <v>9114</v>
      </c>
      <c r="AE11" s="16" t="n">
        <v>9114</v>
      </c>
      <c r="AF11" s="16" t="n">
        <v>9114</v>
      </c>
      <c r="AG11" s="16" t="n">
        <v>9114</v>
      </c>
      <c r="AH11" s="16" t="n">
        <v>9114</v>
      </c>
      <c r="AI11" s="10">
        <f>SUM(AC11:AH11)</f>
        <v/>
      </c>
      <c r="AJ11" s="16">
        <f>SUM(AC11:AH11)+AI11</f>
        <v/>
      </c>
      <c r="AK11" s="11">
        <f>IF(N11&lt;&gt;0,(AB11-N11)/ABS(N11),0)</f>
        <v/>
      </c>
      <c r="AL11" s="11">
        <f>IF(AB11&lt;&gt;0,(AJ11-AB11)/ABS(AB11),0)</f>
        <v/>
      </c>
    </row>
    <row r="12" ht="13" customHeight="1">
      <c r="A12" s="15" t="inlineStr">
        <is>
          <t xml:space="preserve">    Nursery NI</t>
        </is>
      </c>
      <c r="B12" s="16" t="n">
        <v>0</v>
      </c>
      <c r="C12" s="16" t="n">
        <v>0</v>
      </c>
      <c r="D12" s="16" t="n">
        <v>0</v>
      </c>
      <c r="E12" s="16" t="n">
        <v>0</v>
      </c>
      <c r="F12" s="16" t="n">
        <v>0</v>
      </c>
      <c r="G12" s="16" t="n">
        <v>0</v>
      </c>
      <c r="H12" s="16" t="n">
        <v>0</v>
      </c>
      <c r="I12" s="16" t="n">
        <v>0</v>
      </c>
      <c r="J12" s="16" t="n">
        <v>654.47</v>
      </c>
      <c r="K12" s="16" t="n">
        <v>753.2</v>
      </c>
      <c r="L12" s="16" t="n">
        <v>764.64</v>
      </c>
      <c r="M12" s="16" t="n">
        <v>772.1800000000001</v>
      </c>
      <c r="N12" s="16">
        <f>SUM(B12:M12)</f>
        <v/>
      </c>
      <c r="O12" s="16" t="n">
        <v>0</v>
      </c>
      <c r="P12" s="16" t="n">
        <v>0</v>
      </c>
      <c r="Q12" s="16" t="n">
        <v>0</v>
      </c>
      <c r="R12" s="16" t="n">
        <v>0</v>
      </c>
      <c r="S12" s="16" t="n">
        <v>0</v>
      </c>
      <c r="T12" s="16" t="n">
        <v>0</v>
      </c>
      <c r="U12" s="16" t="n">
        <v>0</v>
      </c>
      <c r="AA12" s="16">
        <f>SUM(O12:U12)</f>
        <v/>
      </c>
      <c r="AB12" s="16">
        <f>SUM(O12:Z12)</f>
        <v/>
      </c>
      <c r="AC12" s="16" t="n">
        <v>871</v>
      </c>
      <c r="AD12" s="16" t="n">
        <v>871</v>
      </c>
      <c r="AE12" s="16" t="n">
        <v>871</v>
      </c>
      <c r="AF12" s="16" t="n">
        <v>871</v>
      </c>
      <c r="AG12" s="16" t="n">
        <v>871</v>
      </c>
      <c r="AH12" s="16" t="n">
        <v>871</v>
      </c>
      <c r="AI12" s="10">
        <f>SUM(AC12:AH12)</f>
        <v/>
      </c>
      <c r="AJ12" s="16">
        <f>SUM(AC12:AH12)+AI12</f>
        <v/>
      </c>
      <c r="AK12" s="11">
        <f>IF(N12&lt;&gt;0,(AB12-N12)/ABS(N12),0)</f>
        <v/>
      </c>
      <c r="AL12" s="11">
        <f>IF(AB12&lt;&gt;0,(AJ12-AB12)/ABS(AB12),0)</f>
        <v/>
      </c>
    </row>
    <row r="13" ht="13" customHeight="1">
      <c r="A13" s="15" t="inlineStr">
        <is>
          <t xml:space="preserve">    Nursery Pension</t>
        </is>
      </c>
      <c r="B13" s="16" t="n">
        <v>0</v>
      </c>
      <c r="C13" s="16" t="n">
        <v>0</v>
      </c>
      <c r="D13" s="16" t="n">
        <v>0</v>
      </c>
      <c r="E13" s="16" t="n">
        <v>0</v>
      </c>
      <c r="F13" s="16" t="n">
        <v>0</v>
      </c>
      <c r="G13" s="16" t="n">
        <v>0</v>
      </c>
      <c r="H13" s="16" t="n">
        <v>0</v>
      </c>
      <c r="I13" s="16" t="n">
        <v>0</v>
      </c>
      <c r="J13" s="16" t="n">
        <v>0</v>
      </c>
      <c r="K13" s="16" t="n">
        <v>0</v>
      </c>
      <c r="L13" s="16" t="n">
        <v>140.54</v>
      </c>
      <c r="M13" s="16" t="n">
        <v>142.06</v>
      </c>
      <c r="N13" s="16">
        <f>SUM(B13:M13)</f>
        <v/>
      </c>
      <c r="O13" s="16" t="n">
        <v>0</v>
      </c>
      <c r="P13" s="16" t="n">
        <v>0</v>
      </c>
      <c r="Q13" s="16" t="n">
        <v>0</v>
      </c>
      <c r="R13" s="16" t="n">
        <v>0</v>
      </c>
      <c r="S13" s="16" t="n">
        <v>0</v>
      </c>
      <c r="T13" s="16" t="n">
        <v>0</v>
      </c>
      <c r="U13" s="16" t="n">
        <v>0</v>
      </c>
      <c r="AA13" s="16">
        <f>SUM(O13:U13)</f>
        <v/>
      </c>
      <c r="AB13" s="16">
        <f>SUM(O13:Z13)</f>
        <v/>
      </c>
      <c r="AC13" s="16" t="n">
        <v>143.99</v>
      </c>
      <c r="AD13" s="16" t="n">
        <v>143.99</v>
      </c>
      <c r="AE13" s="16" t="n">
        <v>143.99</v>
      </c>
      <c r="AF13" s="16" t="n">
        <v>143.99</v>
      </c>
      <c r="AG13" s="16" t="n">
        <v>143.99</v>
      </c>
      <c r="AH13" s="16" t="n">
        <v>143.99</v>
      </c>
      <c r="AI13" s="10">
        <f>SUM(AC13:AH13)</f>
        <v/>
      </c>
      <c r="AJ13" s="16">
        <f>SUM(AC13:AH13)+AI13</f>
        <v/>
      </c>
      <c r="AK13" s="11">
        <f>IF(N13&lt;&gt;0,(AB13-N13)/ABS(N13),0)</f>
        <v/>
      </c>
      <c r="AL13" s="11">
        <f>IF(AB13&lt;&gt;0,(AJ13-AB13)/ABS(AB13),0)</f>
        <v/>
      </c>
    </row>
    <row r="14" ht="13" customHeight="1">
      <c r="A14" s="15" t="inlineStr">
        <is>
          <t xml:space="preserve">    Uniform</t>
        </is>
      </c>
      <c r="B14" s="16" t="n">
        <v>0</v>
      </c>
      <c r="C14" s="16" t="n">
        <v>0</v>
      </c>
      <c r="D14" s="16" t="n">
        <v>0</v>
      </c>
      <c r="E14" s="16" t="n">
        <v>0</v>
      </c>
      <c r="F14" s="16" t="n">
        <v>0</v>
      </c>
      <c r="G14" s="16" t="n">
        <v>0</v>
      </c>
      <c r="H14" s="16" t="n">
        <v>0</v>
      </c>
      <c r="I14" s="16" t="n">
        <v>0</v>
      </c>
      <c r="J14" s="16" t="n">
        <v>0</v>
      </c>
      <c r="K14" s="16" t="n">
        <v>0</v>
      </c>
      <c r="L14" s="16" t="n">
        <v>0</v>
      </c>
      <c r="M14" s="16" t="n">
        <v>0</v>
      </c>
      <c r="N14" s="16">
        <f>SUM(B14:M14)</f>
        <v/>
      </c>
      <c r="O14" s="16" t="n">
        <v>0</v>
      </c>
      <c r="P14" s="16" t="n">
        <v>0</v>
      </c>
      <c r="Q14" s="16" t="n">
        <v>0</v>
      </c>
      <c r="R14" s="16" t="n">
        <v>0</v>
      </c>
      <c r="S14" s="16" t="n">
        <v>0</v>
      </c>
      <c r="T14" s="16" t="n">
        <v>0</v>
      </c>
      <c r="U14" s="16" t="n">
        <v>0</v>
      </c>
      <c r="AA14" s="16">
        <f>SUM(O14:U14)</f>
        <v/>
      </c>
      <c r="AB14" s="16">
        <f>SUM(O14:Z14)</f>
        <v/>
      </c>
      <c r="AC14" s="16" t="n">
        <v>20</v>
      </c>
      <c r="AD14" s="16" t="n">
        <v>20</v>
      </c>
      <c r="AE14" s="16" t="n">
        <v>20</v>
      </c>
      <c r="AF14" s="16" t="n">
        <v>20</v>
      </c>
      <c r="AG14" s="16" t="n">
        <v>20</v>
      </c>
      <c r="AH14" s="16" t="n">
        <v>20</v>
      </c>
      <c r="AI14" s="10">
        <f>SUM(AC14:AH14)</f>
        <v/>
      </c>
      <c r="AJ14" s="16">
        <f>SUM(AC14:AH14)+AI14</f>
        <v/>
      </c>
      <c r="AK14" s="11">
        <f>IF(N14&lt;&gt;0,(AB14-N14)/ABS(N14),0)</f>
        <v/>
      </c>
      <c r="AL14" s="11">
        <f>IF(AB14&lt;&gt;0,(AJ14-AB14)/ABS(AB14),0)</f>
        <v/>
      </c>
    </row>
    <row r="15" ht="13" customHeight="1">
      <c r="A15" s="15" t="inlineStr">
        <is>
          <t xml:space="preserve">    Training</t>
        </is>
      </c>
      <c r="B15" s="16" t="n">
        <v>0</v>
      </c>
      <c r="C15" s="16" t="n">
        <v>0</v>
      </c>
      <c r="D15" s="16" t="n">
        <v>0</v>
      </c>
      <c r="E15" s="16" t="n">
        <v>0</v>
      </c>
      <c r="F15" s="16" t="n">
        <v>0</v>
      </c>
      <c r="G15" s="16" t="n">
        <v>0</v>
      </c>
      <c r="H15" s="16" t="n">
        <v>0</v>
      </c>
      <c r="I15" s="16" t="n">
        <v>0</v>
      </c>
      <c r="J15" s="16" t="n">
        <v>0</v>
      </c>
      <c r="K15" s="16" t="n">
        <v>0</v>
      </c>
      <c r="L15" s="16" t="n">
        <v>114</v>
      </c>
      <c r="M15" s="16" t="n">
        <v>0</v>
      </c>
      <c r="N15" s="16">
        <f>SUM(B15:M15)</f>
        <v/>
      </c>
      <c r="O15" s="16" t="n">
        <v>0</v>
      </c>
      <c r="P15" s="16" t="n">
        <v>0</v>
      </c>
      <c r="Q15" s="16" t="n">
        <v>0</v>
      </c>
      <c r="R15" s="16" t="n">
        <v>0</v>
      </c>
      <c r="S15" s="16" t="n">
        <v>0</v>
      </c>
      <c r="T15" s="16" t="n">
        <v>0</v>
      </c>
      <c r="U15" s="16" t="n">
        <v>0</v>
      </c>
      <c r="AA15" s="16">
        <f>SUM(O15:U15)</f>
        <v/>
      </c>
      <c r="AB15" s="16">
        <f>SUM(O15:Z15)</f>
        <v/>
      </c>
      <c r="AC15" s="16" t="n">
        <v>100</v>
      </c>
      <c r="AD15" s="16" t="n">
        <v>100</v>
      </c>
      <c r="AE15" s="16" t="n">
        <v>100</v>
      </c>
      <c r="AF15" s="16" t="n">
        <v>100</v>
      </c>
      <c r="AG15" s="16" t="n">
        <v>100</v>
      </c>
      <c r="AH15" s="16" t="n">
        <v>100</v>
      </c>
      <c r="AI15" s="10">
        <f>SUM(AC15:AH15)</f>
        <v/>
      </c>
      <c r="AJ15" s="16">
        <f>SUM(AC15:AH15)+AI15</f>
        <v/>
      </c>
      <c r="AK15" s="11">
        <f>IF(N15&lt;&gt;0,(AB15-N15)/ABS(N15),0)</f>
        <v/>
      </c>
      <c r="AL15" s="11">
        <f>IF(AB15&lt;&gt;0,(AJ15-AB15)/ABS(AB15),0)</f>
        <v/>
      </c>
    </row>
    <row r="16" ht="13" customHeight="1">
      <c r="A16" s="15" t="inlineStr">
        <is>
          <t xml:space="preserve">    Staff Welfare</t>
        </is>
      </c>
      <c r="B16" s="16" t="n">
        <v>0</v>
      </c>
      <c r="C16" s="16" t="n">
        <v>0</v>
      </c>
      <c r="D16" s="16" t="n">
        <v>0</v>
      </c>
      <c r="E16" s="16" t="n">
        <v>0</v>
      </c>
      <c r="F16" s="16" t="n">
        <v>0</v>
      </c>
      <c r="G16" s="16" t="n">
        <v>0</v>
      </c>
      <c r="H16" s="16" t="n">
        <v>0</v>
      </c>
      <c r="I16" s="16" t="n">
        <v>0</v>
      </c>
      <c r="J16" s="16" t="n">
        <v>25.03</v>
      </c>
      <c r="K16" s="16" t="n">
        <v>25.27</v>
      </c>
      <c r="L16" s="16" t="n">
        <v>11.27</v>
      </c>
      <c r="M16" s="16" t="n">
        <v>0</v>
      </c>
      <c r="N16" s="16">
        <f>SUM(B16:M16)</f>
        <v/>
      </c>
      <c r="O16" s="16" t="n">
        <v>0</v>
      </c>
      <c r="P16" s="16" t="n">
        <v>0</v>
      </c>
      <c r="Q16" s="16" t="n">
        <v>0</v>
      </c>
      <c r="R16" s="16" t="n">
        <v>0</v>
      </c>
      <c r="S16" s="16" t="n">
        <v>0</v>
      </c>
      <c r="T16" s="16" t="n">
        <v>0</v>
      </c>
      <c r="U16" s="16" t="n">
        <v>0</v>
      </c>
      <c r="AA16" s="16">
        <f>SUM(O16:U16)</f>
        <v/>
      </c>
      <c r="AB16" s="16">
        <f>SUM(O16:Z16)</f>
        <v/>
      </c>
      <c r="AC16" s="16" t="n">
        <v>40</v>
      </c>
      <c r="AD16" s="16" t="n">
        <v>40</v>
      </c>
      <c r="AE16" s="16" t="n">
        <v>40</v>
      </c>
      <c r="AF16" s="16" t="n">
        <v>40</v>
      </c>
      <c r="AG16" s="16" t="n">
        <v>40</v>
      </c>
      <c r="AH16" s="16" t="n">
        <v>40</v>
      </c>
      <c r="AI16" s="10">
        <f>SUM(AC16:AH16)</f>
        <v/>
      </c>
      <c r="AJ16" s="16">
        <f>SUM(AC16:AH16)+AI16</f>
        <v/>
      </c>
      <c r="AK16" s="11">
        <f>IF(N16&lt;&gt;0,(AB16-N16)/ABS(N16),0)</f>
        <v/>
      </c>
      <c r="AL16" s="11">
        <f>IF(AB16&lt;&gt;0,(AJ16-AB16)/ABS(AB16),0)</f>
        <v/>
      </c>
    </row>
    <row r="17" ht="13" customHeight="1">
      <c r="A17" s="15" t="inlineStr">
        <is>
          <t xml:space="preserve">    Recruitment</t>
        </is>
      </c>
      <c r="B17" s="16" t="n">
        <v>0</v>
      </c>
      <c r="C17" s="16" t="n">
        <v>0</v>
      </c>
      <c r="D17" s="16" t="n">
        <v>0</v>
      </c>
      <c r="E17" s="16" t="n">
        <v>0</v>
      </c>
      <c r="F17" s="16" t="n">
        <v>0</v>
      </c>
      <c r="G17" s="16" t="n">
        <v>0</v>
      </c>
      <c r="H17" s="16" t="n">
        <v>0</v>
      </c>
      <c r="I17" s="16" t="n">
        <v>0</v>
      </c>
      <c r="J17" s="16" t="n">
        <v>0</v>
      </c>
      <c r="K17" s="16" t="n">
        <v>0</v>
      </c>
      <c r="L17" s="16" t="n">
        <v>0</v>
      </c>
      <c r="M17" s="16" t="n">
        <v>0</v>
      </c>
      <c r="N17" s="16">
        <f>SUM(B17:M17)</f>
        <v/>
      </c>
      <c r="O17" s="16" t="n">
        <v>0</v>
      </c>
      <c r="P17" s="16" t="n">
        <v>0</v>
      </c>
      <c r="Q17" s="16" t="n">
        <v>0</v>
      </c>
      <c r="R17" s="16" t="n">
        <v>0</v>
      </c>
      <c r="S17" s="16" t="n">
        <v>0</v>
      </c>
      <c r="T17" s="16" t="n">
        <v>0</v>
      </c>
      <c r="U17" s="16" t="n">
        <v>0</v>
      </c>
      <c r="AA17" s="16">
        <f>SUM(O17:U17)</f>
        <v/>
      </c>
      <c r="AB17" s="16">
        <f>SUM(O17:Z17)</f>
        <v/>
      </c>
      <c r="AC17" s="16" t="n">
        <v>0</v>
      </c>
      <c r="AD17" s="16" t="n">
        <v>0</v>
      </c>
      <c r="AE17" s="16" t="n">
        <v>0</v>
      </c>
      <c r="AF17" s="16" t="n">
        <v>0</v>
      </c>
      <c r="AG17" s="16" t="n">
        <v>0</v>
      </c>
      <c r="AH17" s="16" t="n">
        <v>0</v>
      </c>
      <c r="AI17" s="10">
        <f>SUM(AC17:AH17)</f>
        <v/>
      </c>
      <c r="AJ17" s="16">
        <f>SUM(AC17:AH17)+AI17</f>
        <v/>
      </c>
      <c r="AK17" s="11">
        <f>IF(N17&lt;&gt;0,(AB17-N17)/ABS(N17),0)</f>
        <v/>
      </c>
      <c r="AL17" s="11">
        <f>IF(AB17&lt;&gt;0,(AJ17-AB17)/ABS(AB17),0)</f>
        <v/>
      </c>
    </row>
    <row r="18" ht="13" customHeight="1">
      <c r="A18" s="15" t="inlineStr">
        <is>
          <t xml:space="preserve">    Rewards &amp; Recognition</t>
        </is>
      </c>
      <c r="B18" s="16" t="n">
        <v>0</v>
      </c>
      <c r="C18" s="16" t="n">
        <v>0</v>
      </c>
      <c r="D18" s="16" t="n">
        <v>0</v>
      </c>
      <c r="E18" s="16" t="n">
        <v>0</v>
      </c>
      <c r="F18" s="16" t="n">
        <v>0</v>
      </c>
      <c r="G18" s="16" t="n">
        <v>0</v>
      </c>
      <c r="H18" s="16" t="n">
        <v>0</v>
      </c>
      <c r="I18" s="16" t="n">
        <v>0</v>
      </c>
      <c r="J18" s="16" t="n">
        <v>0</v>
      </c>
      <c r="K18" s="16" t="n">
        <v>0</v>
      </c>
      <c r="L18" s="16" t="n">
        <v>0</v>
      </c>
      <c r="M18" s="16" t="n">
        <v>0</v>
      </c>
      <c r="N18" s="16">
        <f>SUM(B18:M18)</f>
        <v/>
      </c>
      <c r="O18" s="16" t="n">
        <v>0</v>
      </c>
      <c r="P18" s="16" t="n">
        <v>0</v>
      </c>
      <c r="Q18" s="16" t="n">
        <v>0</v>
      </c>
      <c r="R18" s="16" t="n">
        <v>0</v>
      </c>
      <c r="S18" s="16" t="n">
        <v>0</v>
      </c>
      <c r="T18" s="16" t="n">
        <v>0</v>
      </c>
      <c r="U18" s="16" t="n">
        <v>0</v>
      </c>
      <c r="AA18" s="16">
        <f>SUM(O18:U18)</f>
        <v/>
      </c>
      <c r="AB18" s="16">
        <f>SUM(O18:Z18)</f>
        <v/>
      </c>
      <c r="AC18" s="16" t="n">
        <v>17</v>
      </c>
      <c r="AD18" s="16" t="n">
        <v>17</v>
      </c>
      <c r="AE18" s="16" t="n">
        <v>17</v>
      </c>
      <c r="AF18" s="16" t="n">
        <v>17</v>
      </c>
      <c r="AG18" s="16" t="n">
        <v>17</v>
      </c>
      <c r="AH18" s="16" t="n">
        <v>17</v>
      </c>
      <c r="AI18" s="10">
        <f>SUM(AC18:AH18)</f>
        <v/>
      </c>
      <c r="AJ18" s="16">
        <f>SUM(AC18:AH18)+AI18</f>
        <v/>
      </c>
      <c r="AK18" s="11">
        <f>IF(N18&lt;&gt;0,(AB18-N18)/ABS(N18),0)</f>
        <v/>
      </c>
      <c r="AL18" s="11">
        <f>IF(AB18&lt;&gt;0,(AJ18-AB18)/ABS(AB18),0)</f>
        <v/>
      </c>
    </row>
    <row r="19" ht="13" customHeight="1">
      <c r="A19" s="15" t="inlineStr">
        <is>
          <t xml:space="preserve">    Temps</t>
        </is>
      </c>
      <c r="B19" s="16" t="n">
        <v>0</v>
      </c>
      <c r="C19" s="16" t="n">
        <v>0</v>
      </c>
      <c r="D19" s="16" t="n">
        <v>0</v>
      </c>
      <c r="E19" s="16" t="n">
        <v>0</v>
      </c>
      <c r="F19" s="16" t="n">
        <v>0</v>
      </c>
      <c r="G19" s="16" t="n">
        <v>0</v>
      </c>
      <c r="H19" s="16" t="n">
        <v>0</v>
      </c>
      <c r="I19" s="16" t="n">
        <v>0</v>
      </c>
      <c r="J19" s="16" t="n">
        <v>0</v>
      </c>
      <c r="K19" s="16" t="n">
        <v>0</v>
      </c>
      <c r="L19" s="16" t="n">
        <v>0</v>
      </c>
      <c r="M19" s="16" t="n">
        <v>0</v>
      </c>
      <c r="N19" s="16">
        <f>SUM(B19:M19)</f>
        <v/>
      </c>
      <c r="O19" s="16" t="n">
        <v>0</v>
      </c>
      <c r="P19" s="16" t="n">
        <v>0</v>
      </c>
      <c r="Q19" s="16" t="n">
        <v>0</v>
      </c>
      <c r="R19" s="16" t="n">
        <v>0</v>
      </c>
      <c r="S19" s="16" t="n">
        <v>0</v>
      </c>
      <c r="T19" s="16" t="n">
        <v>0</v>
      </c>
      <c r="U19" s="16" t="n">
        <v>0</v>
      </c>
      <c r="AA19" s="16">
        <f>SUM(O19:U19)</f>
        <v/>
      </c>
      <c r="AB19" s="16">
        <f>SUM(O19:Z19)</f>
        <v/>
      </c>
      <c r="AC19" s="16" t="n">
        <v>0</v>
      </c>
      <c r="AD19" s="16" t="n">
        <v>0</v>
      </c>
      <c r="AE19" s="16" t="n">
        <v>0</v>
      </c>
      <c r="AF19" s="16" t="n">
        <v>0</v>
      </c>
      <c r="AG19" s="16" t="n">
        <v>0</v>
      </c>
      <c r="AH19" s="16" t="n">
        <v>0</v>
      </c>
      <c r="AI19" s="10">
        <f>SUM(AC19:AH19)</f>
        <v/>
      </c>
      <c r="AJ19" s="16">
        <f>SUM(AC19:AH19)+AI19</f>
        <v/>
      </c>
      <c r="AK19" s="11">
        <f>IF(N19&lt;&gt;0,(AB19-N19)/ABS(N19),0)</f>
        <v/>
      </c>
      <c r="AL19" s="11">
        <f>IF(AB19&lt;&gt;0,(AJ19-AB19)/ABS(AB19),0)</f>
        <v/>
      </c>
    </row>
    <row r="20" ht="13" customHeight="1">
      <c r="A20" s="17" t="inlineStr">
        <is>
          <t>Total Personnel</t>
        </is>
      </c>
      <c r="B20" s="18">
        <f>B11+B12+B13+B14+B15+B16+B17+B18+B19</f>
        <v/>
      </c>
      <c r="C20" s="18">
        <f>C11+C12+C13+C14+C15+C16+C17+C18+C19</f>
        <v/>
      </c>
      <c r="D20" s="18">
        <f>D11+D12+D13+D14+D15+D16+D17+D18+D19</f>
        <v/>
      </c>
      <c r="E20" s="18">
        <f>E11+E12+E13+E14+E15+E16+E17+E18+E19</f>
        <v/>
      </c>
      <c r="F20" s="18">
        <f>F11+F12+F13+F14+F15+F16+F17+F18+F19</f>
        <v/>
      </c>
      <c r="G20" s="18">
        <f>G11+G12+G13+G14+G15+G16+G17+G18+G19</f>
        <v/>
      </c>
      <c r="H20" s="18">
        <f>H11+H12+H13+H14+H15+H16+H17+H18+H19</f>
        <v/>
      </c>
      <c r="I20" s="18">
        <f>I11+I12+I13+I14+I15+I16+I17+I18+I19</f>
        <v/>
      </c>
      <c r="J20" s="18">
        <f>J11+J12+J13+J14+J15+J16+J17+J18+J19</f>
        <v/>
      </c>
      <c r="K20" s="18">
        <f>K11+K12+K13+K14+K15+K16+K17+K18+K19</f>
        <v/>
      </c>
      <c r="L20" s="18">
        <f>L11+L12+L13+L14+L15+L16+L17+L18+L19</f>
        <v/>
      </c>
      <c r="M20" s="18">
        <f>M11+M12+M13+M14+M15+M16+M17+M18+M19</f>
        <v/>
      </c>
      <c r="N20" s="18">
        <f>N11+N12+N13+N14+N15+N16+N17+N18+N19</f>
        <v/>
      </c>
      <c r="O20" s="18">
        <f>O11+O12+O13+O14+O15+O16+O17+O18+O19</f>
        <v/>
      </c>
      <c r="P20" s="18">
        <f>P11+P12+P13+P14+P15+P16+P17+P18+P19</f>
        <v/>
      </c>
      <c r="Q20" s="18">
        <f>Q11+Q12+Q13+Q14+Q15+Q16+Q17+Q18+Q19</f>
        <v/>
      </c>
      <c r="R20" s="18">
        <f>R11+R12+R13+R14+R15+R16+R17+R18+R19</f>
        <v/>
      </c>
      <c r="S20" s="18">
        <f>S11+S12+S13+S14+S15+S16+S17+S18+S19</f>
        <v/>
      </c>
      <c r="T20" s="18">
        <f>T11+T12+T13+T14+T15+T16+T17+T18+T19</f>
        <v/>
      </c>
      <c r="U20" s="18">
        <f>U11+U12+U13+U14+U15+U16+U17+U18+U19</f>
        <v/>
      </c>
      <c r="V20" s="18">
        <f>V11+V12+V13+V14+V15+V16+V17+V18+V19</f>
        <v/>
      </c>
      <c r="W20" s="18">
        <f>W11+W12+W13+W14+W15+W16+W17+W18+W19</f>
        <v/>
      </c>
      <c r="X20" s="18">
        <f>X11+X12+X13+X14+X15+X16+X17+X18+X19</f>
        <v/>
      </c>
      <c r="Y20" s="18">
        <f>Y11+Y12+Y13+Y14+Y15+Y16+Y17+Y18+Y19</f>
        <v/>
      </c>
      <c r="Z20" s="18">
        <f>Z11+Z12+Z13+Z14+Z15+Z16+Z17+Z18+Z19</f>
        <v/>
      </c>
      <c r="AA20" s="18">
        <f>AA11+AA12+AA13+AA14+AA15+AA16+AA17+AA18+AA19</f>
        <v/>
      </c>
      <c r="AB20" s="18">
        <f>AB11+AB12+AB13+AB14+AB15+AB16+AB17+AB18+AB19</f>
        <v/>
      </c>
      <c r="AC20" s="18">
        <f>AC11+AC12+AC13+AC14+AC15+AC16+AC17+AC18+AC19</f>
        <v/>
      </c>
      <c r="AD20" s="18">
        <f>AD11+AD12+AD13+AD14+AD15+AD16+AD17+AD18+AD19</f>
        <v/>
      </c>
      <c r="AE20" s="18">
        <f>AE11+AE12+AE13+AE14+AE15+AE16+AE17+AE18+AE19</f>
        <v/>
      </c>
      <c r="AF20" s="18">
        <f>AF11+AF12+AF13+AF14+AF15+AF16+AF17+AF18+AF19</f>
        <v/>
      </c>
      <c r="AG20" s="18">
        <f>AG11+AG12+AG13+AG14+AG15+AG16+AG17+AG18+AG19</f>
        <v/>
      </c>
      <c r="AH20" s="18">
        <f>AH11+AH12+AH13+AH14+AH15+AH16+AH17+AH18+AH19</f>
        <v/>
      </c>
      <c r="AI20" s="18">
        <f>AI11+AI12+AI13+AI14+AI15+AI16+AI17+AI18+AI19</f>
        <v/>
      </c>
      <c r="AJ20" s="18">
        <f>AJ11+AJ12+AJ13+AJ14+AJ15+AJ16+AJ17+AJ18+AJ19</f>
        <v/>
      </c>
      <c r="AK20" s="11">
        <f>IF(N20&lt;&gt;0,(AB20-N20)/ABS(N20),0)</f>
        <v/>
      </c>
      <c r="AL20" s="11">
        <f>IF(AB20&lt;&gt;0,(AJ20-AB20)/ABS(AB20),0)</f>
        <v/>
      </c>
    </row>
    <row r="21" ht="13" customHeight="1">
      <c r="A21" s="19" t="inlineStr">
        <is>
          <t xml:space="preserve">    Sal:Rev</t>
        </is>
      </c>
      <c r="B21" s="20">
        <f>IF(B7&gt;0,B20/B7,0)</f>
        <v/>
      </c>
      <c r="C21" s="20">
        <f>IF(C7&gt;0,C20/C7,0)</f>
        <v/>
      </c>
      <c r="D21" s="20">
        <f>IF(D7&gt;0,D20/D7,0)</f>
        <v/>
      </c>
      <c r="E21" s="20">
        <f>IF(E7&gt;0,E20/E7,0)</f>
        <v/>
      </c>
      <c r="F21" s="20">
        <f>IF(F7&gt;0,F20/F7,0)</f>
        <v/>
      </c>
      <c r="G21" s="20">
        <f>IF(G7&gt;0,G20/G7,0)</f>
        <v/>
      </c>
      <c r="H21" s="20">
        <f>IF(H7&gt;0,H20/H7,0)</f>
        <v/>
      </c>
      <c r="I21" s="20">
        <f>IF(I7&gt;0,I20/I7,0)</f>
        <v/>
      </c>
      <c r="J21" s="20">
        <f>IF(J7&gt;0,J20/J7,0)</f>
        <v/>
      </c>
      <c r="K21" s="20">
        <f>IF(K7&gt;0,K20/K7,0)</f>
        <v/>
      </c>
      <c r="L21" s="20">
        <f>IF(L7&gt;0,L20/L7,0)</f>
        <v/>
      </c>
      <c r="M21" s="20">
        <f>IF(M7&gt;0,M20/M7,0)</f>
        <v/>
      </c>
      <c r="N21" s="20">
        <f>IF(N7&gt;0,N20/N7,0)</f>
        <v/>
      </c>
      <c r="O21" s="20">
        <f>IF(O7&gt;0,O20/O7,0)</f>
        <v/>
      </c>
      <c r="P21" s="20">
        <f>IF(P7&gt;0,P20/P7,0)</f>
        <v/>
      </c>
      <c r="Q21" s="20">
        <f>IF(Q7&gt;0,Q20/Q7,0)</f>
        <v/>
      </c>
      <c r="R21" s="20">
        <f>IF(R7&gt;0,R20/R7,0)</f>
        <v/>
      </c>
      <c r="S21" s="20">
        <f>IF(S7&gt;0,S20/S7,0)</f>
        <v/>
      </c>
      <c r="T21" s="20">
        <f>IF(T7&gt;0,T20/T7,0)</f>
        <v/>
      </c>
      <c r="U21" s="20">
        <f>IF(U7&gt;0,U20/U7,0)</f>
        <v/>
      </c>
      <c r="V21" s="20">
        <f>IF(V7&gt;0,V20/V7,0)</f>
        <v/>
      </c>
      <c r="W21" s="20">
        <f>IF(W7&gt;0,W20/W7,0)</f>
        <v/>
      </c>
      <c r="X21" s="20">
        <f>IF(X7&gt;0,X20/X7,0)</f>
        <v/>
      </c>
      <c r="Y21" s="20">
        <f>IF(Y7&gt;0,Y20/Y7,0)</f>
        <v/>
      </c>
      <c r="Z21" s="20">
        <f>IF(Z7&gt;0,Z20/Z7,0)</f>
        <v/>
      </c>
      <c r="AA21" s="20">
        <f>IF(AA7&gt;0,AA20/AA7,0)</f>
        <v/>
      </c>
      <c r="AB21" s="20">
        <f>IF(AB7&gt;0,AB20/AB7,0)</f>
        <v/>
      </c>
      <c r="AC21" s="20">
        <f>IF(AC7&gt;0,AC20/AC7,0)</f>
        <v/>
      </c>
      <c r="AD21" s="20">
        <f>IF(AD7&gt;0,AD20/AD7,0)</f>
        <v/>
      </c>
      <c r="AE21" s="20">
        <f>IF(AE7&gt;0,AE20/AE7,0)</f>
        <v/>
      </c>
      <c r="AF21" s="20">
        <f>IF(AF7&gt;0,AF20/AF7,0)</f>
        <v/>
      </c>
      <c r="AG21" s="20">
        <f>IF(AG7&gt;0,AG20/AG7,0)</f>
        <v/>
      </c>
      <c r="AH21" s="20">
        <f>IF(AH7&gt;0,AH20/AH7,0)</f>
        <v/>
      </c>
      <c r="AI21" s="20">
        <f>IF(AI7&gt;0,AI20/AI7,0)</f>
        <v/>
      </c>
      <c r="AJ21" s="20">
        <f>IF(AJ7&gt;0,AJ20/AJ7,0)</f>
        <v/>
      </c>
    </row>
    <row r="22" ht="5" customHeight="1"/>
    <row r="23" ht="13" customHeight="1">
      <c r="A23" s="14" t="inlineStr">
        <is>
          <t>Childcare</t>
        </is>
      </c>
    </row>
    <row r="24" ht="13" customHeight="1">
      <c r="A24" s="21" t="inlineStr">
        <is>
          <t xml:space="preserve">    Catering Costs</t>
        </is>
      </c>
      <c r="N24" s="22">
        <f>SUM(B24:M24)</f>
        <v/>
      </c>
      <c r="O24" s="22" t="n">
        <v>0</v>
      </c>
      <c r="P24" s="22" t="n">
        <v>0</v>
      </c>
      <c r="Q24" s="22" t="n">
        <v>0</v>
      </c>
      <c r="R24" s="22" t="n">
        <v>0</v>
      </c>
      <c r="S24" s="22" t="n">
        <v>0</v>
      </c>
      <c r="T24" s="22" t="n">
        <v>0</v>
      </c>
      <c r="U24" s="22" t="n">
        <v>0</v>
      </c>
      <c r="V24" s="22" t="n">
        <v>0</v>
      </c>
      <c r="W24" s="22" t="n">
        <v>727.3656</v>
      </c>
      <c r="X24" s="22" t="n">
        <v>757.0992</v>
      </c>
      <c r="Y24" s="22" t="n">
        <v>946.2647999999999</v>
      </c>
      <c r="Z24" s="22" t="n">
        <v>626.7768</v>
      </c>
      <c r="AA24" s="22">
        <f>SUM(O24:U24)</f>
        <v/>
      </c>
      <c r="AB24" s="22">
        <f>SUM(O24:Z24)</f>
        <v/>
      </c>
      <c r="AC24" s="22" t="n">
        <v>931.0001999999999</v>
      </c>
      <c r="AD24" s="22" t="n">
        <v>681.3031679999999</v>
      </c>
      <c r="AE24" s="22" t="n">
        <v>895.6877279999999</v>
      </c>
      <c r="AF24" s="22" t="n">
        <v>699.611328</v>
      </c>
      <c r="AG24" s="22" t="n">
        <v>908.404224</v>
      </c>
      <c r="AH24" s="22" t="n">
        <v>848.0862</v>
      </c>
      <c r="AI24" s="10">
        <f>SUM(AC24:AH24)</f>
        <v/>
      </c>
      <c r="AJ24" s="22">
        <f>SUM(AC24:AH24)+AI24</f>
        <v/>
      </c>
      <c r="AK24" s="11">
        <f>IF(N24&lt;&gt;0,(AB24-N24)/ABS(N24),0)</f>
        <v/>
      </c>
      <c r="AL24" s="11">
        <f>IF(AB24&lt;&gt;0,(AJ24-AB24)/ABS(AB24),0)</f>
        <v/>
      </c>
    </row>
    <row r="25" ht="13" customHeight="1">
      <c r="A25" s="21" t="inlineStr">
        <is>
          <t xml:space="preserve">    Toys and Games</t>
        </is>
      </c>
      <c r="B25" s="22" t="n">
        <v>0</v>
      </c>
      <c r="C25" s="22" t="n">
        <v>0</v>
      </c>
      <c r="D25" s="22" t="n">
        <v>0</v>
      </c>
      <c r="E25" s="22" t="n">
        <v>0</v>
      </c>
      <c r="F25" s="22" t="n">
        <v>0</v>
      </c>
      <c r="G25" s="22" t="n">
        <v>0</v>
      </c>
      <c r="H25" s="22" t="n">
        <v>0</v>
      </c>
      <c r="I25" s="22" t="n">
        <v>0</v>
      </c>
      <c r="J25" s="22" t="n">
        <v>3627.11</v>
      </c>
      <c r="K25" s="22" t="n">
        <v>38.69</v>
      </c>
      <c r="L25" s="22" t="n">
        <v>19.59</v>
      </c>
      <c r="M25" s="22" t="n">
        <v>0</v>
      </c>
      <c r="N25" s="22">
        <f>SUM(B25:M25)</f>
        <v/>
      </c>
      <c r="O25" s="22" t="n">
        <v>0</v>
      </c>
      <c r="P25" s="22" t="n">
        <v>0</v>
      </c>
      <c r="Q25" s="22" t="n">
        <v>0</v>
      </c>
      <c r="R25" s="22" t="n">
        <v>0</v>
      </c>
      <c r="S25" s="22" t="n">
        <v>0</v>
      </c>
      <c r="T25" s="22" t="n">
        <v>0</v>
      </c>
      <c r="U25" s="22" t="n">
        <v>0</v>
      </c>
      <c r="AA25" s="22">
        <f>SUM(O25:U25)</f>
        <v/>
      </c>
      <c r="AB25" s="22">
        <f>SUM(O25:Z25)</f>
        <v/>
      </c>
      <c r="AC25" s="22" t="n">
        <v>58</v>
      </c>
      <c r="AD25" s="22" t="n">
        <v>58</v>
      </c>
      <c r="AE25" s="22" t="n">
        <v>58</v>
      </c>
      <c r="AF25" s="22" t="n">
        <v>58</v>
      </c>
      <c r="AG25" s="22" t="n">
        <v>58</v>
      </c>
      <c r="AH25" s="22" t="n">
        <v>58</v>
      </c>
      <c r="AI25" s="10">
        <f>SUM(AC25:AH25)</f>
        <v/>
      </c>
      <c r="AJ25" s="22">
        <f>SUM(AC25:AH25)+AI25</f>
        <v/>
      </c>
      <c r="AK25" s="11">
        <f>IF(N25&lt;&gt;0,(AB25-N25)/ABS(N25),0)</f>
        <v/>
      </c>
      <c r="AL25" s="11">
        <f>IF(AB25&lt;&gt;0,(AJ25-AB25)/ABS(AB25),0)</f>
        <v/>
      </c>
    </row>
    <row r="26" ht="13" customHeight="1">
      <c r="A26" s="21" t="inlineStr">
        <is>
          <t xml:space="preserve">    Art Materials</t>
        </is>
      </c>
      <c r="N26" s="22">
        <f>SUM(B26:M26)</f>
        <v/>
      </c>
      <c r="O26" s="22" t="n">
        <v>0</v>
      </c>
      <c r="P26" s="22" t="n">
        <v>0</v>
      </c>
      <c r="Q26" s="22" t="n">
        <v>0</v>
      </c>
      <c r="R26" s="22" t="n">
        <v>0</v>
      </c>
      <c r="S26" s="22" t="n">
        <v>0</v>
      </c>
      <c r="T26" s="22" t="n">
        <v>0</v>
      </c>
      <c r="U26" s="22" t="n">
        <v>0</v>
      </c>
      <c r="V26" s="22" t="n">
        <v>0</v>
      </c>
      <c r="W26" s="22" t="n">
        <v>48.49104</v>
      </c>
      <c r="X26" s="22" t="n">
        <v>50.47328</v>
      </c>
      <c r="Y26" s="22" t="n">
        <v>63.08431999999999</v>
      </c>
      <c r="Z26" s="22" t="n">
        <v>41.78512</v>
      </c>
      <c r="AA26" s="22">
        <f>SUM(O26:U26)</f>
        <v/>
      </c>
      <c r="AB26" s="22">
        <f>SUM(O26:Z26)</f>
        <v/>
      </c>
      <c r="AC26" s="22" t="n">
        <v>62.06668</v>
      </c>
      <c r="AD26" s="22" t="n">
        <v>45.4202112</v>
      </c>
      <c r="AE26" s="22" t="n">
        <v>59.71251519999999</v>
      </c>
      <c r="AF26" s="22" t="n">
        <v>46.64075519999999</v>
      </c>
      <c r="AG26" s="22" t="n">
        <v>60.5602816</v>
      </c>
      <c r="AH26" s="22" t="n">
        <v>56.53908</v>
      </c>
      <c r="AI26" s="10">
        <f>SUM(AC26:AH26)</f>
        <v/>
      </c>
      <c r="AJ26" s="22">
        <f>SUM(AC26:AH26)+AI26</f>
        <v/>
      </c>
      <c r="AK26" s="11">
        <f>IF(N26&lt;&gt;0,(AB26-N26)/ABS(N26),0)</f>
        <v/>
      </c>
      <c r="AL26" s="11">
        <f>IF(AB26&lt;&gt;0,(AJ26-AB26)/ABS(AB26),0)</f>
        <v/>
      </c>
    </row>
    <row r="27" ht="13" customHeight="1">
      <c r="A27" s="21" t="inlineStr">
        <is>
          <t xml:space="preserve">    Nursery Stationery</t>
        </is>
      </c>
      <c r="B27" s="22" t="n">
        <v>0</v>
      </c>
      <c r="C27" s="22" t="n">
        <v>0</v>
      </c>
      <c r="D27" s="22" t="n">
        <v>0</v>
      </c>
      <c r="E27" s="22" t="n">
        <v>0</v>
      </c>
      <c r="F27" s="22" t="n">
        <v>0</v>
      </c>
      <c r="G27" s="22" t="n">
        <v>0</v>
      </c>
      <c r="H27" s="22" t="n">
        <v>0</v>
      </c>
      <c r="I27" s="22" t="n">
        <v>0</v>
      </c>
      <c r="J27" s="22" t="n">
        <v>0</v>
      </c>
      <c r="K27" s="22" t="n">
        <v>0</v>
      </c>
      <c r="L27" s="22" t="n">
        <v>0</v>
      </c>
      <c r="M27" s="22" t="n">
        <v>0</v>
      </c>
      <c r="N27" s="22">
        <f>SUM(B27:M27)</f>
        <v/>
      </c>
      <c r="O27" s="22" t="n">
        <v>0</v>
      </c>
      <c r="P27" s="22" t="n">
        <v>0</v>
      </c>
      <c r="Q27" s="22" t="n">
        <v>0</v>
      </c>
      <c r="R27" s="22" t="n">
        <v>0</v>
      </c>
      <c r="S27" s="22" t="n">
        <v>0</v>
      </c>
      <c r="T27" s="22" t="n">
        <v>0</v>
      </c>
      <c r="U27" s="22" t="n">
        <v>0</v>
      </c>
      <c r="AA27" s="22">
        <f>SUM(O27:U27)</f>
        <v/>
      </c>
      <c r="AB27" s="22">
        <f>SUM(O27:Z27)</f>
        <v/>
      </c>
      <c r="AC27" s="22" t="n">
        <v>50</v>
      </c>
      <c r="AD27" s="22" t="n">
        <v>50</v>
      </c>
      <c r="AE27" s="22" t="n">
        <v>50</v>
      </c>
      <c r="AF27" s="22" t="n">
        <v>50</v>
      </c>
      <c r="AG27" s="22" t="n">
        <v>50</v>
      </c>
      <c r="AH27" s="22" t="n">
        <v>50</v>
      </c>
      <c r="AI27" s="10">
        <f>SUM(AC27:AH27)</f>
        <v/>
      </c>
      <c r="AJ27" s="22">
        <f>SUM(AC27:AH27)+AI27</f>
        <v/>
      </c>
      <c r="AK27" s="11">
        <f>IF(N27&lt;&gt;0,(AB27-N27)/ABS(N27),0)</f>
        <v/>
      </c>
      <c r="AL27" s="11">
        <f>IF(AB27&lt;&gt;0,(AJ27-AB27)/ABS(AB27),0)</f>
        <v/>
      </c>
    </row>
    <row r="28" ht="13" customHeight="1">
      <c r="A28" s="21" t="inlineStr">
        <is>
          <t xml:space="preserve">    Nursery Equipment</t>
        </is>
      </c>
      <c r="B28" s="22" t="n">
        <v>0</v>
      </c>
      <c r="C28" s="22" t="n">
        <v>0</v>
      </c>
      <c r="D28" s="22" t="n">
        <v>0</v>
      </c>
      <c r="E28" s="22" t="n">
        <v>0</v>
      </c>
      <c r="F28" s="22" t="n">
        <v>0</v>
      </c>
      <c r="G28" s="22" t="n">
        <v>0</v>
      </c>
      <c r="H28" s="22" t="n">
        <v>0</v>
      </c>
      <c r="I28" s="22" t="n">
        <v>224.96</v>
      </c>
      <c r="J28" s="22" t="n">
        <v>196.03</v>
      </c>
      <c r="K28" s="22" t="n">
        <v>85.5</v>
      </c>
      <c r="L28" s="22" t="n">
        <v>39.63</v>
      </c>
      <c r="M28" s="22" t="n">
        <v>0</v>
      </c>
      <c r="N28" s="22">
        <f>SUM(B28:M28)</f>
        <v/>
      </c>
      <c r="O28" s="22" t="n">
        <v>0</v>
      </c>
      <c r="P28" s="22" t="n">
        <v>0</v>
      </c>
      <c r="Q28" s="22" t="n">
        <v>0</v>
      </c>
      <c r="R28" s="22" t="n">
        <v>0</v>
      </c>
      <c r="S28" s="22" t="n">
        <v>0</v>
      </c>
      <c r="T28" s="22" t="n">
        <v>0</v>
      </c>
      <c r="U28" s="22" t="n">
        <v>0</v>
      </c>
      <c r="AA28" s="22">
        <f>SUM(O28:U28)</f>
        <v/>
      </c>
      <c r="AB28" s="22">
        <f>SUM(O28:Z28)</f>
        <v/>
      </c>
      <c r="AC28" s="22" t="n">
        <v>50</v>
      </c>
      <c r="AD28" s="22" t="n">
        <v>50</v>
      </c>
      <c r="AE28" s="22" t="n">
        <v>50</v>
      </c>
      <c r="AF28" s="22" t="n">
        <v>50</v>
      </c>
      <c r="AG28" s="22" t="n">
        <v>50</v>
      </c>
      <c r="AH28" s="22" t="n">
        <v>50</v>
      </c>
      <c r="AI28" s="10">
        <f>SUM(AC28:AH28)</f>
        <v/>
      </c>
      <c r="AJ28" s="22">
        <f>SUM(AC28:AH28)+AI28</f>
        <v/>
      </c>
      <c r="AK28" s="11">
        <f>IF(N28&lt;&gt;0,(AB28-N28)/ABS(N28),0)</f>
        <v/>
      </c>
      <c r="AL28" s="11">
        <f>IF(AB28&lt;&gt;0,(AJ28-AB28)/ABS(AB28),0)</f>
        <v/>
      </c>
    </row>
    <row r="29" ht="13" customHeight="1">
      <c r="A29" s="21" t="inlineStr">
        <is>
          <t xml:space="preserve">    Nursery Consumables</t>
        </is>
      </c>
      <c r="N29" s="22">
        <f>SUM(B29:M29)</f>
        <v/>
      </c>
      <c r="O29" s="22" t="n">
        <v>0</v>
      </c>
      <c r="P29" s="22" t="n">
        <v>0</v>
      </c>
      <c r="Q29" s="22" t="n">
        <v>0</v>
      </c>
      <c r="R29" s="22" t="n">
        <v>0</v>
      </c>
      <c r="S29" s="22" t="n">
        <v>0</v>
      </c>
      <c r="T29" s="22" t="n">
        <v>0</v>
      </c>
      <c r="U29" s="22" t="n">
        <v>0</v>
      </c>
      <c r="V29" s="22" t="n">
        <v>0</v>
      </c>
      <c r="W29" s="22" t="n">
        <v>96.98208000000004</v>
      </c>
      <c r="X29" s="22" t="n">
        <v>100.94656</v>
      </c>
      <c r="Y29" s="22" t="n">
        <v>126.16864</v>
      </c>
      <c r="Z29" s="22" t="n">
        <v>83.57024000000003</v>
      </c>
      <c r="AA29" s="22">
        <f>SUM(O29:U29)</f>
        <v/>
      </c>
      <c r="AB29" s="22">
        <f>SUM(O29:Z29)</f>
        <v/>
      </c>
      <c r="AC29" s="22" t="n">
        <v>124.13336</v>
      </c>
      <c r="AD29" s="22" t="n">
        <v>90.84042240000002</v>
      </c>
      <c r="AE29" s="22" t="n">
        <v>119.4250304</v>
      </c>
      <c r="AF29" s="22" t="n">
        <v>93.28151040000003</v>
      </c>
      <c r="AG29" s="22" t="n">
        <v>121.1205632</v>
      </c>
      <c r="AH29" s="22" t="n">
        <v>113.07816</v>
      </c>
      <c r="AI29" s="10">
        <f>SUM(AC29:AH29)</f>
        <v/>
      </c>
      <c r="AJ29" s="22">
        <f>SUM(AC29:AH29)+AI29</f>
        <v/>
      </c>
      <c r="AK29" s="11">
        <f>IF(N29&lt;&gt;0,(AB29-N29)/ABS(N29),0)</f>
        <v/>
      </c>
      <c r="AL29" s="11">
        <f>IF(AB29&lt;&gt;0,(AJ29-AB29)/ABS(AB29),0)</f>
        <v/>
      </c>
    </row>
    <row r="30" ht="13" customHeight="1">
      <c r="A30" s="23" t="inlineStr">
        <is>
          <t>Total Childcare Costs</t>
        </is>
      </c>
      <c r="B30" s="24">
        <f>B24+B25+B26+B27+B28+B29</f>
        <v/>
      </c>
      <c r="C30" s="24">
        <f>C24+C25+C26+C27+C28+C29</f>
        <v/>
      </c>
      <c r="D30" s="24">
        <f>D24+D25+D26+D27+D28+D29</f>
        <v/>
      </c>
      <c r="E30" s="24">
        <f>E24+E25+E26+E27+E28+E29</f>
        <v/>
      </c>
      <c r="F30" s="24">
        <f>F24+F25+F26+F27+F28+F29</f>
        <v/>
      </c>
      <c r="G30" s="24">
        <f>G24+G25+G26+G27+G28+G29</f>
        <v/>
      </c>
      <c r="H30" s="24">
        <f>H24+H25+H26+H27+H28+H29</f>
        <v/>
      </c>
      <c r="I30" s="24">
        <f>I24+I25+I26+I27+I28+I29</f>
        <v/>
      </c>
      <c r="J30" s="24">
        <f>J24+J25+J26+J27+J28+J29</f>
        <v/>
      </c>
      <c r="K30" s="24">
        <f>K24+K25+K26+K27+K28+K29</f>
        <v/>
      </c>
      <c r="L30" s="24">
        <f>L24+L25+L26+L27+L28+L29</f>
        <v/>
      </c>
      <c r="M30" s="24">
        <f>M24+M25+M26+M27+M28+M29</f>
        <v/>
      </c>
      <c r="N30" s="24">
        <f>N24+N25+N26+N27+N28+N29</f>
        <v/>
      </c>
      <c r="O30" s="24">
        <f>O24+O25+O26+O27+O28+O29</f>
        <v/>
      </c>
      <c r="P30" s="24">
        <f>P24+P25+P26+P27+P28+P29</f>
        <v/>
      </c>
      <c r="Q30" s="24">
        <f>Q24+Q25+Q26+Q27+Q28+Q29</f>
        <v/>
      </c>
      <c r="R30" s="24">
        <f>R24+R25+R26+R27+R28+R29</f>
        <v/>
      </c>
      <c r="S30" s="24">
        <f>S24+S25+S26+S27+S28+S29</f>
        <v/>
      </c>
      <c r="T30" s="24">
        <f>T24+T25+T26+T27+T28+T29</f>
        <v/>
      </c>
      <c r="U30" s="24">
        <f>U24+U25+U26+U27+U28+U29</f>
        <v/>
      </c>
      <c r="V30" s="24">
        <f>V24+V25+V26+V27+V28+V29</f>
        <v/>
      </c>
      <c r="W30" s="24">
        <f>W24+W25+W26+W27+W28+W29</f>
        <v/>
      </c>
      <c r="X30" s="24">
        <f>X24+X25+X26+X27+X28+X29</f>
        <v/>
      </c>
      <c r="Y30" s="24">
        <f>Y24+Y25+Y26+Y27+Y28+Y29</f>
        <v/>
      </c>
      <c r="Z30" s="24">
        <f>Z24+Z25+Z26+Z27+Z28+Z29</f>
        <v/>
      </c>
      <c r="AA30" s="24">
        <f>AA24+AA25+AA26+AA27+AA28+AA29</f>
        <v/>
      </c>
      <c r="AB30" s="24">
        <f>AB24+AB25+AB26+AB27+AB28+AB29</f>
        <v/>
      </c>
      <c r="AC30" s="24">
        <f>AC24+AC25+AC26+AC27+AC28+AC29</f>
        <v/>
      </c>
      <c r="AD30" s="24">
        <f>AD24+AD25+AD26+AD27+AD28+AD29</f>
        <v/>
      </c>
      <c r="AE30" s="24">
        <f>AE24+AE25+AE26+AE27+AE28+AE29</f>
        <v/>
      </c>
      <c r="AF30" s="24">
        <f>AF24+AF25+AF26+AF27+AF28+AF29</f>
        <v/>
      </c>
      <c r="AG30" s="24">
        <f>AG24+AG25+AG26+AG27+AG28+AG29</f>
        <v/>
      </c>
      <c r="AH30" s="24">
        <f>AH24+AH25+AH26+AH27+AH28+AH29</f>
        <v/>
      </c>
      <c r="AI30" s="24">
        <f>AI24+AI25+AI26+AI27+AI28+AI29</f>
        <v/>
      </c>
      <c r="AJ30" s="24">
        <f>AJ24+AJ25+AJ26+AJ27+AJ28+AJ29</f>
        <v/>
      </c>
      <c r="AK30" s="11">
        <f>IF(N30&lt;&gt;0,(AB30-N30)/ABS(N30),0)</f>
        <v/>
      </c>
      <c r="AL30" s="11">
        <f>IF(AB30&lt;&gt;0,(AJ30-AB30)/ABS(AB30),0)</f>
        <v/>
      </c>
    </row>
    <row r="31" ht="5" customHeight="1"/>
    <row r="32" ht="13" customHeight="1">
      <c r="A32" s="14" t="inlineStr">
        <is>
          <t>Premises &amp; Admin</t>
        </is>
      </c>
    </row>
    <row r="33" ht="13" customHeight="1">
      <c r="A33" s="25" t="inlineStr">
        <is>
          <t xml:space="preserve">    Rent</t>
        </is>
      </c>
      <c r="B33" s="26" t="n">
        <v>352.17</v>
      </c>
      <c r="C33" s="26" t="n">
        <v>352.17</v>
      </c>
      <c r="D33" s="26" t="n">
        <v>352.17</v>
      </c>
      <c r="E33" s="26" t="n">
        <v>352.17</v>
      </c>
      <c r="F33" s="26" t="n">
        <v>352.16</v>
      </c>
      <c r="G33" s="26" t="n">
        <v>352.17</v>
      </c>
      <c r="H33" s="26" t="n">
        <v>352.17</v>
      </c>
      <c r="I33" s="26" t="n">
        <v>352.17</v>
      </c>
      <c r="J33" s="26" t="n">
        <v>352.16</v>
      </c>
      <c r="K33" s="26" t="n">
        <v>352.17</v>
      </c>
      <c r="L33" s="26" t="n">
        <v>352.17</v>
      </c>
      <c r="M33" s="26" t="n">
        <v>352.17</v>
      </c>
      <c r="N33" s="26">
        <f>SUM(B33:M33)</f>
        <v/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  <c r="AA33" s="26">
        <f>SUM(O33:U33)</f>
        <v/>
      </c>
      <c r="AB33" s="26">
        <f>SUM(O33:Z33)</f>
        <v/>
      </c>
      <c r="AC33" s="26" t="n">
        <v>0</v>
      </c>
      <c r="AD33" s="26" t="n">
        <v>0</v>
      </c>
      <c r="AE33" s="26" t="n">
        <v>0</v>
      </c>
      <c r="AF33" s="26" t="n">
        <v>0</v>
      </c>
      <c r="AG33" s="26" t="n">
        <v>0</v>
      </c>
      <c r="AH33" s="26" t="n">
        <v>0</v>
      </c>
      <c r="AI33" s="10">
        <f>SUM(AC33:AH33)</f>
        <v/>
      </c>
      <c r="AJ33" s="26">
        <f>SUM(AC33:AH33)+AI33</f>
        <v/>
      </c>
      <c r="AK33" s="11">
        <f>IF(N33&lt;&gt;0,(AB33-N33)/ABS(N33),0)</f>
        <v/>
      </c>
      <c r="AL33" s="11">
        <f>IF(AB33&lt;&gt;0,(AJ33-AB33)/ABS(AB33),0)</f>
        <v/>
      </c>
    </row>
    <row r="34" ht="13" customHeight="1">
      <c r="A34" s="25" t="inlineStr">
        <is>
          <t xml:space="preserve">    Business Rates</t>
        </is>
      </c>
      <c r="B34" s="26" t="n">
        <v>336.83</v>
      </c>
      <c r="C34" s="26" t="n">
        <v>336.83</v>
      </c>
      <c r="D34" s="26" t="n">
        <v>336.83</v>
      </c>
      <c r="E34" s="26" t="n">
        <v>336.83</v>
      </c>
      <c r="F34" s="26" t="n">
        <v>336.82</v>
      </c>
      <c r="G34" s="26" t="n">
        <v>336.83</v>
      </c>
      <c r="H34" s="26" t="n">
        <v>336.83</v>
      </c>
      <c r="I34" s="26" t="n">
        <v>336.83</v>
      </c>
      <c r="J34" s="26" t="n">
        <v>336.83</v>
      </c>
      <c r="K34" s="26" t="n">
        <v>336.83</v>
      </c>
      <c r="L34" s="26" t="n">
        <v>336.83</v>
      </c>
      <c r="M34" s="26" t="n">
        <v>336.83</v>
      </c>
      <c r="N34" s="26">
        <f>SUM(B34:M34)</f>
        <v/>
      </c>
      <c r="O34" s="26" t="n">
        <v>0</v>
      </c>
      <c r="P34" s="26" t="n">
        <v>0</v>
      </c>
      <c r="Q34" s="26" t="n">
        <v>0</v>
      </c>
      <c r="R34" s="26" t="n">
        <v>0</v>
      </c>
      <c r="S34" s="26" t="n">
        <v>0</v>
      </c>
      <c r="T34" s="26" t="n">
        <v>0</v>
      </c>
      <c r="U34" s="26" t="n">
        <v>0</v>
      </c>
      <c r="AA34" s="26">
        <f>SUM(O34:U34)</f>
        <v/>
      </c>
      <c r="AB34" s="26">
        <f>SUM(O34:Z34)</f>
        <v/>
      </c>
      <c r="AC34" s="26" t="n">
        <v>459</v>
      </c>
      <c r="AD34" s="26" t="n">
        <v>459</v>
      </c>
      <c r="AE34" s="26" t="n">
        <v>459</v>
      </c>
      <c r="AF34" s="26" t="n">
        <v>459</v>
      </c>
      <c r="AG34" s="26" t="n">
        <v>459</v>
      </c>
      <c r="AH34" s="26" t="n">
        <v>459</v>
      </c>
      <c r="AI34" s="10">
        <f>SUM(AC34:AH34)</f>
        <v/>
      </c>
      <c r="AJ34" s="26">
        <f>SUM(AC34:AH34)+AI34</f>
        <v/>
      </c>
      <c r="AK34" s="11">
        <f>IF(N34&lt;&gt;0,(AB34-N34)/ABS(N34),0)</f>
        <v/>
      </c>
      <c r="AL34" s="11">
        <f>IF(AB34&lt;&gt;0,(AJ34-AB34)/ABS(AB34),0)</f>
        <v/>
      </c>
    </row>
    <row r="35" ht="13" customHeight="1">
      <c r="A35" s="25" t="inlineStr">
        <is>
          <t xml:space="preserve">    Utilities</t>
        </is>
      </c>
      <c r="B35" s="26" t="n">
        <v>33.48</v>
      </c>
      <c r="C35" s="26" t="n">
        <v>-23.92999999999999</v>
      </c>
      <c r="D35" s="26" t="n">
        <v>0</v>
      </c>
      <c r="E35" s="26" t="n">
        <v>0</v>
      </c>
      <c r="F35" s="26" t="n">
        <v>-219.14</v>
      </c>
      <c r="G35" s="26" t="n">
        <v>27.29</v>
      </c>
      <c r="H35" s="26" t="n">
        <v>26.41</v>
      </c>
      <c r="I35" s="26" t="n">
        <v>27.29</v>
      </c>
      <c r="J35" s="26" t="n">
        <v>26.05</v>
      </c>
      <c r="K35" s="26" t="n">
        <v>213.56</v>
      </c>
      <c r="L35" s="26" t="n">
        <v>334.75</v>
      </c>
      <c r="M35" s="26" t="n">
        <v>-109.84</v>
      </c>
      <c r="N35" s="26">
        <f>SUM(B35:M35)</f>
        <v/>
      </c>
      <c r="O35" s="26" t="n">
        <v>0</v>
      </c>
      <c r="P35" s="26" t="n">
        <v>0</v>
      </c>
      <c r="Q35" s="26" t="n">
        <v>0</v>
      </c>
      <c r="R35" s="26" t="n">
        <v>0</v>
      </c>
      <c r="S35" s="26" t="n">
        <v>0</v>
      </c>
      <c r="T35" s="26" t="n">
        <v>0</v>
      </c>
      <c r="U35" s="26" t="n">
        <v>0</v>
      </c>
      <c r="AA35" s="26">
        <f>SUM(O35:U35)</f>
        <v/>
      </c>
      <c r="AB35" s="26">
        <f>SUM(O35:Z35)</f>
        <v/>
      </c>
      <c r="AC35" s="26" t="n">
        <v>260</v>
      </c>
      <c r="AD35" s="26" t="n">
        <v>260</v>
      </c>
      <c r="AE35" s="26" t="n">
        <v>260</v>
      </c>
      <c r="AF35" s="26" t="n">
        <v>260</v>
      </c>
      <c r="AG35" s="26" t="n">
        <v>260</v>
      </c>
      <c r="AH35" s="26" t="n">
        <v>260</v>
      </c>
      <c r="AI35" s="10">
        <f>SUM(AC35:AH35)</f>
        <v/>
      </c>
      <c r="AJ35" s="26">
        <f>SUM(AC35:AH35)+AI35</f>
        <v/>
      </c>
      <c r="AK35" s="11">
        <f>IF(N35&lt;&gt;0,(AB35-N35)/ABS(N35),0)</f>
        <v/>
      </c>
      <c r="AL35" s="11">
        <f>IF(AB35&lt;&gt;0,(AJ35-AB35)/ABS(AB35),0)</f>
        <v/>
      </c>
    </row>
    <row r="36" ht="13" customHeight="1">
      <c r="A36" s="25" t="inlineStr">
        <is>
          <t xml:space="preserve">    Repairs &amp; Maintenance</t>
        </is>
      </c>
      <c r="B36" s="26" t="n">
        <v>0</v>
      </c>
      <c r="C36" s="26" t="n">
        <v>0</v>
      </c>
      <c r="D36" s="26" t="n">
        <v>0</v>
      </c>
      <c r="E36" s="26" t="n">
        <v>0</v>
      </c>
      <c r="F36" s="26" t="n">
        <v>0</v>
      </c>
      <c r="G36" s="26" t="n">
        <v>8439.74</v>
      </c>
      <c r="H36" s="26" t="n">
        <v>3019.400000000001</v>
      </c>
      <c r="I36" s="26" t="n">
        <v>850.47</v>
      </c>
      <c r="J36" s="26" t="n">
        <v>185.01</v>
      </c>
      <c r="K36" s="26" t="n">
        <v>0</v>
      </c>
      <c r="L36" s="26" t="n">
        <v>0</v>
      </c>
      <c r="M36" s="26" t="n">
        <v>108</v>
      </c>
      <c r="N36" s="26">
        <f>SUM(B36:M36)</f>
        <v/>
      </c>
      <c r="O36" s="26" t="n">
        <v>0</v>
      </c>
      <c r="P36" s="26" t="n">
        <v>0</v>
      </c>
      <c r="Q36" s="26" t="n">
        <v>0</v>
      </c>
      <c r="R36" s="26" t="n">
        <v>0</v>
      </c>
      <c r="S36" s="26" t="n">
        <v>0</v>
      </c>
      <c r="T36" s="26" t="n">
        <v>0</v>
      </c>
      <c r="U36" s="26" t="n">
        <v>0</v>
      </c>
      <c r="AA36" s="26">
        <f>SUM(O36:U36)</f>
        <v/>
      </c>
      <c r="AB36" s="26">
        <f>SUM(O36:Z36)</f>
        <v/>
      </c>
      <c r="AC36" s="26" t="n">
        <v>0</v>
      </c>
      <c r="AD36" s="26" t="n">
        <v>0</v>
      </c>
      <c r="AE36" s="26" t="n">
        <v>0</v>
      </c>
      <c r="AF36" s="26" t="n">
        <v>0</v>
      </c>
      <c r="AG36" s="26" t="n">
        <v>0</v>
      </c>
      <c r="AH36" s="26" t="n">
        <v>0</v>
      </c>
      <c r="AI36" s="10">
        <f>SUM(AC36:AH36)</f>
        <v/>
      </c>
      <c r="AJ36" s="26">
        <f>SUM(AC36:AH36)+AI36</f>
        <v/>
      </c>
      <c r="AK36" s="11">
        <f>IF(N36&lt;&gt;0,(AB36-N36)/ABS(N36),0)</f>
        <v/>
      </c>
      <c r="AL36" s="11">
        <f>IF(AB36&lt;&gt;0,(AJ36-AB36)/ABS(AB36),0)</f>
        <v/>
      </c>
    </row>
    <row r="37" ht="13" customHeight="1">
      <c r="A37" s="25" t="inlineStr">
        <is>
          <t xml:space="preserve">    Cleaning</t>
        </is>
      </c>
      <c r="B37" s="26" t="n">
        <v>0</v>
      </c>
      <c r="C37" s="26" t="n">
        <v>0</v>
      </c>
      <c r="D37" s="26" t="n">
        <v>0</v>
      </c>
      <c r="E37" s="26" t="n">
        <v>0</v>
      </c>
      <c r="F37" s="26" t="n">
        <v>0</v>
      </c>
      <c r="G37" s="26" t="n">
        <v>0</v>
      </c>
      <c r="H37" s="26" t="n">
        <v>0</v>
      </c>
      <c r="I37" s="26" t="n">
        <v>0</v>
      </c>
      <c r="J37" s="26" t="n">
        <v>157.02</v>
      </c>
      <c r="K37" s="26" t="n">
        <v>0</v>
      </c>
      <c r="L37" s="26" t="n">
        <v>0</v>
      </c>
      <c r="M37" s="26" t="n">
        <v>0</v>
      </c>
      <c r="N37" s="26">
        <f>SUM(B37:M37)</f>
        <v/>
      </c>
      <c r="O37" s="26" t="n">
        <v>0</v>
      </c>
      <c r="P37" s="26" t="n">
        <v>0</v>
      </c>
      <c r="Q37" s="26" t="n">
        <v>0</v>
      </c>
      <c r="R37" s="26" t="n">
        <v>0</v>
      </c>
      <c r="S37" s="26" t="n">
        <v>0</v>
      </c>
      <c r="T37" s="26" t="n">
        <v>0</v>
      </c>
      <c r="U37" s="26" t="n">
        <v>0</v>
      </c>
      <c r="AA37" s="26">
        <f>SUM(O37:U37)</f>
        <v/>
      </c>
      <c r="AB37" s="26">
        <f>SUM(O37:Z37)</f>
        <v/>
      </c>
      <c r="AC37" s="26" t="n">
        <v>160</v>
      </c>
      <c r="AD37" s="26" t="n">
        <v>160</v>
      </c>
      <c r="AE37" s="26" t="n">
        <v>160</v>
      </c>
      <c r="AF37" s="26" t="n">
        <v>160</v>
      </c>
      <c r="AG37" s="26" t="n">
        <v>160</v>
      </c>
      <c r="AH37" s="26" t="n">
        <v>160</v>
      </c>
      <c r="AI37" s="10">
        <f>SUM(AC37:AH37)</f>
        <v/>
      </c>
      <c r="AJ37" s="26">
        <f>SUM(AC37:AH37)+AI37</f>
        <v/>
      </c>
      <c r="AK37" s="11">
        <f>IF(N37&lt;&gt;0,(AB37-N37)/ABS(N37),0)</f>
        <v/>
      </c>
      <c r="AL37" s="11">
        <f>IF(AB37&lt;&gt;0,(AJ37-AB37)/ABS(AB37),0)</f>
        <v/>
      </c>
    </row>
    <row r="38" ht="13" customHeight="1">
      <c r="A38" s="25" t="inlineStr">
        <is>
          <t xml:space="preserve">    Waste Disposal</t>
        </is>
      </c>
      <c r="B38" s="26" t="n">
        <v>0</v>
      </c>
      <c r="C38" s="26" t="n">
        <v>0</v>
      </c>
      <c r="D38" s="26" t="n">
        <v>0</v>
      </c>
      <c r="E38" s="26" t="n">
        <v>0</v>
      </c>
      <c r="F38" s="26" t="n">
        <v>0</v>
      </c>
      <c r="G38" s="26" t="n">
        <v>0</v>
      </c>
      <c r="H38" s="26" t="n">
        <v>0</v>
      </c>
      <c r="I38" s="26" t="n">
        <v>0</v>
      </c>
      <c r="J38" s="26" t="n">
        <v>469.6</v>
      </c>
      <c r="K38" s="26" t="n">
        <v>129.62</v>
      </c>
      <c r="L38" s="26" t="n">
        <v>323.75</v>
      </c>
      <c r="M38" s="26" t="n">
        <v>335.15</v>
      </c>
      <c r="N38" s="26">
        <f>SUM(B38:M38)</f>
        <v/>
      </c>
      <c r="O38" s="26" t="n">
        <v>0</v>
      </c>
      <c r="P38" s="26" t="n">
        <v>0</v>
      </c>
      <c r="Q38" s="26" t="n">
        <v>0</v>
      </c>
      <c r="R38" s="26" t="n">
        <v>0</v>
      </c>
      <c r="S38" s="26" t="n">
        <v>0</v>
      </c>
      <c r="T38" s="26" t="n">
        <v>0</v>
      </c>
      <c r="U38" s="26" t="n">
        <v>0</v>
      </c>
      <c r="AA38" s="26">
        <f>SUM(O38:U38)</f>
        <v/>
      </c>
      <c r="AB38" s="26">
        <f>SUM(O38:Z38)</f>
        <v/>
      </c>
      <c r="AC38" s="26" t="n">
        <v>200</v>
      </c>
      <c r="AD38" s="26" t="n">
        <v>200</v>
      </c>
      <c r="AE38" s="26" t="n">
        <v>200</v>
      </c>
      <c r="AF38" s="26" t="n">
        <v>200</v>
      </c>
      <c r="AG38" s="26" t="n">
        <v>200</v>
      </c>
      <c r="AH38" s="26" t="n">
        <v>200</v>
      </c>
      <c r="AI38" s="10">
        <f>SUM(AC38:AH38)</f>
        <v/>
      </c>
      <c r="AJ38" s="26">
        <f>SUM(AC38:AH38)+AI38</f>
        <v/>
      </c>
      <c r="AK38" s="11">
        <f>IF(N38&lt;&gt;0,(AB38-N38)/ABS(N38),0)</f>
        <v/>
      </c>
      <c r="AL38" s="11">
        <f>IF(AB38&lt;&gt;0,(AJ38-AB38)/ABS(AB38),0)</f>
        <v/>
      </c>
    </row>
    <row r="39" ht="13" customHeight="1">
      <c r="A39" s="25" t="inlineStr">
        <is>
          <t xml:space="preserve">    Postage/Printing/Stationery</t>
        </is>
      </c>
      <c r="B39" s="26" t="n">
        <v>0</v>
      </c>
      <c r="C39" s="26" t="n">
        <v>0</v>
      </c>
      <c r="D39" s="26" t="n">
        <v>0</v>
      </c>
      <c r="E39" s="26" t="n">
        <v>0</v>
      </c>
      <c r="F39" s="26" t="n">
        <v>0</v>
      </c>
      <c r="G39" s="26" t="n">
        <v>0</v>
      </c>
      <c r="H39" s="26" t="n">
        <v>0</v>
      </c>
      <c r="I39" s="26" t="n">
        <v>227.2</v>
      </c>
      <c r="J39" s="26" t="n">
        <v>131.95</v>
      </c>
      <c r="K39" s="26" t="n">
        <v>0</v>
      </c>
      <c r="L39" s="26" t="n">
        <v>19.19</v>
      </c>
      <c r="M39" s="26" t="n">
        <v>0</v>
      </c>
      <c r="N39" s="26">
        <f>SUM(B39:M39)</f>
        <v/>
      </c>
      <c r="O39" s="26" t="n">
        <v>0</v>
      </c>
      <c r="P39" s="26" t="n">
        <v>0</v>
      </c>
      <c r="Q39" s="26" t="n">
        <v>0</v>
      </c>
      <c r="R39" s="26" t="n">
        <v>0</v>
      </c>
      <c r="S39" s="26" t="n">
        <v>0</v>
      </c>
      <c r="T39" s="26" t="n">
        <v>0</v>
      </c>
      <c r="U39" s="26" t="n">
        <v>0</v>
      </c>
      <c r="AA39" s="26">
        <f>SUM(O39:U39)</f>
        <v/>
      </c>
      <c r="AB39" s="26">
        <f>SUM(O39:Z39)</f>
        <v/>
      </c>
      <c r="AC39" s="26" t="n">
        <v>0</v>
      </c>
      <c r="AD39" s="26" t="n">
        <v>0</v>
      </c>
      <c r="AE39" s="26" t="n">
        <v>0</v>
      </c>
      <c r="AF39" s="26" t="n">
        <v>0</v>
      </c>
      <c r="AG39" s="26" t="n">
        <v>0</v>
      </c>
      <c r="AH39" s="26" t="n">
        <v>0</v>
      </c>
      <c r="AI39" s="10">
        <f>SUM(AC39:AH39)</f>
        <v/>
      </c>
      <c r="AJ39" s="26">
        <f>SUM(AC39:AH39)+AI39</f>
        <v/>
      </c>
      <c r="AK39" s="11">
        <f>IF(N39&lt;&gt;0,(AB39-N39)/ABS(N39),0)</f>
        <v/>
      </c>
      <c r="AL39" s="11">
        <f>IF(AB39&lt;&gt;0,(AJ39-AB39)/ABS(AB39),0)</f>
        <v/>
      </c>
    </row>
    <row r="40" ht="13" customHeight="1">
      <c r="A40" s="25" t="inlineStr">
        <is>
          <t xml:space="preserve">    Telephone</t>
        </is>
      </c>
      <c r="B40" s="26" t="n">
        <v>0</v>
      </c>
      <c r="C40" s="26" t="n">
        <v>0</v>
      </c>
      <c r="D40" s="26" t="n">
        <v>0</v>
      </c>
      <c r="E40" s="26" t="n">
        <v>0</v>
      </c>
      <c r="F40" s="26" t="n">
        <v>0</v>
      </c>
      <c r="G40" s="26" t="n">
        <v>0</v>
      </c>
      <c r="H40" s="26" t="n">
        <v>0</v>
      </c>
      <c r="I40" s="26" t="n">
        <v>0</v>
      </c>
      <c r="J40" s="26" t="n">
        <v>0</v>
      </c>
      <c r="K40" s="26" t="n">
        <v>10</v>
      </c>
      <c r="L40" s="26" t="n">
        <v>10</v>
      </c>
      <c r="M40" s="26" t="n">
        <v>10</v>
      </c>
      <c r="N40" s="26">
        <f>SUM(B40:M40)</f>
        <v/>
      </c>
      <c r="O40" s="26" t="n">
        <v>0</v>
      </c>
      <c r="P40" s="26" t="n">
        <v>0</v>
      </c>
      <c r="Q40" s="26" t="n">
        <v>0</v>
      </c>
      <c r="R40" s="26" t="n">
        <v>0</v>
      </c>
      <c r="S40" s="26" t="n">
        <v>0</v>
      </c>
      <c r="T40" s="26" t="n">
        <v>0</v>
      </c>
      <c r="U40" s="26" t="n">
        <v>0</v>
      </c>
      <c r="AA40" s="26">
        <f>SUM(O40:U40)</f>
        <v/>
      </c>
      <c r="AB40" s="26">
        <f>SUM(O40:Z40)</f>
        <v/>
      </c>
      <c r="AC40" s="26" t="n">
        <v>10</v>
      </c>
      <c r="AD40" s="26" t="n">
        <v>10</v>
      </c>
      <c r="AE40" s="26" t="n">
        <v>10</v>
      </c>
      <c r="AF40" s="26" t="n">
        <v>10</v>
      </c>
      <c r="AG40" s="26" t="n">
        <v>10</v>
      </c>
      <c r="AH40" s="26" t="n">
        <v>10</v>
      </c>
      <c r="AI40" s="10">
        <f>SUM(AC40:AH40)</f>
        <v/>
      </c>
      <c r="AJ40" s="26">
        <f>SUM(AC40:AH40)+AI40</f>
        <v/>
      </c>
      <c r="AK40" s="11">
        <f>IF(N40&lt;&gt;0,(AB40-N40)/ABS(N40),0)</f>
        <v/>
      </c>
      <c r="AL40" s="11">
        <f>IF(AB40&lt;&gt;0,(AJ40-AB40)/ABS(AB40),0)</f>
        <v/>
      </c>
    </row>
    <row r="41" ht="13" customHeight="1">
      <c r="A41" s="25" t="inlineStr">
        <is>
          <t xml:space="preserve">    Marketing</t>
        </is>
      </c>
      <c r="B41" s="26" t="n">
        <v>0</v>
      </c>
      <c r="C41" s="26" t="n">
        <v>0</v>
      </c>
      <c r="D41" s="26" t="n">
        <v>0</v>
      </c>
      <c r="E41" s="26" t="n">
        <v>0</v>
      </c>
      <c r="F41" s="26" t="n">
        <v>0</v>
      </c>
      <c r="G41" s="26" t="n">
        <v>0</v>
      </c>
      <c r="H41" s="26" t="n">
        <v>0</v>
      </c>
      <c r="I41" s="26" t="n">
        <v>348</v>
      </c>
      <c r="J41" s="26" t="n">
        <v>0</v>
      </c>
      <c r="K41" s="26" t="n">
        <v>0</v>
      </c>
      <c r="L41" s="26" t="n">
        <v>0</v>
      </c>
      <c r="M41" s="26" t="n">
        <v>0</v>
      </c>
      <c r="N41" s="26">
        <f>SUM(B41:M41)</f>
        <v/>
      </c>
      <c r="O41" s="26" t="n">
        <v>0</v>
      </c>
      <c r="P41" s="26" t="n">
        <v>0</v>
      </c>
      <c r="Q41" s="26" t="n">
        <v>0</v>
      </c>
      <c r="R41" s="26" t="n">
        <v>0</v>
      </c>
      <c r="S41" s="26" t="n">
        <v>0</v>
      </c>
      <c r="T41" s="26" t="n">
        <v>0</v>
      </c>
      <c r="U41" s="26" t="n">
        <v>0</v>
      </c>
      <c r="AA41" s="26">
        <f>SUM(O41:U41)</f>
        <v/>
      </c>
      <c r="AB41" s="26">
        <f>SUM(O41:Z41)</f>
        <v/>
      </c>
      <c r="AC41" s="26" t="n">
        <v>100</v>
      </c>
      <c r="AD41" s="26" t="n">
        <v>100</v>
      </c>
      <c r="AE41" s="26" t="n">
        <v>100</v>
      </c>
      <c r="AF41" s="26" t="n">
        <v>100</v>
      </c>
      <c r="AG41" s="26" t="n">
        <v>100</v>
      </c>
      <c r="AH41" s="26" t="n">
        <v>100</v>
      </c>
      <c r="AI41" s="10">
        <f>SUM(AC41:AH41)</f>
        <v/>
      </c>
      <c r="AJ41" s="26">
        <f>SUM(AC41:AH41)+AI41</f>
        <v/>
      </c>
      <c r="AK41" s="11">
        <f>IF(N41&lt;&gt;0,(AB41-N41)/ABS(N41),0)</f>
        <v/>
      </c>
      <c r="AL41" s="11">
        <f>IF(AB41&lt;&gt;0,(AJ41-AB41)/ABS(AB41),0)</f>
        <v/>
      </c>
    </row>
    <row r="42" ht="13" customHeight="1">
      <c r="A42" s="27" t="inlineStr">
        <is>
          <t>Total Premises &amp; Admin</t>
        </is>
      </c>
      <c r="B42" s="28">
        <f>B33+B34+B35+B36+B37+B38+B39+B40+B41</f>
        <v/>
      </c>
      <c r="C42" s="28">
        <f>C33+C34+C35+C36+C37+C38+C39+C40+C41</f>
        <v/>
      </c>
      <c r="D42" s="28">
        <f>D33+D34+D35+D36+D37+D38+D39+D40+D41</f>
        <v/>
      </c>
      <c r="E42" s="28">
        <f>E33+E34+E35+E36+E37+E38+E39+E40+E41</f>
        <v/>
      </c>
      <c r="F42" s="28">
        <f>F33+F34+F35+F36+F37+F38+F39+F40+F41</f>
        <v/>
      </c>
      <c r="G42" s="28">
        <f>G33+G34+G35+G36+G37+G38+G39+G40+G41</f>
        <v/>
      </c>
      <c r="H42" s="28">
        <f>H33+H34+H35+H36+H37+H38+H39+H40+H41</f>
        <v/>
      </c>
      <c r="I42" s="28">
        <f>I33+I34+I35+I36+I37+I38+I39+I40+I41</f>
        <v/>
      </c>
      <c r="J42" s="28">
        <f>J33+J34+J35+J36+J37+J38+J39+J40+J41</f>
        <v/>
      </c>
      <c r="K42" s="28">
        <f>K33+K34+K35+K36+K37+K38+K39+K40+K41</f>
        <v/>
      </c>
      <c r="L42" s="28">
        <f>L33+L34+L35+L36+L37+L38+L39+L40+L41</f>
        <v/>
      </c>
      <c r="M42" s="28">
        <f>M33+M34+M35+M36+M37+M38+M39+M40+M41</f>
        <v/>
      </c>
      <c r="N42" s="28">
        <f>N33+N34+N35+N36+N37+N38+N39+N40+N41</f>
        <v/>
      </c>
      <c r="O42" s="28">
        <f>O33+O34+O35+O36+O37+O38+O39+O40+O41</f>
        <v/>
      </c>
      <c r="P42" s="28">
        <f>P33+P34+P35+P36+P37+P38+P39+P40+P41</f>
        <v/>
      </c>
      <c r="Q42" s="28">
        <f>Q33+Q34+Q35+Q36+Q37+Q38+Q39+Q40+Q41</f>
        <v/>
      </c>
      <c r="R42" s="28">
        <f>R33+R34+R35+R36+R37+R38+R39+R40+R41</f>
        <v/>
      </c>
      <c r="S42" s="28">
        <f>S33+S34+S35+S36+S37+S38+S39+S40+S41</f>
        <v/>
      </c>
      <c r="T42" s="28">
        <f>T33+T34+T35+T36+T37+T38+T39+T40+T41</f>
        <v/>
      </c>
      <c r="U42" s="28">
        <f>U33+U34+U35+U36+U37+U38+U39+U40+U41</f>
        <v/>
      </c>
      <c r="V42" s="28">
        <f>V33+V34+V35+V36+V37+V38+V39+V40+V41</f>
        <v/>
      </c>
      <c r="W42" s="28">
        <f>W33+W34+W35+W36+W37+W38+W39+W40+W41</f>
        <v/>
      </c>
      <c r="X42" s="28">
        <f>X33+X34+X35+X36+X37+X38+X39+X40+X41</f>
        <v/>
      </c>
      <c r="Y42" s="28">
        <f>Y33+Y34+Y35+Y36+Y37+Y38+Y39+Y40+Y41</f>
        <v/>
      </c>
      <c r="Z42" s="28">
        <f>Z33+Z34+Z35+Z36+Z37+Z38+Z39+Z40+Z41</f>
        <v/>
      </c>
      <c r="AA42" s="28">
        <f>AA33+AA34+AA35+AA36+AA37+AA38+AA39+AA40+AA41</f>
        <v/>
      </c>
      <c r="AB42" s="28">
        <f>AB33+AB34+AB35+AB36+AB37+AB38+AB39+AB40+AB41</f>
        <v/>
      </c>
      <c r="AC42" s="28">
        <f>AC33+AC34+AC35+AC36+AC37+AC38+AC39+AC40+AC41</f>
        <v/>
      </c>
      <c r="AD42" s="28">
        <f>AD33+AD34+AD35+AD36+AD37+AD38+AD39+AD40+AD41</f>
        <v/>
      </c>
      <c r="AE42" s="28">
        <f>AE33+AE34+AE35+AE36+AE37+AE38+AE39+AE40+AE41</f>
        <v/>
      </c>
      <c r="AF42" s="28">
        <f>AF33+AF34+AF35+AF36+AF37+AF38+AF39+AF40+AF41</f>
        <v/>
      </c>
      <c r="AG42" s="28">
        <f>AG33+AG34+AG35+AG36+AG37+AG38+AG39+AG40+AG41</f>
        <v/>
      </c>
      <c r="AH42" s="28">
        <f>AH33+AH34+AH35+AH36+AH37+AH38+AH39+AH40+AH41</f>
        <v/>
      </c>
      <c r="AI42" s="28">
        <f>AI33+AI34+AI35+AI36+AI37+AI38+AI39+AI40+AI41</f>
        <v/>
      </c>
      <c r="AJ42" s="28">
        <f>AJ33+AJ34+AJ35+AJ36+AJ37+AJ38+AJ39+AJ40+AJ41</f>
        <v/>
      </c>
      <c r="AK42" s="11">
        <f>IF(N42&lt;&gt;0,(AB42-N42)/ABS(N42),0)</f>
        <v/>
      </c>
      <c r="AL42" s="11">
        <f>IF(AB42&lt;&gt;0,(AJ42-AB42)/ABS(AB42),0)</f>
        <v/>
      </c>
    </row>
    <row r="43" ht="5" customHeight="1"/>
    <row r="44" ht="13" customHeight="1">
      <c r="A44" s="29" t="inlineStr">
        <is>
          <t>Total Direct Costs</t>
        </is>
      </c>
      <c r="AK44" s="11">
        <f>IF(N44&lt;&gt;0,(AB44-N44)/ABS(N44),0)</f>
        <v/>
      </c>
      <c r="AL44" s="11">
        <f>IF(AB44&lt;&gt;0,(AJ44-AB44)/ABS(AB44),0)</f>
        <v/>
      </c>
    </row>
    <row r="45" ht="5" customHeight="1"/>
    <row r="46" ht="15" customHeight="1">
      <c r="A46" s="30" t="inlineStr">
        <is>
          <t>CONTRIBUTION</t>
        </is>
      </c>
      <c r="B46" s="31">
        <f>B7-B44</f>
        <v/>
      </c>
      <c r="C46" s="31">
        <f>C7-C44</f>
        <v/>
      </c>
      <c r="D46" s="31">
        <f>D7-D44</f>
        <v/>
      </c>
      <c r="E46" s="31">
        <f>E7-E44</f>
        <v/>
      </c>
      <c r="F46" s="31">
        <f>F7-F44</f>
        <v/>
      </c>
      <c r="G46" s="31">
        <f>G7-G44</f>
        <v/>
      </c>
      <c r="H46" s="31">
        <f>H7-H44</f>
        <v/>
      </c>
      <c r="I46" s="31">
        <f>I7-I44</f>
        <v/>
      </c>
      <c r="J46" s="31">
        <f>J7-J44</f>
        <v/>
      </c>
      <c r="K46" s="31">
        <f>K7-K44</f>
        <v/>
      </c>
      <c r="L46" s="31">
        <f>L7-L44</f>
        <v/>
      </c>
      <c r="M46" s="31">
        <f>M7-M44</f>
        <v/>
      </c>
      <c r="N46" s="31">
        <f>N7-N44</f>
        <v/>
      </c>
      <c r="O46" s="31">
        <f>O7-O44</f>
        <v/>
      </c>
      <c r="P46" s="31">
        <f>P7-P44</f>
        <v/>
      </c>
      <c r="Q46" s="31">
        <f>Q7-Q44</f>
        <v/>
      </c>
      <c r="R46" s="31">
        <f>R7-R44</f>
        <v/>
      </c>
      <c r="S46" s="31">
        <f>S7-S44</f>
        <v/>
      </c>
      <c r="T46" s="31">
        <f>T7-T44</f>
        <v/>
      </c>
      <c r="U46" s="31">
        <f>U7-U44</f>
        <v/>
      </c>
      <c r="V46" s="31">
        <f>V7-V44</f>
        <v/>
      </c>
      <c r="W46" s="31">
        <f>W7-W44</f>
        <v/>
      </c>
      <c r="X46" s="31">
        <f>X7-X44</f>
        <v/>
      </c>
      <c r="Y46" s="31">
        <f>Y7-Y44</f>
        <v/>
      </c>
      <c r="Z46" s="31">
        <f>Z7-Z44</f>
        <v/>
      </c>
      <c r="AA46" s="31">
        <f>AA7-AA44</f>
        <v/>
      </c>
      <c r="AB46" s="31">
        <f>AB7-AB44</f>
        <v/>
      </c>
      <c r="AC46" s="31">
        <f>AC7-AC44</f>
        <v/>
      </c>
      <c r="AD46" s="31">
        <f>AD7-AD44</f>
        <v/>
      </c>
      <c r="AE46" s="31">
        <f>AE7-AE44</f>
        <v/>
      </c>
      <c r="AF46" s="31">
        <f>AF7-AF44</f>
        <v/>
      </c>
      <c r="AG46" s="31">
        <f>AG7-AG44</f>
        <v/>
      </c>
      <c r="AH46" s="31">
        <f>AH7-AH44</f>
        <v/>
      </c>
      <c r="AI46" s="31">
        <f>AI7-AI44</f>
        <v/>
      </c>
      <c r="AJ46" s="31">
        <f>AJ7-AJ44</f>
        <v/>
      </c>
      <c r="AK46" s="11">
        <f>IF(N46&lt;&gt;0,(AB46-N46)/ABS(N46),0)</f>
        <v/>
      </c>
      <c r="AL46" s="11">
        <f>IF(AB46&lt;&gt;0,(AJ46-AB46)/ABS(AB46),0)</f>
        <v/>
      </c>
    </row>
  </sheetData>
  <mergeCells count="8">
    <mergeCell ref="A10:AL10"/>
    <mergeCell ref="B1:N1"/>
    <mergeCell ref="A23:AL23"/>
    <mergeCell ref="A32:AL32"/>
    <mergeCell ref="AC1:AJ1"/>
    <mergeCell ref="A9:AL9"/>
    <mergeCell ref="A3:AL3"/>
    <mergeCell ref="O1:A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4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9.5" customWidth="1" min="27" max="27"/>
    <col width="9.5" customWidth="1" min="28" max="28"/>
    <col width="9.5" customWidth="1" min="29" max="29"/>
    <col width="9.5" customWidth="1" min="30" max="30"/>
    <col width="9.5" customWidth="1" min="31" max="31"/>
    <col width="9.5" customWidth="1" min="32" max="32"/>
    <col width="9.5" customWidth="1" min="33" max="33"/>
    <col width="9.5" customWidth="1" min="34" max="34"/>
    <col width="9.5" customWidth="1" min="35" max="35"/>
    <col width="11" customWidth="1" min="36" max="36"/>
    <col width="10" customWidth="1" min="37" max="37"/>
    <col width="10" customWidth="1" min="38" max="38"/>
  </cols>
  <sheetData>
    <row r="1" ht="18" customHeight="1">
      <c r="A1" s="1" t="inlineStr">
        <is>
          <t>Happitots</t>
        </is>
      </c>
      <c r="B1" s="2" t="inlineStr">
        <is>
          <t>Actuals 2025</t>
        </is>
      </c>
      <c r="O1" s="2" t="inlineStr">
        <is>
          <t>2026 Actual / Forecast</t>
        </is>
      </c>
      <c r="AC1" s="2" t="inlineStr">
        <is>
          <t>2027 Forecast</t>
        </is>
      </c>
      <c r="AK1" s="3" t="inlineStr">
        <is>
          <t>YoY</t>
        </is>
      </c>
      <c r="AL1" s="3" t="inlineStr">
        <is>
          <t>YoY</t>
        </is>
      </c>
    </row>
    <row r="2" ht="22" customHeight="1">
      <c r="B2" s="4" t="inlineStr">
        <is>
          <t>Jan</t>
        </is>
      </c>
      <c r="C2" s="4" t="inlineStr">
        <is>
          <t>Feb</t>
        </is>
      </c>
      <c r="D2" s="4" t="inlineStr">
        <is>
          <t>Mar</t>
        </is>
      </c>
      <c r="E2" s="4" t="inlineStr">
        <is>
          <t>Apr</t>
        </is>
      </c>
      <c r="F2" s="4" t="inlineStr">
        <is>
          <t>May</t>
        </is>
      </c>
      <c r="G2" s="4" t="inlineStr">
        <is>
          <t>Jun</t>
        </is>
      </c>
      <c r="H2" s="4" t="inlineStr">
        <is>
          <t>Jul</t>
        </is>
      </c>
      <c r="I2" s="4" t="inlineStr">
        <is>
          <t>Aug</t>
        </is>
      </c>
      <c r="J2" s="4" t="inlineStr">
        <is>
          <t>Sep</t>
        </is>
      </c>
      <c r="K2" s="4" t="inlineStr">
        <is>
          <t>Oct</t>
        </is>
      </c>
      <c r="L2" s="4" t="inlineStr">
        <is>
          <t>Nov</t>
        </is>
      </c>
      <c r="M2" s="4" t="inlineStr">
        <is>
          <t>Dec</t>
        </is>
      </c>
      <c r="N2" s="5" t="inlineStr">
        <is>
          <t>FY2025
Total</t>
        </is>
      </c>
      <c r="O2" s="4" t="inlineStr">
        <is>
          <t>Jan</t>
        </is>
      </c>
      <c r="P2" s="4" t="inlineStr">
        <is>
          <t>Feb</t>
        </is>
      </c>
      <c r="Q2" s="4" t="inlineStr">
        <is>
          <t>Mar</t>
        </is>
      </c>
      <c r="R2" s="4" t="inlineStr">
        <is>
          <t>Apr</t>
        </is>
      </c>
      <c r="S2" s="4" t="inlineStr">
        <is>
          <t>May</t>
        </is>
      </c>
      <c r="T2" s="4" t="inlineStr">
        <is>
          <t>Jun</t>
        </is>
      </c>
      <c r="U2" s="4" t="inlineStr">
        <is>
          <t>Jul</t>
        </is>
      </c>
      <c r="V2" s="4" t="inlineStr">
        <is>
          <t>Aug</t>
        </is>
      </c>
      <c r="W2" s="4" t="inlineStr">
        <is>
          <t>Sep</t>
        </is>
      </c>
      <c r="X2" s="4" t="inlineStr">
        <is>
          <t>Oct</t>
        </is>
      </c>
      <c r="Y2" s="4" t="inlineStr">
        <is>
          <t>Nov</t>
        </is>
      </c>
      <c r="Z2" s="4" t="inlineStr">
        <is>
          <t>Dec</t>
        </is>
      </c>
      <c r="AA2" s="4" t="inlineStr">
        <is>
          <t>YTD</t>
        </is>
      </c>
      <c r="AB2" s="5" t="inlineStr">
        <is>
          <t>FY2026
Outlook</t>
        </is>
      </c>
      <c r="AC2" s="4" t="inlineStr">
        <is>
          <t>Jan</t>
        </is>
      </c>
      <c r="AD2" s="4" t="inlineStr">
        <is>
          <t>Feb</t>
        </is>
      </c>
      <c r="AE2" s="4" t="inlineStr">
        <is>
          <t>Mar</t>
        </is>
      </c>
      <c r="AF2" s="4" t="inlineStr">
        <is>
          <t>Apr</t>
        </is>
      </c>
      <c r="AG2" s="4" t="inlineStr">
        <is>
          <t>May</t>
        </is>
      </c>
      <c r="AH2" s="4" t="inlineStr">
        <is>
          <t>Jun</t>
        </is>
      </c>
      <c r="AI2" s="6" t="inlineStr">
        <is>
          <t>Jul-Dec
Proj.</t>
        </is>
      </c>
      <c r="AJ2" s="4" t="inlineStr">
        <is>
          <t>FY2027</t>
        </is>
      </c>
      <c r="AK2" s="6" t="inlineStr">
        <is>
          <t>25→26
%</t>
        </is>
      </c>
      <c r="AL2" s="6" t="inlineStr">
        <is>
          <t>26→27
%</t>
        </is>
      </c>
    </row>
    <row r="3" ht="15" customHeight="1">
      <c r="A3" s="7" t="inlineStr">
        <is>
          <t>INCOME</t>
        </is>
      </c>
    </row>
    <row r="4" ht="13" customHeight="1">
      <c r="A4" s="8" t="inlineStr">
        <is>
          <t xml:space="preserve">    Fee Income Regular</t>
        </is>
      </c>
      <c r="B4" s="9" t="n">
        <v>45921.31</v>
      </c>
      <c r="C4" s="9" t="n">
        <v>38098.84</v>
      </c>
      <c r="D4" s="9" t="n">
        <v>46565.41</v>
      </c>
      <c r="E4" s="9" t="n">
        <v>57238.21</v>
      </c>
      <c r="F4" s="9" t="n">
        <v>49192.7</v>
      </c>
      <c r="G4" s="9" t="n">
        <v>46788.82</v>
      </c>
      <c r="H4" s="9" t="n">
        <v>62639.28</v>
      </c>
      <c r="I4" s="9" t="n">
        <v>56769.19</v>
      </c>
      <c r="J4" s="9" t="n">
        <v>40329.92</v>
      </c>
      <c r="K4" s="9" t="n">
        <v>40153.78</v>
      </c>
      <c r="L4" s="9" t="n">
        <v>34561.24</v>
      </c>
      <c r="M4" s="9" t="n">
        <v>45835.67</v>
      </c>
      <c r="N4" s="9">
        <f>SUM(B4:M4)</f>
        <v/>
      </c>
      <c r="O4" s="9" t="n">
        <v>34024.2</v>
      </c>
      <c r="P4" s="9" t="n">
        <v>34520.9</v>
      </c>
      <c r="Q4" s="9" t="n">
        <v>44678.8</v>
      </c>
      <c r="R4" s="9" t="n">
        <v>46928.2</v>
      </c>
      <c r="S4" s="9" t="n">
        <v>40486.3</v>
      </c>
      <c r="T4" s="9" t="n">
        <v>45145.1</v>
      </c>
      <c r="U4" s="9" t="n">
        <v>56928.34000000002</v>
      </c>
      <c r="AA4" s="9">
        <f>SUM(O4:U4)</f>
        <v/>
      </c>
      <c r="AB4" s="9">
        <f>SUM(O4:Z4)</f>
        <v/>
      </c>
      <c r="AC4" s="9" t="n">
        <v>63267.18</v>
      </c>
      <c r="AD4" s="9" t="n">
        <v>60274.57</v>
      </c>
      <c r="AE4" s="9" t="n">
        <v>75362.87</v>
      </c>
      <c r="AF4" s="9" t="n">
        <v>69288.22</v>
      </c>
      <c r="AG4" s="9" t="n">
        <v>72843.58</v>
      </c>
      <c r="AH4" s="9" t="n">
        <v>75234.78999999999</v>
      </c>
      <c r="AI4" s="10">
        <f>SUM(AC4:AH4)</f>
        <v/>
      </c>
      <c r="AJ4" s="9">
        <f>SUM(AC4:AH4)+AI4</f>
        <v/>
      </c>
      <c r="AK4" s="11">
        <f>IF(N4&lt;&gt;0,(AB4-N4)/ABS(N4),0)</f>
        <v/>
      </c>
      <c r="AL4" s="11">
        <f>IF(AB4&lt;&gt;0,(AJ4-AB4)/ABS(AB4),0)</f>
        <v/>
      </c>
    </row>
    <row r="5" ht="13" customHeight="1">
      <c r="A5" s="8" t="inlineStr">
        <is>
          <t xml:space="preserve">    EEEF Embedded</t>
        </is>
      </c>
      <c r="B5" s="9" t="n">
        <v>14880.4</v>
      </c>
      <c r="C5" s="9" t="n">
        <v>14880.4</v>
      </c>
      <c r="D5" s="9" t="n">
        <v>22868.72</v>
      </c>
      <c r="E5" s="9" t="n">
        <v>11910.48</v>
      </c>
      <c r="F5" s="9" t="n">
        <v>11910.4</v>
      </c>
      <c r="G5" s="9" t="n">
        <v>11910.48</v>
      </c>
      <c r="H5" s="9" t="n">
        <v>28251.59</v>
      </c>
      <c r="I5" s="9" t="n">
        <v>0</v>
      </c>
      <c r="J5" s="9" t="n">
        <v>12726.08</v>
      </c>
      <c r="K5" s="9" t="n">
        <v>12726.08</v>
      </c>
      <c r="L5" s="9" t="n">
        <v>28161.67</v>
      </c>
      <c r="M5" s="9" t="n">
        <v>28507.8</v>
      </c>
      <c r="N5" s="9">
        <f>SUM(B5:M5)</f>
        <v/>
      </c>
      <c r="O5" s="9" t="n">
        <v>20522.7</v>
      </c>
      <c r="P5" s="9" t="n">
        <v>20522.7</v>
      </c>
      <c r="Q5" s="9" t="n">
        <v>21690.4</v>
      </c>
      <c r="R5" s="9" t="n">
        <v>22674.8</v>
      </c>
      <c r="S5" s="9" t="n">
        <v>22674.7</v>
      </c>
      <c r="T5" s="9" t="n">
        <v>24039.4</v>
      </c>
      <c r="U5" s="9" t="n">
        <v>23129.63</v>
      </c>
      <c r="AA5" s="9">
        <f>SUM(O5:U5)</f>
        <v/>
      </c>
      <c r="AB5" s="9">
        <f>SUM(O5:Z5)</f>
        <v/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10">
        <f>SUM(AC5:AH5)</f>
        <v/>
      </c>
      <c r="AJ5" s="9">
        <f>SUM(AC5:AH5)+AI5</f>
        <v/>
      </c>
      <c r="AK5" s="11">
        <f>IF(N5&lt;&gt;0,(AB5-N5)/ABS(N5),0)</f>
        <v/>
      </c>
      <c r="AL5" s="11">
        <f>IF(AB5&lt;&gt;0,(AJ5-AB5)/ABS(AB5),0)</f>
        <v/>
      </c>
    </row>
    <row r="6" ht="13" customHeight="1">
      <c r="A6" s="8" t="inlineStr">
        <is>
          <t xml:space="preserve">    Other Income</t>
        </is>
      </c>
      <c r="B6" s="9" t="n">
        <v>200</v>
      </c>
      <c r="C6" s="9" t="n">
        <v>200</v>
      </c>
      <c r="D6" s="9" t="n">
        <v>300</v>
      </c>
      <c r="E6" s="9" t="n">
        <v>300</v>
      </c>
      <c r="F6" s="9" t="n">
        <v>300</v>
      </c>
      <c r="G6" s="9" t="n">
        <v>360</v>
      </c>
      <c r="H6" s="9" t="n">
        <v>300</v>
      </c>
      <c r="I6" s="9" t="n">
        <v>3279.07</v>
      </c>
      <c r="J6" s="9" t="n">
        <v>0</v>
      </c>
      <c r="K6" s="9" t="n">
        <v>0</v>
      </c>
      <c r="L6" s="9" t="n">
        <v>0</v>
      </c>
      <c r="M6" s="9" t="n">
        <v>0</v>
      </c>
      <c r="N6" s="9">
        <f>SUM(B6:M6)</f>
        <v/>
      </c>
      <c r="O6" s="9" t="n">
        <v>0</v>
      </c>
      <c r="P6" s="9" t="n">
        <v>0</v>
      </c>
      <c r="Q6" s="9" t="n">
        <v>339.3</v>
      </c>
      <c r="R6" s="9" t="n">
        <v>0</v>
      </c>
      <c r="S6" s="9" t="n">
        <v>0</v>
      </c>
      <c r="T6" s="9" t="n">
        <v>0</v>
      </c>
      <c r="U6" s="9" t="n">
        <v>0</v>
      </c>
      <c r="AA6" s="9">
        <f>SUM(O6:U6)</f>
        <v/>
      </c>
      <c r="AB6" s="9">
        <f>SUM(O6:Z6)</f>
        <v/>
      </c>
      <c r="AC6" s="9" t="n">
        <v>0</v>
      </c>
      <c r="AD6" s="9" t="n">
        <v>0</v>
      </c>
      <c r="AE6" s="9" t="n">
        <v>0</v>
      </c>
      <c r="AF6" s="9" t="n">
        <v>0</v>
      </c>
      <c r="AG6" s="9" t="n">
        <v>0</v>
      </c>
      <c r="AH6" s="9" t="n">
        <v>0</v>
      </c>
      <c r="AI6" s="10">
        <f>SUM(AC6:AH6)</f>
        <v/>
      </c>
      <c r="AJ6" s="9">
        <f>SUM(AC6:AH6)+AI6</f>
        <v/>
      </c>
      <c r="AK6" s="11">
        <f>IF(N6&lt;&gt;0,(AB6-N6)/ABS(N6),0)</f>
        <v/>
      </c>
      <c r="AL6" s="11">
        <f>IF(AB6&lt;&gt;0,(AJ6-AB6)/ABS(AB6),0)</f>
        <v/>
      </c>
    </row>
    <row r="7" ht="13" customHeight="1">
      <c r="A7" s="12" t="inlineStr">
        <is>
          <t>Total Income</t>
        </is>
      </c>
      <c r="B7" s="13">
        <f>B4+B5+B6</f>
        <v/>
      </c>
      <c r="C7" s="13">
        <f>C4+C5+C6</f>
        <v/>
      </c>
      <c r="D7" s="13">
        <f>D4+D5+D6</f>
        <v/>
      </c>
      <c r="E7" s="13">
        <f>E4+E5+E6</f>
        <v/>
      </c>
      <c r="F7" s="13">
        <f>F4+F5+F6</f>
        <v/>
      </c>
      <c r="G7" s="13">
        <f>G4+G5+G6</f>
        <v/>
      </c>
      <c r="H7" s="13">
        <f>H4+H5+H6</f>
        <v/>
      </c>
      <c r="I7" s="13">
        <f>I4+I5+I6</f>
        <v/>
      </c>
      <c r="J7" s="13">
        <f>J4+J5+J6</f>
        <v/>
      </c>
      <c r="K7" s="13">
        <f>K4+K5+K6</f>
        <v/>
      </c>
      <c r="L7" s="13">
        <f>L4+L5+L6</f>
        <v/>
      </c>
      <c r="M7" s="13">
        <f>M4+M5+M6</f>
        <v/>
      </c>
      <c r="N7" s="13">
        <f>N4+N5+N6</f>
        <v/>
      </c>
      <c r="O7" s="13">
        <f>O4+O5+O6</f>
        <v/>
      </c>
      <c r="P7" s="13">
        <f>P4+P5+P6</f>
        <v/>
      </c>
      <c r="Q7" s="13">
        <f>Q4+Q5+Q6</f>
        <v/>
      </c>
      <c r="R7" s="13">
        <f>R4+R5+R6</f>
        <v/>
      </c>
      <c r="S7" s="13">
        <f>S4+S5+S6</f>
        <v/>
      </c>
      <c r="T7" s="13">
        <f>T4+T5+T6</f>
        <v/>
      </c>
      <c r="U7" s="13">
        <f>U4+U5+U6</f>
        <v/>
      </c>
      <c r="V7" s="13">
        <f>V4+V5+V6</f>
        <v/>
      </c>
      <c r="W7" s="13">
        <f>W4+W5+W6</f>
        <v/>
      </c>
      <c r="X7" s="13">
        <f>X4+X5+X6</f>
        <v/>
      </c>
      <c r="Y7" s="13">
        <f>Y4+Y5+Y6</f>
        <v/>
      </c>
      <c r="Z7" s="13">
        <f>Z4+Z5+Z6</f>
        <v/>
      </c>
      <c r="AA7" s="13">
        <f>AA4+AA5+AA6</f>
        <v/>
      </c>
      <c r="AB7" s="13">
        <f>AB4+AB5+AB6</f>
        <v/>
      </c>
      <c r="AC7" s="13">
        <f>AC4+AC5+AC6</f>
        <v/>
      </c>
      <c r="AD7" s="13">
        <f>AD4+AD5+AD6</f>
        <v/>
      </c>
      <c r="AE7" s="13">
        <f>AE4+AE5+AE6</f>
        <v/>
      </c>
      <c r="AF7" s="13">
        <f>AF4+AF5+AF6</f>
        <v/>
      </c>
      <c r="AG7" s="13">
        <f>AG4+AG5+AG6</f>
        <v/>
      </c>
      <c r="AH7" s="13">
        <f>AH4+AH5+AH6</f>
        <v/>
      </c>
      <c r="AI7" s="13">
        <f>AI4+AI5+AI6</f>
        <v/>
      </c>
      <c r="AJ7" s="13">
        <f>AJ4+AJ5+AJ6</f>
        <v/>
      </c>
      <c r="AK7" s="11">
        <f>IF(N7&lt;&gt;0,(AB7-N7)/ABS(N7),0)</f>
        <v/>
      </c>
      <c r="AL7" s="11">
        <f>IF(AB7&lt;&gt;0,(AJ7-AB7)/ABS(AB7),0)</f>
        <v/>
      </c>
    </row>
    <row r="8" ht="5" customHeight="1"/>
    <row r="9" ht="15" customHeight="1">
      <c r="A9" s="7" t="inlineStr">
        <is>
          <t>DIRECT COSTS</t>
        </is>
      </c>
    </row>
    <row r="10" ht="13" customHeight="1">
      <c r="A10" s="14" t="inlineStr">
        <is>
          <t>Personnel</t>
        </is>
      </c>
    </row>
    <row r="11" ht="13" customHeight="1">
      <c r="A11" s="15" t="inlineStr">
        <is>
          <t xml:space="preserve">    Nursery Salaries</t>
        </is>
      </c>
      <c r="B11" s="16" t="n">
        <v>27199.35</v>
      </c>
      <c r="C11" s="16" t="n">
        <v>26969.3</v>
      </c>
      <c r="D11" s="16" t="n">
        <v>28313.5</v>
      </c>
      <c r="E11" s="16" t="n">
        <v>31211.69</v>
      </c>
      <c r="F11" s="16" t="n">
        <v>29845.91</v>
      </c>
      <c r="G11" s="16" t="n">
        <v>29990.87</v>
      </c>
      <c r="H11" s="16" t="n">
        <v>35763.1</v>
      </c>
      <c r="I11" s="16" t="n">
        <v>33092</v>
      </c>
      <c r="J11" s="16" t="n">
        <v>32840.54</v>
      </c>
      <c r="K11" s="16" t="n">
        <v>36158.05</v>
      </c>
      <c r="L11" s="16" t="n">
        <v>35650.18</v>
      </c>
      <c r="M11" s="16" t="n">
        <v>36557.18</v>
      </c>
      <c r="N11" s="16">
        <f>SUM(B11:M11)</f>
        <v/>
      </c>
      <c r="O11" s="16" t="n">
        <v>38698.39</v>
      </c>
      <c r="P11" s="16" t="n">
        <v>34009.54</v>
      </c>
      <c r="Q11" s="16" t="n">
        <v>40961.75</v>
      </c>
      <c r="R11" s="16" t="n">
        <v>37699.5</v>
      </c>
      <c r="S11" s="16" t="n">
        <v>34150.91</v>
      </c>
      <c r="T11" s="16" t="n">
        <v>33439.28</v>
      </c>
      <c r="U11" s="16" t="n">
        <v>33483.36</v>
      </c>
      <c r="AA11" s="16">
        <f>SUM(O11:U11)</f>
        <v/>
      </c>
      <c r="AB11" s="16">
        <f>SUM(O11:Z11)</f>
        <v/>
      </c>
      <c r="AC11" s="16" t="n">
        <v>33483.36</v>
      </c>
      <c r="AD11" s="16" t="n">
        <v>33483.36</v>
      </c>
      <c r="AE11" s="16" t="n">
        <v>33483.36</v>
      </c>
      <c r="AF11" s="16" t="n">
        <v>33483.36</v>
      </c>
      <c r="AG11" s="16" t="n">
        <v>33483.36</v>
      </c>
      <c r="AH11" s="16" t="n">
        <v>33483.36</v>
      </c>
      <c r="AI11" s="10">
        <f>SUM(AC11:AH11)</f>
        <v/>
      </c>
      <c r="AJ11" s="16">
        <f>SUM(AC11:AH11)+AI11</f>
        <v/>
      </c>
      <c r="AK11" s="11">
        <f>IF(N11&lt;&gt;0,(AB11-N11)/ABS(N11),0)</f>
        <v/>
      </c>
      <c r="AL11" s="11">
        <f>IF(AB11&lt;&gt;0,(AJ11-AB11)/ABS(AB11),0)</f>
        <v/>
      </c>
    </row>
    <row r="12" ht="13" customHeight="1">
      <c r="A12" s="15" t="inlineStr">
        <is>
          <t xml:space="preserve">    Nursery NI</t>
        </is>
      </c>
      <c r="B12" s="16" t="n">
        <v>2322.12</v>
      </c>
      <c r="C12" s="16" t="n">
        <v>2227.41</v>
      </c>
      <c r="D12" s="16" t="n">
        <v>2346.82</v>
      </c>
      <c r="E12" s="16" t="n">
        <v>3631.01</v>
      </c>
      <c r="F12" s="16" t="n">
        <v>3444.09</v>
      </c>
      <c r="G12" s="16" t="n">
        <v>3284.69</v>
      </c>
      <c r="H12" s="16" t="n">
        <v>4309.29</v>
      </c>
      <c r="I12" s="16" t="n">
        <v>3776.98</v>
      </c>
      <c r="J12" s="16" t="n">
        <v>3745.07</v>
      </c>
      <c r="K12" s="16" t="n">
        <v>4183.86</v>
      </c>
      <c r="L12" s="16" t="n">
        <v>4085.43</v>
      </c>
      <c r="M12" s="16" t="n">
        <v>4232.64</v>
      </c>
      <c r="N12" s="16">
        <f>SUM(B12:M12)</f>
        <v/>
      </c>
      <c r="O12" s="16" t="n">
        <v>4242.54</v>
      </c>
      <c r="P12" s="16" t="n">
        <v>3578.41</v>
      </c>
      <c r="Q12" s="16" t="n">
        <v>4366.65</v>
      </c>
      <c r="R12" s="16" t="n">
        <v>4174.09</v>
      </c>
      <c r="S12" s="16" t="n">
        <v>3821.87</v>
      </c>
      <c r="T12" s="16" t="n">
        <v>3932.6</v>
      </c>
      <c r="U12" s="16" t="n">
        <v>3939.99</v>
      </c>
      <c r="AA12" s="16">
        <f>SUM(O12:U12)</f>
        <v/>
      </c>
      <c r="AB12" s="16">
        <f>SUM(O12:Z12)</f>
        <v/>
      </c>
      <c r="AC12" s="16" t="n">
        <v>3939.99</v>
      </c>
      <c r="AD12" s="16" t="n">
        <v>3939.99</v>
      </c>
      <c r="AE12" s="16" t="n">
        <v>3939.99</v>
      </c>
      <c r="AF12" s="16" t="n">
        <v>3939.99</v>
      </c>
      <c r="AG12" s="16" t="n">
        <v>3939.99</v>
      </c>
      <c r="AH12" s="16" t="n">
        <v>3939.99</v>
      </c>
      <c r="AI12" s="10">
        <f>SUM(AC12:AH12)</f>
        <v/>
      </c>
      <c r="AJ12" s="16">
        <f>SUM(AC12:AH12)+AI12</f>
        <v/>
      </c>
      <c r="AK12" s="11">
        <f>IF(N12&lt;&gt;0,(AB12-N12)/ABS(N12),0)</f>
        <v/>
      </c>
      <c r="AL12" s="11">
        <f>IF(AB12&lt;&gt;0,(AJ12-AB12)/ABS(AB12),0)</f>
        <v/>
      </c>
    </row>
    <row r="13" ht="13" customHeight="1">
      <c r="A13" s="15" t="inlineStr">
        <is>
          <t xml:space="preserve">    Nursery Pension</t>
        </is>
      </c>
      <c r="B13" s="16" t="n">
        <v>590.4400000000001</v>
      </c>
      <c r="C13" s="16" t="n">
        <v>569.1900000000001</v>
      </c>
      <c r="D13" s="16" t="n">
        <v>575.7</v>
      </c>
      <c r="E13" s="16" t="n">
        <v>603.08</v>
      </c>
      <c r="F13" s="16" t="n">
        <v>604.72</v>
      </c>
      <c r="G13" s="16" t="n">
        <v>616.71</v>
      </c>
      <c r="H13" s="16" t="n">
        <v>779.6900000000001</v>
      </c>
      <c r="I13" s="16" t="n">
        <v>683.8</v>
      </c>
      <c r="J13" s="16" t="n">
        <v>705.6799999999999</v>
      </c>
      <c r="K13" s="16" t="n">
        <v>790.33</v>
      </c>
      <c r="L13" s="16" t="n">
        <v>770.66</v>
      </c>
      <c r="M13" s="16" t="n">
        <v>799.9299999999999</v>
      </c>
      <c r="N13" s="16">
        <f>SUM(B13:M13)</f>
        <v/>
      </c>
      <c r="O13" s="16" t="n">
        <v>804.22</v>
      </c>
      <c r="P13" s="16" t="n">
        <v>675.46</v>
      </c>
      <c r="Q13" s="16" t="n">
        <v>775.88</v>
      </c>
      <c r="R13" s="16" t="n">
        <v>737.62</v>
      </c>
      <c r="S13" s="16" t="n">
        <v>724.15</v>
      </c>
      <c r="T13" s="16" t="n">
        <v>746.3099999999999</v>
      </c>
      <c r="U13" s="16" t="n">
        <v>747.79</v>
      </c>
      <c r="AA13" s="16">
        <f>SUM(O13:U13)</f>
        <v/>
      </c>
      <c r="AB13" s="16">
        <f>SUM(O13:Z13)</f>
        <v/>
      </c>
      <c r="AC13" s="16" t="n">
        <v>747.79</v>
      </c>
      <c r="AD13" s="16" t="n">
        <v>747.79</v>
      </c>
      <c r="AE13" s="16" t="n">
        <v>747.79</v>
      </c>
      <c r="AF13" s="16" t="n">
        <v>747.79</v>
      </c>
      <c r="AG13" s="16" t="n">
        <v>747.79</v>
      </c>
      <c r="AH13" s="16" t="n">
        <v>747.79</v>
      </c>
      <c r="AI13" s="10">
        <f>SUM(AC13:AH13)</f>
        <v/>
      </c>
      <c r="AJ13" s="16">
        <f>SUM(AC13:AH13)+AI13</f>
        <v/>
      </c>
      <c r="AK13" s="11">
        <f>IF(N13&lt;&gt;0,(AB13-N13)/ABS(N13),0)</f>
        <v/>
      </c>
      <c r="AL13" s="11">
        <f>IF(AB13&lt;&gt;0,(AJ13-AB13)/ABS(AB13),0)</f>
        <v/>
      </c>
    </row>
    <row r="14" ht="13" customHeight="1">
      <c r="A14" s="15" t="inlineStr">
        <is>
          <t xml:space="preserve">    Uniform</t>
        </is>
      </c>
      <c r="B14" s="16" t="n">
        <v>0</v>
      </c>
      <c r="C14" s="16" t="n">
        <v>286.7</v>
      </c>
      <c r="D14" s="16" t="n">
        <v>5.99</v>
      </c>
      <c r="E14" s="16" t="n">
        <v>251.62</v>
      </c>
      <c r="F14" s="16" t="n">
        <v>91.02</v>
      </c>
      <c r="G14" s="16" t="n">
        <v>0</v>
      </c>
      <c r="H14" s="16" t="n">
        <v>0</v>
      </c>
      <c r="I14" s="16" t="n">
        <v>0</v>
      </c>
      <c r="J14" s="16" t="n">
        <v>0</v>
      </c>
      <c r="K14" s="16" t="n">
        <v>163.98</v>
      </c>
      <c r="L14" s="16" t="n">
        <v>0</v>
      </c>
      <c r="M14" s="16" t="n">
        <v>0</v>
      </c>
      <c r="N14" s="16">
        <f>SUM(B14:M14)</f>
        <v/>
      </c>
      <c r="O14" s="16" t="n">
        <v>186.09</v>
      </c>
      <c r="P14" s="16" t="n">
        <v>0</v>
      </c>
      <c r="Q14" s="16" t="n">
        <v>0</v>
      </c>
      <c r="R14" s="16" t="n">
        <v>0</v>
      </c>
      <c r="S14" s="16" t="n">
        <v>207.84</v>
      </c>
      <c r="T14" s="16" t="n">
        <v>0</v>
      </c>
      <c r="U14" s="16" t="n">
        <v>0</v>
      </c>
      <c r="AA14" s="16">
        <f>SUM(O14:U14)</f>
        <v/>
      </c>
      <c r="AB14" s="16">
        <f>SUM(O14:Z14)</f>
        <v/>
      </c>
      <c r="AC14" s="16" t="n">
        <v>83</v>
      </c>
      <c r="AD14" s="16" t="n">
        <v>83</v>
      </c>
      <c r="AE14" s="16" t="n">
        <v>83</v>
      </c>
      <c r="AF14" s="16" t="n">
        <v>83</v>
      </c>
      <c r="AG14" s="16" t="n">
        <v>83</v>
      </c>
      <c r="AH14" s="16" t="n">
        <v>83</v>
      </c>
      <c r="AI14" s="10">
        <f>SUM(AC14:AH14)</f>
        <v/>
      </c>
      <c r="AJ14" s="16">
        <f>SUM(AC14:AH14)+AI14</f>
        <v/>
      </c>
      <c r="AK14" s="11">
        <f>IF(N14&lt;&gt;0,(AB14-N14)/ABS(N14),0)</f>
        <v/>
      </c>
      <c r="AL14" s="11">
        <f>IF(AB14&lt;&gt;0,(AJ14-AB14)/ABS(AB14),0)</f>
        <v/>
      </c>
    </row>
    <row r="15" ht="13" customHeight="1">
      <c r="A15" s="15" t="inlineStr">
        <is>
          <t xml:space="preserve">    Training</t>
        </is>
      </c>
      <c r="B15" s="16" t="n">
        <v>48</v>
      </c>
      <c r="C15" s="16" t="n">
        <v>0</v>
      </c>
      <c r="D15" s="16" t="n">
        <v>0</v>
      </c>
      <c r="E15" s="16" t="n">
        <v>0</v>
      </c>
      <c r="F15" s="16" t="n">
        <v>0</v>
      </c>
      <c r="G15" s="16" t="n">
        <v>54</v>
      </c>
      <c r="H15" s="16" t="n">
        <v>24</v>
      </c>
      <c r="I15" s="16" t="n">
        <v>0</v>
      </c>
      <c r="J15" s="16" t="n">
        <v>102</v>
      </c>
      <c r="K15" s="16" t="n">
        <v>0</v>
      </c>
      <c r="L15" s="16" t="n">
        <v>37.2</v>
      </c>
      <c r="M15" s="16" t="n">
        <v>0</v>
      </c>
      <c r="N15" s="16">
        <f>SUM(B15:M15)</f>
        <v/>
      </c>
      <c r="O15" s="16" t="n">
        <v>0</v>
      </c>
      <c r="P15" s="16" t="n">
        <v>720</v>
      </c>
      <c r="Q15" s="16" t="n">
        <v>0</v>
      </c>
      <c r="R15" s="16" t="n">
        <v>335</v>
      </c>
      <c r="S15" s="16" t="n">
        <v>0</v>
      </c>
      <c r="T15" s="16" t="n">
        <v>0</v>
      </c>
      <c r="U15" s="16" t="n">
        <v>37.2</v>
      </c>
      <c r="AA15" s="16">
        <f>SUM(O15:U15)</f>
        <v/>
      </c>
      <c r="AB15" s="16">
        <f>SUM(O15:Z15)</f>
        <v/>
      </c>
      <c r="AC15" s="16" t="n">
        <v>100</v>
      </c>
      <c r="AD15" s="16" t="n">
        <v>100</v>
      </c>
      <c r="AE15" s="16" t="n">
        <v>100</v>
      </c>
      <c r="AF15" s="16" t="n">
        <v>100</v>
      </c>
      <c r="AG15" s="16" t="n">
        <v>100</v>
      </c>
      <c r="AH15" s="16" t="n">
        <v>100</v>
      </c>
      <c r="AI15" s="10">
        <f>SUM(AC15:AH15)</f>
        <v/>
      </c>
      <c r="AJ15" s="16">
        <f>SUM(AC15:AH15)+AI15</f>
        <v/>
      </c>
      <c r="AK15" s="11">
        <f>IF(N15&lt;&gt;0,(AB15-N15)/ABS(N15),0)</f>
        <v/>
      </c>
      <c r="AL15" s="11">
        <f>IF(AB15&lt;&gt;0,(AJ15-AB15)/ABS(AB15),0)</f>
        <v/>
      </c>
    </row>
    <row r="16" ht="13" customHeight="1">
      <c r="A16" s="15" t="inlineStr">
        <is>
          <t xml:space="preserve">    Staff Welfare</t>
        </is>
      </c>
      <c r="B16" s="16" t="n">
        <v>220.6000000000001</v>
      </c>
      <c r="C16" s="16" t="n">
        <v>225.71</v>
      </c>
      <c r="D16" s="16" t="n">
        <v>115.95</v>
      </c>
      <c r="E16" s="16" t="n">
        <v>324.7900000000001</v>
      </c>
      <c r="F16" s="16" t="n">
        <v>102.62</v>
      </c>
      <c r="G16" s="16" t="n">
        <v>41.39</v>
      </c>
      <c r="H16" s="16" t="n">
        <v>456.77</v>
      </c>
      <c r="I16" s="16" t="n">
        <v>117.13</v>
      </c>
      <c r="J16" s="16" t="n">
        <v>158.17</v>
      </c>
      <c r="K16" s="16" t="n">
        <v>329.93</v>
      </c>
      <c r="L16" s="16" t="n">
        <v>60.13</v>
      </c>
      <c r="M16" s="16" t="n">
        <v>69.8</v>
      </c>
      <c r="N16" s="16">
        <f>SUM(B16:M16)</f>
        <v/>
      </c>
      <c r="O16" s="16" t="n">
        <v>200.05</v>
      </c>
      <c r="P16" s="16" t="n">
        <v>80.63</v>
      </c>
      <c r="Q16" s="16" t="n">
        <v>225.8</v>
      </c>
      <c r="R16" s="16" t="n">
        <v>44.26</v>
      </c>
      <c r="S16" s="16" t="n">
        <v>190.63</v>
      </c>
      <c r="T16" s="16" t="n">
        <v>243.97</v>
      </c>
      <c r="U16" s="16" t="n">
        <v>169.85</v>
      </c>
      <c r="AA16" s="16">
        <f>SUM(O16:U16)</f>
        <v/>
      </c>
      <c r="AB16" s="16">
        <f>SUM(O16:Z16)</f>
        <v/>
      </c>
      <c r="AC16" s="16" t="n">
        <v>170</v>
      </c>
      <c r="AD16" s="16" t="n">
        <v>170</v>
      </c>
      <c r="AE16" s="16" t="n">
        <v>170</v>
      </c>
      <c r="AF16" s="16" t="n">
        <v>170</v>
      </c>
      <c r="AG16" s="16" t="n">
        <v>170</v>
      </c>
      <c r="AH16" s="16" t="n">
        <v>170</v>
      </c>
      <c r="AI16" s="10">
        <f>SUM(AC16:AH16)</f>
        <v/>
      </c>
      <c r="AJ16" s="16">
        <f>SUM(AC16:AH16)+AI16</f>
        <v/>
      </c>
      <c r="AK16" s="11">
        <f>IF(N16&lt;&gt;0,(AB16-N16)/ABS(N16),0)</f>
        <v/>
      </c>
      <c r="AL16" s="11">
        <f>IF(AB16&lt;&gt;0,(AJ16-AB16)/ABS(AB16),0)</f>
        <v/>
      </c>
    </row>
    <row r="17" ht="13" customHeight="1">
      <c r="A17" s="15" t="inlineStr">
        <is>
          <t xml:space="preserve">    Recruitment</t>
        </is>
      </c>
      <c r="B17" s="16" t="n">
        <v>0</v>
      </c>
      <c r="C17" s="16" t="n">
        <v>0</v>
      </c>
      <c r="D17" s="16" t="n">
        <v>0</v>
      </c>
      <c r="E17" s="16" t="n">
        <v>0</v>
      </c>
      <c r="F17" s="16" t="n">
        <v>0</v>
      </c>
      <c r="G17" s="16" t="n">
        <v>0</v>
      </c>
      <c r="H17" s="16" t="n">
        <v>0</v>
      </c>
      <c r="I17" s="16" t="n">
        <v>0</v>
      </c>
      <c r="J17" s="16" t="n">
        <v>0</v>
      </c>
      <c r="K17" s="16" t="n">
        <v>0</v>
      </c>
      <c r="L17" s="16" t="n">
        <v>0</v>
      </c>
      <c r="M17" s="16" t="n">
        <v>0</v>
      </c>
      <c r="N17" s="16">
        <f>SUM(B17:M17)</f>
        <v/>
      </c>
      <c r="O17" s="16" t="n">
        <v>0</v>
      </c>
      <c r="P17" s="16" t="n">
        <v>0</v>
      </c>
      <c r="Q17" s="16" t="n">
        <v>0</v>
      </c>
      <c r="R17" s="16" t="n">
        <v>0</v>
      </c>
      <c r="S17" s="16" t="n">
        <v>0</v>
      </c>
      <c r="T17" s="16" t="n">
        <v>0</v>
      </c>
      <c r="U17" s="16" t="n">
        <v>0</v>
      </c>
      <c r="V17" s="16" t="n">
        <v>0</v>
      </c>
      <c r="W17" s="16" t="n">
        <v>0</v>
      </c>
      <c r="X17" s="16" t="n">
        <v>0</v>
      </c>
      <c r="Y17" s="16" t="n">
        <v>0</v>
      </c>
      <c r="Z17" s="16" t="n">
        <v>0</v>
      </c>
      <c r="AA17" s="16">
        <f>SUM(O17:U17)</f>
        <v/>
      </c>
      <c r="AB17" s="16">
        <f>SUM(O17:Z17)</f>
        <v/>
      </c>
      <c r="AC17" s="16" t="n">
        <v>0</v>
      </c>
      <c r="AD17" s="16" t="n">
        <v>0</v>
      </c>
      <c r="AE17" s="16" t="n">
        <v>0</v>
      </c>
      <c r="AF17" s="16" t="n">
        <v>0</v>
      </c>
      <c r="AG17" s="16" t="n">
        <v>0</v>
      </c>
      <c r="AH17" s="16" t="n">
        <v>0</v>
      </c>
      <c r="AI17" s="10">
        <f>SUM(AC17:AH17)</f>
        <v/>
      </c>
      <c r="AJ17" s="16">
        <f>SUM(AC17:AH17)+AI17</f>
        <v/>
      </c>
      <c r="AK17" s="11">
        <f>IF(N17&lt;&gt;0,(AB17-N17)/ABS(N17),0)</f>
        <v/>
      </c>
      <c r="AL17" s="11">
        <f>IF(AB17&lt;&gt;0,(AJ17-AB17)/ABS(AB17),0)</f>
        <v/>
      </c>
    </row>
    <row r="18" ht="13" customHeight="1">
      <c r="A18" s="15" t="inlineStr">
        <is>
          <t xml:space="preserve">    Rewards &amp; Recognition</t>
        </is>
      </c>
      <c r="B18" s="16" t="n">
        <v>0</v>
      </c>
      <c r="C18" s="16" t="n">
        <v>0</v>
      </c>
      <c r="D18" s="16" t="n">
        <v>0</v>
      </c>
      <c r="E18" s="16" t="n">
        <v>0</v>
      </c>
      <c r="F18" s="16" t="n">
        <v>0</v>
      </c>
      <c r="G18" s="16" t="n">
        <v>0</v>
      </c>
      <c r="H18" s="16" t="n">
        <v>48.47</v>
      </c>
      <c r="I18" s="16" t="n">
        <v>27.5</v>
      </c>
      <c r="J18" s="16" t="n">
        <v>73.47</v>
      </c>
      <c r="K18" s="16" t="n">
        <v>0</v>
      </c>
      <c r="L18" s="16" t="n">
        <v>35.97</v>
      </c>
      <c r="M18" s="16" t="n">
        <v>7.99</v>
      </c>
      <c r="N18" s="16">
        <f>SUM(B18:M18)</f>
        <v/>
      </c>
      <c r="O18" s="16" t="n">
        <v>13.98</v>
      </c>
      <c r="P18" s="16" t="n">
        <v>18.97</v>
      </c>
      <c r="Q18" s="16" t="n">
        <v>11.99</v>
      </c>
      <c r="R18" s="16" t="n">
        <v>0</v>
      </c>
      <c r="S18" s="16" t="n">
        <v>29.98</v>
      </c>
      <c r="T18" s="16" t="n">
        <v>0</v>
      </c>
      <c r="U18" s="16" t="n">
        <v>43.8</v>
      </c>
      <c r="AA18" s="16">
        <f>SUM(O18:U18)</f>
        <v/>
      </c>
      <c r="AB18" s="16">
        <f>SUM(O18:Z18)</f>
        <v/>
      </c>
      <c r="AC18" s="16" t="n">
        <v>71</v>
      </c>
      <c r="AD18" s="16" t="n">
        <v>71</v>
      </c>
      <c r="AE18" s="16" t="n">
        <v>71</v>
      </c>
      <c r="AF18" s="16" t="n">
        <v>71</v>
      </c>
      <c r="AG18" s="16" t="n">
        <v>71</v>
      </c>
      <c r="AH18" s="16" t="n">
        <v>71</v>
      </c>
      <c r="AI18" s="10">
        <f>SUM(AC18:AH18)</f>
        <v/>
      </c>
      <c r="AJ18" s="16">
        <f>SUM(AC18:AH18)+AI18</f>
        <v/>
      </c>
      <c r="AK18" s="11">
        <f>IF(N18&lt;&gt;0,(AB18-N18)/ABS(N18),0)</f>
        <v/>
      </c>
      <c r="AL18" s="11">
        <f>IF(AB18&lt;&gt;0,(AJ18-AB18)/ABS(AB18),0)</f>
        <v/>
      </c>
    </row>
    <row r="19" ht="13" customHeight="1">
      <c r="A19" s="15" t="inlineStr">
        <is>
          <t xml:space="preserve">    Temps</t>
        </is>
      </c>
      <c r="B19" s="16" t="n">
        <v>0</v>
      </c>
      <c r="C19" s="16" t="n">
        <v>217.33</v>
      </c>
      <c r="D19" s="16" t="n">
        <v>0</v>
      </c>
      <c r="E19" s="16" t="n">
        <v>0</v>
      </c>
      <c r="F19" s="16" t="n">
        <v>0</v>
      </c>
      <c r="G19" s="16" t="n">
        <v>0</v>
      </c>
      <c r="H19" s="16" t="n">
        <v>0</v>
      </c>
      <c r="I19" s="16" t="n">
        <v>0</v>
      </c>
      <c r="J19" s="16" t="n">
        <v>0</v>
      </c>
      <c r="K19" s="16" t="n">
        <v>0</v>
      </c>
      <c r="L19" s="16" t="n">
        <v>0</v>
      </c>
      <c r="M19" s="16" t="n">
        <v>0</v>
      </c>
      <c r="N19" s="16">
        <f>SUM(B19:M19)</f>
        <v/>
      </c>
      <c r="O19" s="16" t="n">
        <v>0</v>
      </c>
      <c r="P19" s="16" t="n">
        <v>0</v>
      </c>
      <c r="Q19" s="16" t="n">
        <v>0</v>
      </c>
      <c r="R19" s="16" t="n">
        <v>0</v>
      </c>
      <c r="S19" s="16" t="n">
        <v>0</v>
      </c>
      <c r="T19" s="16" t="n">
        <v>0</v>
      </c>
      <c r="U19" s="16" t="n">
        <v>0</v>
      </c>
      <c r="V19" s="16" t="n">
        <v>0</v>
      </c>
      <c r="W19" s="16" t="n">
        <v>0</v>
      </c>
      <c r="X19" s="16" t="n">
        <v>0</v>
      </c>
      <c r="Y19" s="16" t="n">
        <v>0</v>
      </c>
      <c r="Z19" s="16" t="n">
        <v>0</v>
      </c>
      <c r="AA19" s="16">
        <f>SUM(O19:U19)</f>
        <v/>
      </c>
      <c r="AB19" s="16">
        <f>SUM(O19:Z19)</f>
        <v/>
      </c>
      <c r="AC19" s="16" t="n">
        <v>0</v>
      </c>
      <c r="AD19" s="16" t="n">
        <v>0</v>
      </c>
      <c r="AE19" s="16" t="n">
        <v>0</v>
      </c>
      <c r="AF19" s="16" t="n">
        <v>0</v>
      </c>
      <c r="AG19" s="16" t="n">
        <v>0</v>
      </c>
      <c r="AH19" s="16" t="n">
        <v>0</v>
      </c>
      <c r="AI19" s="10">
        <f>SUM(AC19:AH19)</f>
        <v/>
      </c>
      <c r="AJ19" s="16">
        <f>SUM(AC19:AH19)+AI19</f>
        <v/>
      </c>
      <c r="AK19" s="11">
        <f>IF(N19&lt;&gt;0,(AB19-N19)/ABS(N19),0)</f>
        <v/>
      </c>
      <c r="AL19" s="11">
        <f>IF(AB19&lt;&gt;0,(AJ19-AB19)/ABS(AB19),0)</f>
        <v/>
      </c>
    </row>
    <row r="20" ht="13" customHeight="1">
      <c r="A20" s="17" t="inlineStr">
        <is>
          <t>Total Personnel</t>
        </is>
      </c>
      <c r="B20" s="18">
        <f>B11+B12+B13+B14+B15+B16+B17+B18+B19</f>
        <v/>
      </c>
      <c r="C20" s="18">
        <f>C11+C12+C13+C14+C15+C16+C17+C18+C19</f>
        <v/>
      </c>
      <c r="D20" s="18">
        <f>D11+D12+D13+D14+D15+D16+D17+D18+D19</f>
        <v/>
      </c>
      <c r="E20" s="18">
        <f>E11+E12+E13+E14+E15+E16+E17+E18+E19</f>
        <v/>
      </c>
      <c r="F20" s="18">
        <f>F11+F12+F13+F14+F15+F16+F17+F18+F19</f>
        <v/>
      </c>
      <c r="G20" s="18">
        <f>G11+G12+G13+G14+G15+G16+G17+G18+G19</f>
        <v/>
      </c>
      <c r="H20" s="18">
        <f>H11+H12+H13+H14+H15+H16+H17+H18+H19</f>
        <v/>
      </c>
      <c r="I20" s="18">
        <f>I11+I12+I13+I14+I15+I16+I17+I18+I19</f>
        <v/>
      </c>
      <c r="J20" s="18">
        <f>J11+J12+J13+J14+J15+J16+J17+J18+J19</f>
        <v/>
      </c>
      <c r="K20" s="18">
        <f>K11+K12+K13+K14+K15+K16+K17+K18+K19</f>
        <v/>
      </c>
      <c r="L20" s="18">
        <f>L11+L12+L13+L14+L15+L16+L17+L18+L19</f>
        <v/>
      </c>
      <c r="M20" s="18">
        <f>M11+M12+M13+M14+M15+M16+M17+M18+M19</f>
        <v/>
      </c>
      <c r="N20" s="18">
        <f>N11+N12+N13+N14+N15+N16+N17+N18+N19</f>
        <v/>
      </c>
      <c r="O20" s="18">
        <f>O11+O12+O13+O14+O15+O16+O17+O18+O19</f>
        <v/>
      </c>
      <c r="P20" s="18">
        <f>P11+P12+P13+P14+P15+P16+P17+P18+P19</f>
        <v/>
      </c>
      <c r="Q20" s="18">
        <f>Q11+Q12+Q13+Q14+Q15+Q16+Q17+Q18+Q19</f>
        <v/>
      </c>
      <c r="R20" s="18">
        <f>R11+R12+R13+R14+R15+R16+R17+R18+R19</f>
        <v/>
      </c>
      <c r="S20" s="18">
        <f>S11+S12+S13+S14+S15+S16+S17+S18+S19</f>
        <v/>
      </c>
      <c r="T20" s="18">
        <f>T11+T12+T13+T14+T15+T16+T17+T18+T19</f>
        <v/>
      </c>
      <c r="U20" s="18">
        <f>U11+U12+U13+U14+U15+U16+U17+U18+U19</f>
        <v/>
      </c>
      <c r="V20" s="18">
        <f>V11+V12+V13+V14+V15+V16+V17+V18+V19</f>
        <v/>
      </c>
      <c r="W20" s="18">
        <f>W11+W12+W13+W14+W15+W16+W17+W18+W19</f>
        <v/>
      </c>
      <c r="X20" s="18">
        <f>X11+X12+X13+X14+X15+X16+X17+X18+X19</f>
        <v/>
      </c>
      <c r="Y20" s="18">
        <f>Y11+Y12+Y13+Y14+Y15+Y16+Y17+Y18+Y19</f>
        <v/>
      </c>
      <c r="Z20" s="18">
        <f>Z11+Z12+Z13+Z14+Z15+Z16+Z17+Z18+Z19</f>
        <v/>
      </c>
      <c r="AA20" s="18">
        <f>AA11+AA12+AA13+AA14+AA15+AA16+AA17+AA18+AA19</f>
        <v/>
      </c>
      <c r="AB20" s="18">
        <f>AB11+AB12+AB13+AB14+AB15+AB16+AB17+AB18+AB19</f>
        <v/>
      </c>
      <c r="AC20" s="18">
        <f>AC11+AC12+AC13+AC14+AC15+AC16+AC17+AC18+AC19</f>
        <v/>
      </c>
      <c r="AD20" s="18">
        <f>AD11+AD12+AD13+AD14+AD15+AD16+AD17+AD18+AD19</f>
        <v/>
      </c>
      <c r="AE20" s="18">
        <f>AE11+AE12+AE13+AE14+AE15+AE16+AE17+AE18+AE19</f>
        <v/>
      </c>
      <c r="AF20" s="18">
        <f>AF11+AF12+AF13+AF14+AF15+AF16+AF17+AF18+AF19</f>
        <v/>
      </c>
      <c r="AG20" s="18">
        <f>AG11+AG12+AG13+AG14+AG15+AG16+AG17+AG18+AG19</f>
        <v/>
      </c>
      <c r="AH20" s="18">
        <f>AH11+AH12+AH13+AH14+AH15+AH16+AH17+AH18+AH19</f>
        <v/>
      </c>
      <c r="AI20" s="18">
        <f>AI11+AI12+AI13+AI14+AI15+AI16+AI17+AI18+AI19</f>
        <v/>
      </c>
      <c r="AJ20" s="18">
        <f>AJ11+AJ12+AJ13+AJ14+AJ15+AJ16+AJ17+AJ18+AJ19</f>
        <v/>
      </c>
      <c r="AK20" s="11">
        <f>IF(N20&lt;&gt;0,(AB20-N20)/ABS(N20),0)</f>
        <v/>
      </c>
      <c r="AL20" s="11">
        <f>IF(AB20&lt;&gt;0,(AJ20-AB20)/ABS(AB20),0)</f>
        <v/>
      </c>
    </row>
    <row r="21" ht="13" customHeight="1">
      <c r="A21" s="19" t="inlineStr">
        <is>
          <t xml:space="preserve">    Sal:Rev</t>
        </is>
      </c>
      <c r="B21" s="20">
        <f>IF(B7&gt;0,B20/B7,0)</f>
        <v/>
      </c>
      <c r="C21" s="20">
        <f>IF(C7&gt;0,C20/C7,0)</f>
        <v/>
      </c>
      <c r="D21" s="20">
        <f>IF(D7&gt;0,D20/D7,0)</f>
        <v/>
      </c>
      <c r="E21" s="20">
        <f>IF(E7&gt;0,E20/E7,0)</f>
        <v/>
      </c>
      <c r="F21" s="20">
        <f>IF(F7&gt;0,F20/F7,0)</f>
        <v/>
      </c>
      <c r="G21" s="20">
        <f>IF(G7&gt;0,G20/G7,0)</f>
        <v/>
      </c>
      <c r="H21" s="20">
        <f>IF(H7&gt;0,H20/H7,0)</f>
        <v/>
      </c>
      <c r="I21" s="20">
        <f>IF(I7&gt;0,I20/I7,0)</f>
        <v/>
      </c>
      <c r="J21" s="20">
        <f>IF(J7&gt;0,J20/J7,0)</f>
        <v/>
      </c>
      <c r="K21" s="20">
        <f>IF(K7&gt;0,K20/K7,0)</f>
        <v/>
      </c>
      <c r="L21" s="20">
        <f>IF(L7&gt;0,L20/L7,0)</f>
        <v/>
      </c>
      <c r="M21" s="20">
        <f>IF(M7&gt;0,M20/M7,0)</f>
        <v/>
      </c>
      <c r="N21" s="20">
        <f>IF(N7&gt;0,N20/N7,0)</f>
        <v/>
      </c>
      <c r="O21" s="20">
        <f>IF(O7&gt;0,O20/O7,0)</f>
        <v/>
      </c>
      <c r="P21" s="20">
        <f>IF(P7&gt;0,P20/P7,0)</f>
        <v/>
      </c>
      <c r="Q21" s="20">
        <f>IF(Q7&gt;0,Q20/Q7,0)</f>
        <v/>
      </c>
      <c r="R21" s="20">
        <f>IF(R7&gt;0,R20/R7,0)</f>
        <v/>
      </c>
      <c r="S21" s="20">
        <f>IF(S7&gt;0,S20/S7,0)</f>
        <v/>
      </c>
      <c r="T21" s="20">
        <f>IF(T7&gt;0,T20/T7,0)</f>
        <v/>
      </c>
      <c r="U21" s="20">
        <f>IF(U7&gt;0,U20/U7,0)</f>
        <v/>
      </c>
      <c r="V21" s="20">
        <f>IF(V7&gt;0,V20/V7,0)</f>
        <v/>
      </c>
      <c r="W21" s="20">
        <f>IF(W7&gt;0,W20/W7,0)</f>
        <v/>
      </c>
      <c r="X21" s="20">
        <f>IF(X7&gt;0,X20/X7,0)</f>
        <v/>
      </c>
      <c r="Y21" s="20">
        <f>IF(Y7&gt;0,Y20/Y7,0)</f>
        <v/>
      </c>
      <c r="Z21" s="20">
        <f>IF(Z7&gt;0,Z20/Z7,0)</f>
        <v/>
      </c>
      <c r="AA21" s="20">
        <f>IF(AA7&gt;0,AA20/AA7,0)</f>
        <v/>
      </c>
      <c r="AB21" s="20">
        <f>IF(AB7&gt;0,AB20/AB7,0)</f>
        <v/>
      </c>
      <c r="AC21" s="20">
        <f>IF(AC7&gt;0,AC20/AC7,0)</f>
        <v/>
      </c>
      <c r="AD21" s="20">
        <f>IF(AD7&gt;0,AD20/AD7,0)</f>
        <v/>
      </c>
      <c r="AE21" s="20">
        <f>IF(AE7&gt;0,AE20/AE7,0)</f>
        <v/>
      </c>
      <c r="AF21" s="20">
        <f>IF(AF7&gt;0,AF20/AF7,0)</f>
        <v/>
      </c>
      <c r="AG21" s="20">
        <f>IF(AG7&gt;0,AG20/AG7,0)</f>
        <v/>
      </c>
      <c r="AH21" s="20">
        <f>IF(AH7&gt;0,AH20/AH7,0)</f>
        <v/>
      </c>
      <c r="AI21" s="20">
        <f>IF(AI7&gt;0,AI20/AI7,0)</f>
        <v/>
      </c>
      <c r="AJ21" s="20">
        <f>IF(AJ7&gt;0,AJ20/AJ7,0)</f>
        <v/>
      </c>
    </row>
    <row r="22" ht="5" customHeight="1"/>
    <row r="23" ht="13" customHeight="1">
      <c r="A23" s="14" t="inlineStr">
        <is>
          <t>Childcare</t>
        </is>
      </c>
    </row>
    <row r="24" ht="13" customHeight="1">
      <c r="A24" s="21" t="inlineStr">
        <is>
          <t xml:space="preserve">    Catering Costs</t>
        </is>
      </c>
      <c r="N24" s="22">
        <f>SUM(B24:M24)</f>
        <v/>
      </c>
      <c r="O24" s="22" t="n">
        <v>1263.34</v>
      </c>
      <c r="P24" s="22" t="n">
        <v>1271.59</v>
      </c>
      <c r="Q24" s="22" t="n">
        <v>1506.32</v>
      </c>
      <c r="R24" s="22" t="n">
        <v>1840.45</v>
      </c>
      <c r="S24" s="22" t="n">
        <v>1559.5</v>
      </c>
      <c r="T24" s="22" t="n">
        <v>1526.24</v>
      </c>
      <c r="U24" s="22" t="n">
        <v>1904.53</v>
      </c>
      <c r="V24" s="22" t="n">
        <v>1531.738104</v>
      </c>
      <c r="W24" s="22" t="n">
        <v>1676.771304</v>
      </c>
      <c r="X24" s="22" t="n">
        <v>1805.858184</v>
      </c>
      <c r="Y24" s="22" t="n">
        <v>1785.944472</v>
      </c>
      <c r="Z24" s="22" t="n">
        <v>1754.899536</v>
      </c>
      <c r="AA24" s="22">
        <f>SUM(O24:U24)</f>
        <v/>
      </c>
      <c r="AB24" s="22">
        <f>SUM(O24:Z24)</f>
        <v/>
      </c>
      <c r="AC24" s="22" t="n">
        <v>1973.936016</v>
      </c>
      <c r="AD24" s="22" t="n">
        <v>1880.566584</v>
      </c>
      <c r="AE24" s="22" t="n">
        <v>2351.321544</v>
      </c>
      <c r="AF24" s="22" t="n">
        <v>2161.792464</v>
      </c>
      <c r="AG24" s="22" t="n">
        <v>2272.719696</v>
      </c>
      <c r="AH24" s="22" t="n">
        <v>2347.325448</v>
      </c>
      <c r="AI24" s="10">
        <f>SUM(AC24:AH24)</f>
        <v/>
      </c>
      <c r="AJ24" s="22">
        <f>SUM(AC24:AH24)+AI24</f>
        <v/>
      </c>
      <c r="AK24" s="11">
        <f>IF(N24&lt;&gt;0,(AB24-N24)/ABS(N24),0)</f>
        <v/>
      </c>
      <c r="AL24" s="11">
        <f>IF(AB24&lt;&gt;0,(AJ24-AB24)/ABS(AB24),0)</f>
        <v/>
      </c>
    </row>
    <row r="25" ht="13" customHeight="1">
      <c r="A25" s="21" t="inlineStr">
        <is>
          <t xml:space="preserve">    Toys and Games</t>
        </is>
      </c>
      <c r="B25" s="22" t="n">
        <v>239.5</v>
      </c>
      <c r="C25" s="22" t="n">
        <v>130.44</v>
      </c>
      <c r="D25" s="22" t="n">
        <v>274.74</v>
      </c>
      <c r="E25" s="22" t="n">
        <v>380.74</v>
      </c>
      <c r="F25" s="22" t="n">
        <v>1073</v>
      </c>
      <c r="G25" s="22" t="n">
        <v>48.17</v>
      </c>
      <c r="H25" s="22" t="n">
        <v>581.1899999999999</v>
      </c>
      <c r="I25" s="22" t="n">
        <v>236.38</v>
      </c>
      <c r="J25" s="22" t="n">
        <v>393.6</v>
      </c>
      <c r="K25" s="22" t="n">
        <v>22.42</v>
      </c>
      <c r="L25" s="22" t="n">
        <v>14.95</v>
      </c>
      <c r="M25" s="22" t="n">
        <v>53.27</v>
      </c>
      <c r="N25" s="22">
        <f>SUM(B25:M25)</f>
        <v/>
      </c>
      <c r="O25" s="22" t="n">
        <v>113.98</v>
      </c>
      <c r="P25" s="22" t="n">
        <v>728.66</v>
      </c>
      <c r="Q25" s="22" t="n">
        <v>134.78</v>
      </c>
      <c r="R25" s="22" t="n">
        <v>47.99</v>
      </c>
      <c r="S25" s="22" t="n">
        <v>65.31999999999999</v>
      </c>
      <c r="T25" s="22" t="n">
        <v>23.67</v>
      </c>
      <c r="U25" s="22" t="n">
        <v>111.13</v>
      </c>
      <c r="AA25" s="22">
        <f>SUM(O25:U25)</f>
        <v/>
      </c>
      <c r="AB25" s="22">
        <f>SUM(O25:Z25)</f>
        <v/>
      </c>
      <c r="AC25" s="22" t="n">
        <v>100</v>
      </c>
      <c r="AD25" s="22" t="n">
        <v>100</v>
      </c>
      <c r="AE25" s="22" t="n">
        <v>100</v>
      </c>
      <c r="AF25" s="22" t="n">
        <v>100</v>
      </c>
      <c r="AG25" s="22" t="n">
        <v>100</v>
      </c>
      <c r="AH25" s="22" t="n">
        <v>100</v>
      </c>
      <c r="AI25" s="10">
        <f>SUM(AC25:AH25)</f>
        <v/>
      </c>
      <c r="AJ25" s="22">
        <f>SUM(AC25:AH25)+AI25</f>
        <v/>
      </c>
      <c r="AK25" s="11">
        <f>IF(N25&lt;&gt;0,(AB25-N25)/ABS(N25),0)</f>
        <v/>
      </c>
      <c r="AL25" s="11">
        <f>IF(AB25&lt;&gt;0,(AJ25-AB25)/ABS(AB25),0)</f>
        <v/>
      </c>
    </row>
    <row r="26" ht="13" customHeight="1">
      <c r="A26" s="21" t="inlineStr">
        <is>
          <t xml:space="preserve">    Art Materials</t>
        </is>
      </c>
      <c r="N26" s="22">
        <f>SUM(B26:M26)</f>
        <v/>
      </c>
      <c r="O26" s="22" t="n">
        <v>9.99</v>
      </c>
      <c r="P26" s="22" t="n">
        <v>147.8</v>
      </c>
      <c r="Q26" s="22" t="n">
        <v>26.31</v>
      </c>
      <c r="R26" s="22" t="n">
        <v>70.34</v>
      </c>
      <c r="S26" s="22" t="n">
        <v>0</v>
      </c>
      <c r="T26" s="22" t="n">
        <v>114.28</v>
      </c>
      <c r="U26" s="22" t="n">
        <v>137.9</v>
      </c>
      <c r="V26" s="22" t="n">
        <v>153.1738104</v>
      </c>
      <c r="W26" s="22" t="n">
        <v>167.6771304</v>
      </c>
      <c r="X26" s="22" t="n">
        <v>180.5858184</v>
      </c>
      <c r="Y26" s="22" t="n">
        <v>178.5944472</v>
      </c>
      <c r="Z26" s="22" t="n">
        <v>175.4899536</v>
      </c>
      <c r="AA26" s="22">
        <f>SUM(O26:U26)</f>
        <v/>
      </c>
      <c r="AB26" s="22">
        <f>SUM(O26:Z26)</f>
        <v/>
      </c>
      <c r="AC26" s="22" t="n">
        <v>197.3936016</v>
      </c>
      <c r="AD26" s="22" t="n">
        <v>188.0566584</v>
      </c>
      <c r="AE26" s="22" t="n">
        <v>235.1321544</v>
      </c>
      <c r="AF26" s="22" t="n">
        <v>216.1792464</v>
      </c>
      <c r="AG26" s="22" t="n">
        <v>227.2719696</v>
      </c>
      <c r="AH26" s="22" t="n">
        <v>234.7325448</v>
      </c>
      <c r="AI26" s="10">
        <f>SUM(AC26:AH26)</f>
        <v/>
      </c>
      <c r="AJ26" s="22">
        <f>SUM(AC26:AH26)+AI26</f>
        <v/>
      </c>
      <c r="AK26" s="11">
        <f>IF(N26&lt;&gt;0,(AB26-N26)/ABS(N26),0)</f>
        <v/>
      </c>
      <c r="AL26" s="11">
        <f>IF(AB26&lt;&gt;0,(AJ26-AB26)/ABS(AB26),0)</f>
        <v/>
      </c>
    </row>
    <row r="27" ht="13" customHeight="1">
      <c r="A27" s="21" t="inlineStr">
        <is>
          <t xml:space="preserve">    Nursery Stationery</t>
        </is>
      </c>
      <c r="B27" s="22" t="n">
        <v>0</v>
      </c>
      <c r="C27" s="22" t="n">
        <v>0</v>
      </c>
      <c r="D27" s="22" t="n">
        <v>0</v>
      </c>
      <c r="E27" s="22" t="n">
        <v>0</v>
      </c>
      <c r="F27" s="22" t="n">
        <v>0</v>
      </c>
      <c r="G27" s="22" t="n">
        <v>0</v>
      </c>
      <c r="H27" s="22" t="n">
        <v>0</v>
      </c>
      <c r="I27" s="22" t="n">
        <v>0</v>
      </c>
      <c r="J27" s="22" t="n">
        <v>0</v>
      </c>
      <c r="K27" s="22" t="n">
        <v>0</v>
      </c>
      <c r="L27" s="22" t="n">
        <v>0</v>
      </c>
      <c r="M27" s="22" t="n">
        <v>0</v>
      </c>
      <c r="N27" s="22">
        <f>SUM(B27:M27)</f>
        <v/>
      </c>
      <c r="O27" s="22" t="n">
        <v>0</v>
      </c>
      <c r="P27" s="22" t="n">
        <v>0</v>
      </c>
      <c r="Q27" s="22" t="n">
        <v>0</v>
      </c>
      <c r="R27" s="22" t="n">
        <v>0</v>
      </c>
      <c r="S27" s="22" t="n">
        <v>0</v>
      </c>
      <c r="T27" s="22" t="n">
        <v>0</v>
      </c>
      <c r="U27" s="22" t="n">
        <v>47.19</v>
      </c>
      <c r="AA27" s="22">
        <f>SUM(O27:U27)</f>
        <v/>
      </c>
      <c r="AB27" s="22">
        <f>SUM(O27:Z27)</f>
        <v/>
      </c>
      <c r="AC27" s="22" t="n">
        <v>100</v>
      </c>
      <c r="AD27" s="22" t="n">
        <v>100</v>
      </c>
      <c r="AE27" s="22" t="n">
        <v>100</v>
      </c>
      <c r="AF27" s="22" t="n">
        <v>100</v>
      </c>
      <c r="AG27" s="22" t="n">
        <v>100</v>
      </c>
      <c r="AH27" s="22" t="n">
        <v>100</v>
      </c>
      <c r="AI27" s="10">
        <f>SUM(AC27:AH27)</f>
        <v/>
      </c>
      <c r="AJ27" s="22">
        <f>SUM(AC27:AH27)+AI27</f>
        <v/>
      </c>
      <c r="AK27" s="11">
        <f>IF(N27&lt;&gt;0,(AB27-N27)/ABS(N27),0)</f>
        <v/>
      </c>
      <c r="AL27" s="11">
        <f>IF(AB27&lt;&gt;0,(AJ27-AB27)/ABS(AB27),0)</f>
        <v/>
      </c>
    </row>
    <row r="28" ht="13" customHeight="1">
      <c r="A28" s="21" t="inlineStr">
        <is>
          <t xml:space="preserve">    Nursery Equipment</t>
        </is>
      </c>
      <c r="B28" s="22" t="n">
        <v>134.61</v>
      </c>
      <c r="C28" s="22" t="n">
        <v>25.96</v>
      </c>
      <c r="D28" s="22" t="n">
        <v>134.14</v>
      </c>
      <c r="E28" s="22" t="n">
        <v>13.99</v>
      </c>
      <c r="F28" s="22" t="n">
        <v>0</v>
      </c>
      <c r="G28" s="22" t="n">
        <v>166.09</v>
      </c>
      <c r="H28" s="22" t="n">
        <v>0</v>
      </c>
      <c r="I28" s="22" t="n">
        <v>0</v>
      </c>
      <c r="J28" s="22" t="n">
        <v>0</v>
      </c>
      <c r="K28" s="22" t="n">
        <v>524.03</v>
      </c>
      <c r="L28" s="22" t="n">
        <v>0</v>
      </c>
      <c r="M28" s="22" t="n">
        <v>12.98</v>
      </c>
      <c r="N28" s="22">
        <f>SUM(B28:M28)</f>
        <v/>
      </c>
      <c r="O28" s="22" t="n">
        <v>59.34</v>
      </c>
      <c r="P28" s="22" t="n">
        <v>29.69</v>
      </c>
      <c r="Q28" s="22" t="n">
        <v>27.81</v>
      </c>
      <c r="R28" s="22" t="n">
        <v>308</v>
      </c>
      <c r="S28" s="22" t="n">
        <v>0</v>
      </c>
      <c r="T28" s="22" t="n">
        <v>219.9</v>
      </c>
      <c r="U28" s="22" t="n">
        <v>0</v>
      </c>
      <c r="AA28" s="22">
        <f>SUM(O28:U28)</f>
        <v/>
      </c>
      <c r="AB28" s="22">
        <f>SUM(O28:Z28)</f>
        <v/>
      </c>
      <c r="AC28" s="22" t="n">
        <v>50</v>
      </c>
      <c r="AD28" s="22" t="n">
        <v>50</v>
      </c>
      <c r="AE28" s="22" t="n">
        <v>50</v>
      </c>
      <c r="AF28" s="22" t="n">
        <v>50</v>
      </c>
      <c r="AG28" s="22" t="n">
        <v>50</v>
      </c>
      <c r="AH28" s="22" t="n">
        <v>50</v>
      </c>
      <c r="AI28" s="10">
        <f>SUM(AC28:AH28)</f>
        <v/>
      </c>
      <c r="AJ28" s="22">
        <f>SUM(AC28:AH28)+AI28</f>
        <v/>
      </c>
      <c r="AK28" s="11">
        <f>IF(N28&lt;&gt;0,(AB28-N28)/ABS(N28),0)</f>
        <v/>
      </c>
      <c r="AL28" s="11">
        <f>IF(AB28&lt;&gt;0,(AJ28-AB28)/ABS(AB28),0)</f>
        <v/>
      </c>
    </row>
    <row r="29" ht="13" customHeight="1">
      <c r="A29" s="21" t="inlineStr">
        <is>
          <t xml:space="preserve">    Nursery Consumables</t>
        </is>
      </c>
      <c r="N29" s="22">
        <f>SUM(B29:M29)</f>
        <v/>
      </c>
      <c r="O29" s="22" t="n">
        <v>110.81</v>
      </c>
      <c r="P29" s="22" t="n">
        <v>287.51</v>
      </c>
      <c r="Q29" s="22" t="n">
        <v>61.94</v>
      </c>
      <c r="R29" s="22" t="n">
        <v>405.44</v>
      </c>
      <c r="S29" s="22" t="n">
        <v>129.82</v>
      </c>
      <c r="T29" s="22" t="n">
        <v>300.5</v>
      </c>
      <c r="U29" s="22" t="n">
        <v>213.47</v>
      </c>
      <c r="V29" s="22" t="n">
        <v>255.289684</v>
      </c>
      <c r="W29" s="22" t="n">
        <v>279.461884</v>
      </c>
      <c r="X29" s="22" t="n">
        <v>300.976364</v>
      </c>
      <c r="Y29" s="22" t="n">
        <v>297.657412</v>
      </c>
      <c r="Z29" s="22" t="n">
        <v>292.483256</v>
      </c>
      <c r="AA29" s="22">
        <f>SUM(O29:U29)</f>
        <v/>
      </c>
      <c r="AB29" s="22">
        <f>SUM(O29:Z29)</f>
        <v/>
      </c>
      <c r="AC29" s="22" t="n">
        <v>328.989336</v>
      </c>
      <c r="AD29" s="22" t="n">
        <v>313.427764</v>
      </c>
      <c r="AE29" s="22" t="n">
        <v>391.886924</v>
      </c>
      <c r="AF29" s="22" t="n">
        <v>360.2987440000001</v>
      </c>
      <c r="AG29" s="22" t="n">
        <v>378.786616</v>
      </c>
      <c r="AH29" s="22" t="n">
        <v>391.220908</v>
      </c>
      <c r="AI29" s="10">
        <f>SUM(AC29:AH29)</f>
        <v/>
      </c>
      <c r="AJ29" s="22">
        <f>SUM(AC29:AH29)+AI29</f>
        <v/>
      </c>
      <c r="AK29" s="11">
        <f>IF(N29&lt;&gt;0,(AB29-N29)/ABS(N29),0)</f>
        <v/>
      </c>
      <c r="AL29" s="11">
        <f>IF(AB29&lt;&gt;0,(AJ29-AB29)/ABS(AB29),0)</f>
        <v/>
      </c>
    </row>
    <row r="30" ht="13" customHeight="1">
      <c r="A30" s="23" t="inlineStr">
        <is>
          <t>Total Childcare Costs</t>
        </is>
      </c>
      <c r="B30" s="24">
        <f>B24+B25+B26+B27+B28+B29</f>
        <v/>
      </c>
      <c r="C30" s="24">
        <f>C24+C25+C26+C27+C28+C29</f>
        <v/>
      </c>
      <c r="D30" s="24">
        <f>D24+D25+D26+D27+D28+D29</f>
        <v/>
      </c>
      <c r="E30" s="24">
        <f>E24+E25+E26+E27+E28+E29</f>
        <v/>
      </c>
      <c r="F30" s="24">
        <f>F24+F25+F26+F27+F28+F29</f>
        <v/>
      </c>
      <c r="G30" s="24">
        <f>G24+G25+G26+G27+G28+G29</f>
        <v/>
      </c>
      <c r="H30" s="24">
        <f>H24+H25+H26+H27+H28+H29</f>
        <v/>
      </c>
      <c r="I30" s="24">
        <f>I24+I25+I26+I27+I28+I29</f>
        <v/>
      </c>
      <c r="J30" s="24">
        <f>J24+J25+J26+J27+J28+J29</f>
        <v/>
      </c>
      <c r="K30" s="24">
        <f>K24+K25+K26+K27+K28+K29</f>
        <v/>
      </c>
      <c r="L30" s="24">
        <f>L24+L25+L26+L27+L28+L29</f>
        <v/>
      </c>
      <c r="M30" s="24">
        <f>M24+M25+M26+M27+M28+M29</f>
        <v/>
      </c>
      <c r="N30" s="24">
        <f>N24+N25+N26+N27+N28+N29</f>
        <v/>
      </c>
      <c r="O30" s="24">
        <f>O24+O25+O26+O27+O28+O29</f>
        <v/>
      </c>
      <c r="P30" s="24">
        <f>P24+P25+P26+P27+P28+P29</f>
        <v/>
      </c>
      <c r="Q30" s="24">
        <f>Q24+Q25+Q26+Q27+Q28+Q29</f>
        <v/>
      </c>
      <c r="R30" s="24">
        <f>R24+R25+R26+R27+R28+R29</f>
        <v/>
      </c>
      <c r="S30" s="24">
        <f>S24+S25+S26+S27+S28+S29</f>
        <v/>
      </c>
      <c r="T30" s="24">
        <f>T24+T25+T26+T27+T28+T29</f>
        <v/>
      </c>
      <c r="U30" s="24">
        <f>U24+U25+U26+U27+U28+U29</f>
        <v/>
      </c>
      <c r="V30" s="24">
        <f>V24+V25+V26+V27+V28+V29</f>
        <v/>
      </c>
      <c r="W30" s="24">
        <f>W24+W25+W26+W27+W28+W29</f>
        <v/>
      </c>
      <c r="X30" s="24">
        <f>X24+X25+X26+X27+X28+X29</f>
        <v/>
      </c>
      <c r="Y30" s="24">
        <f>Y24+Y25+Y26+Y27+Y28+Y29</f>
        <v/>
      </c>
      <c r="Z30" s="24">
        <f>Z24+Z25+Z26+Z27+Z28+Z29</f>
        <v/>
      </c>
      <c r="AA30" s="24">
        <f>AA24+AA25+AA26+AA27+AA28+AA29</f>
        <v/>
      </c>
      <c r="AB30" s="24">
        <f>AB24+AB25+AB26+AB27+AB28+AB29</f>
        <v/>
      </c>
      <c r="AC30" s="24">
        <f>AC24+AC25+AC26+AC27+AC28+AC29</f>
        <v/>
      </c>
      <c r="AD30" s="24">
        <f>AD24+AD25+AD26+AD27+AD28+AD29</f>
        <v/>
      </c>
      <c r="AE30" s="24">
        <f>AE24+AE25+AE26+AE27+AE28+AE29</f>
        <v/>
      </c>
      <c r="AF30" s="24">
        <f>AF24+AF25+AF26+AF27+AF28+AF29</f>
        <v/>
      </c>
      <c r="AG30" s="24">
        <f>AG24+AG25+AG26+AG27+AG28+AG29</f>
        <v/>
      </c>
      <c r="AH30" s="24">
        <f>AH24+AH25+AH26+AH27+AH28+AH29</f>
        <v/>
      </c>
      <c r="AI30" s="24">
        <f>AI24+AI25+AI26+AI27+AI28+AI29</f>
        <v/>
      </c>
      <c r="AJ30" s="24">
        <f>AJ24+AJ25+AJ26+AJ27+AJ28+AJ29</f>
        <v/>
      </c>
      <c r="AK30" s="11">
        <f>IF(N30&lt;&gt;0,(AB30-N30)/ABS(N30),0)</f>
        <v/>
      </c>
      <c r="AL30" s="11">
        <f>IF(AB30&lt;&gt;0,(AJ30-AB30)/ABS(AB30),0)</f>
        <v/>
      </c>
    </row>
    <row r="31" ht="5" customHeight="1"/>
    <row r="32" ht="13" customHeight="1">
      <c r="A32" s="14" t="inlineStr">
        <is>
          <t>Premises &amp; Admin</t>
        </is>
      </c>
    </row>
    <row r="33" ht="13" customHeight="1">
      <c r="A33" s="25" t="inlineStr">
        <is>
          <t xml:space="preserve">    Rent</t>
        </is>
      </c>
      <c r="B33" s="26" t="n">
        <v>0</v>
      </c>
      <c r="C33" s="26" t="n">
        <v>0</v>
      </c>
      <c r="D33" s="26" t="n">
        <v>0</v>
      </c>
      <c r="E33" s="26" t="n">
        <v>0</v>
      </c>
      <c r="F33" s="26" t="n">
        <v>0</v>
      </c>
      <c r="G33" s="26" t="n">
        <v>0</v>
      </c>
      <c r="H33" s="26" t="n">
        <v>0</v>
      </c>
      <c r="I33" s="26" t="n">
        <v>0</v>
      </c>
      <c r="J33" s="26" t="n">
        <v>0</v>
      </c>
      <c r="K33" s="26" t="n">
        <v>0</v>
      </c>
      <c r="L33" s="26" t="n">
        <v>0</v>
      </c>
      <c r="M33" s="26" t="n">
        <v>0</v>
      </c>
      <c r="N33" s="26">
        <f>SUM(B33:M33)</f>
        <v/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  <c r="V33" s="26" t="n">
        <v>0</v>
      </c>
      <c r="W33" s="26" t="n">
        <v>0</v>
      </c>
      <c r="X33" s="26" t="n">
        <v>0</v>
      </c>
      <c r="Y33" s="26" t="n">
        <v>0</v>
      </c>
      <c r="Z33" s="26" t="n">
        <v>0</v>
      </c>
      <c r="AA33" s="26">
        <f>SUM(O33:U33)</f>
        <v/>
      </c>
      <c r="AB33" s="26">
        <f>SUM(O33:Z33)</f>
        <v/>
      </c>
      <c r="AC33" s="26" t="n">
        <v>0</v>
      </c>
      <c r="AD33" s="26" t="n">
        <v>0</v>
      </c>
      <c r="AE33" s="26" t="n">
        <v>0</v>
      </c>
      <c r="AF33" s="26" t="n">
        <v>0</v>
      </c>
      <c r="AG33" s="26" t="n">
        <v>0</v>
      </c>
      <c r="AH33" s="26" t="n">
        <v>0</v>
      </c>
      <c r="AI33" s="10">
        <f>SUM(AC33:AH33)</f>
        <v/>
      </c>
      <c r="AJ33" s="26">
        <f>SUM(AC33:AH33)+AI33</f>
        <v/>
      </c>
      <c r="AK33" s="11">
        <f>IF(N33&lt;&gt;0,(AB33-N33)/ABS(N33),0)</f>
        <v/>
      </c>
      <c r="AL33" s="11">
        <f>IF(AB33&lt;&gt;0,(AJ33-AB33)/ABS(AB33),0)</f>
        <v/>
      </c>
    </row>
    <row r="34" ht="13" customHeight="1">
      <c r="A34" s="25" t="inlineStr">
        <is>
          <t xml:space="preserve">    Business Rates</t>
        </is>
      </c>
      <c r="B34" s="26" t="n">
        <v>1850.46</v>
      </c>
      <c r="C34" s="26" t="n">
        <v>1850.46</v>
      </c>
      <c r="D34" s="26" t="n">
        <v>1850.46</v>
      </c>
      <c r="E34" s="26" t="n">
        <v>1850.42</v>
      </c>
      <c r="F34" s="26" t="n">
        <v>1850.42</v>
      </c>
      <c r="G34" s="26" t="n">
        <v>1850.42</v>
      </c>
      <c r="H34" s="26" t="n">
        <v>1850.42</v>
      </c>
      <c r="I34" s="26" t="n">
        <v>1850.42</v>
      </c>
      <c r="J34" s="26" t="n">
        <v>1850.42</v>
      </c>
      <c r="K34" s="26" t="n">
        <v>1850.42</v>
      </c>
      <c r="L34" s="26" t="n">
        <v>1850.42</v>
      </c>
      <c r="M34" s="26" t="n">
        <v>1850.42</v>
      </c>
      <c r="N34" s="26">
        <f>SUM(B34:M34)</f>
        <v/>
      </c>
      <c r="O34" s="26" t="n">
        <v>1850.43</v>
      </c>
      <c r="P34" s="26" t="n">
        <v>1850.42</v>
      </c>
      <c r="Q34" s="26" t="n">
        <v>1850.42</v>
      </c>
      <c r="R34" s="26" t="n">
        <v>2128.03</v>
      </c>
      <c r="S34" s="26" t="n">
        <v>2128.03</v>
      </c>
      <c r="T34" s="26" t="n">
        <v>2128.03</v>
      </c>
      <c r="U34" s="26" t="n">
        <v>2128.03</v>
      </c>
      <c r="AA34" s="26">
        <f>SUM(O34:U34)</f>
        <v/>
      </c>
      <c r="AB34" s="26">
        <f>SUM(O34:Z34)</f>
        <v/>
      </c>
      <c r="AC34" s="26" t="n">
        <v>2128.03</v>
      </c>
      <c r="AD34" s="26" t="n">
        <v>2128.03</v>
      </c>
      <c r="AE34" s="26" t="n">
        <v>2128.03</v>
      </c>
      <c r="AF34" s="26" t="n">
        <v>2128.03</v>
      </c>
      <c r="AG34" s="26" t="n">
        <v>2128.03</v>
      </c>
      <c r="AH34" s="26" t="n">
        <v>2128.03</v>
      </c>
      <c r="AI34" s="10">
        <f>SUM(AC34:AH34)</f>
        <v/>
      </c>
      <c r="AJ34" s="26">
        <f>SUM(AC34:AH34)+AI34</f>
        <v/>
      </c>
      <c r="AK34" s="11">
        <f>IF(N34&lt;&gt;0,(AB34-N34)/ABS(N34),0)</f>
        <v/>
      </c>
      <c r="AL34" s="11">
        <f>IF(AB34&lt;&gt;0,(AJ34-AB34)/ABS(AB34),0)</f>
        <v/>
      </c>
    </row>
    <row r="35" ht="13" customHeight="1">
      <c r="A35" s="25" t="inlineStr">
        <is>
          <t xml:space="preserve">    Utilities</t>
        </is>
      </c>
      <c r="B35" s="26" t="n">
        <v>2368.8</v>
      </c>
      <c r="C35" s="26" t="n">
        <v>1729.63</v>
      </c>
      <c r="D35" s="26" t="n">
        <v>1859.19</v>
      </c>
      <c r="E35" s="26" t="n">
        <v>2094.4</v>
      </c>
      <c r="F35" s="26" t="n">
        <v>2433.41</v>
      </c>
      <c r="G35" s="26" t="n">
        <v>1489.28</v>
      </c>
      <c r="H35" s="26" t="n">
        <v>704.8299999999999</v>
      </c>
      <c r="I35" s="26" t="n">
        <v>-1889.83</v>
      </c>
      <c r="J35" s="26" t="n">
        <v>2474.2</v>
      </c>
      <c r="K35" s="26" t="n">
        <v>1184.78</v>
      </c>
      <c r="L35" s="26" t="n">
        <v>1550.31</v>
      </c>
      <c r="M35" s="26" t="n">
        <v>1669.51</v>
      </c>
      <c r="N35" s="26">
        <f>SUM(B35:M35)</f>
        <v/>
      </c>
      <c r="O35" s="26" t="n">
        <v>5880.54</v>
      </c>
      <c r="P35" s="26" t="n">
        <v>3499.35</v>
      </c>
      <c r="Q35" s="26" t="n">
        <v>2725.01</v>
      </c>
      <c r="R35" s="26" t="n">
        <v>1670.17</v>
      </c>
      <c r="S35" s="26" t="n">
        <v>1407.25</v>
      </c>
      <c r="T35" s="26" t="n">
        <v>2084.82</v>
      </c>
      <c r="U35" s="26" t="n">
        <v>594.3099999999999</v>
      </c>
      <c r="AA35" s="26">
        <f>SUM(O35:U35)</f>
        <v/>
      </c>
      <c r="AB35" s="26">
        <f>SUM(O35:Z35)</f>
        <v/>
      </c>
      <c r="AC35" s="26" t="n">
        <v>1625</v>
      </c>
      <c r="AD35" s="26" t="n">
        <v>1625</v>
      </c>
      <c r="AE35" s="26" t="n">
        <v>1625</v>
      </c>
      <c r="AF35" s="26" t="n">
        <v>1625</v>
      </c>
      <c r="AG35" s="26" t="n">
        <v>1625</v>
      </c>
      <c r="AH35" s="26" t="n">
        <v>1625</v>
      </c>
      <c r="AI35" s="10">
        <f>SUM(AC35:AH35)</f>
        <v/>
      </c>
      <c r="AJ35" s="26">
        <f>SUM(AC35:AH35)+AI35</f>
        <v/>
      </c>
      <c r="AK35" s="11">
        <f>IF(N35&lt;&gt;0,(AB35-N35)/ABS(N35),0)</f>
        <v/>
      </c>
      <c r="AL35" s="11">
        <f>IF(AB35&lt;&gt;0,(AJ35-AB35)/ABS(AB35),0)</f>
        <v/>
      </c>
    </row>
    <row r="36" ht="13" customHeight="1">
      <c r="A36" s="25" t="inlineStr">
        <is>
          <t xml:space="preserve">    Repairs &amp; Maintenance</t>
        </is>
      </c>
      <c r="B36" s="26" t="n">
        <v>3031.86</v>
      </c>
      <c r="C36" s="26" t="n">
        <v>98.95</v>
      </c>
      <c r="D36" s="26" t="n">
        <v>578.95</v>
      </c>
      <c r="E36" s="26" t="n">
        <v>430.94</v>
      </c>
      <c r="F36" s="26" t="n">
        <v>435.0199999999997</v>
      </c>
      <c r="G36" s="26" t="n">
        <v>251.22</v>
      </c>
      <c r="H36" s="26" t="n">
        <v>107.95</v>
      </c>
      <c r="I36" s="26" t="n">
        <v>1347.21</v>
      </c>
      <c r="J36" s="26" t="n">
        <v>1756.7</v>
      </c>
      <c r="K36" s="26" t="n">
        <v>943.7199999999999</v>
      </c>
      <c r="L36" s="26" t="n">
        <v>994.7800000000002</v>
      </c>
      <c r="M36" s="26" t="n">
        <v>268.1</v>
      </c>
      <c r="N36" s="26">
        <f>SUM(B36:M36)</f>
        <v/>
      </c>
      <c r="O36" s="26" t="n">
        <v>1554.62</v>
      </c>
      <c r="P36" s="26" t="n">
        <v>72.67</v>
      </c>
      <c r="Q36" s="26" t="n">
        <v>140.01</v>
      </c>
      <c r="R36" s="26" t="n">
        <v>156.47</v>
      </c>
      <c r="S36" s="26" t="n">
        <v>45.49</v>
      </c>
      <c r="T36" s="26" t="n">
        <v>559.77</v>
      </c>
      <c r="U36" s="26" t="n">
        <v>1555.73</v>
      </c>
      <c r="AA36" s="26">
        <f>SUM(O36:U36)</f>
        <v/>
      </c>
      <c r="AB36" s="26">
        <f>SUM(O36:Z36)</f>
        <v/>
      </c>
      <c r="AC36" s="26" t="n">
        <v>0</v>
      </c>
      <c r="AD36" s="26" t="n">
        <v>0</v>
      </c>
      <c r="AE36" s="26" t="n">
        <v>0</v>
      </c>
      <c r="AF36" s="26" t="n">
        <v>0</v>
      </c>
      <c r="AG36" s="26" t="n">
        <v>0</v>
      </c>
      <c r="AH36" s="26" t="n">
        <v>0</v>
      </c>
      <c r="AI36" s="10">
        <f>SUM(AC36:AH36)</f>
        <v/>
      </c>
      <c r="AJ36" s="26">
        <f>SUM(AC36:AH36)+AI36</f>
        <v/>
      </c>
      <c r="AK36" s="11">
        <f>IF(N36&lt;&gt;0,(AB36-N36)/ABS(N36),0)</f>
        <v/>
      </c>
      <c r="AL36" s="11">
        <f>IF(AB36&lt;&gt;0,(AJ36-AB36)/ABS(AB36),0)</f>
        <v/>
      </c>
    </row>
    <row r="37" ht="13" customHeight="1">
      <c r="A37" s="25" t="inlineStr">
        <is>
          <t xml:space="preserve">    Cleaning</t>
        </is>
      </c>
      <c r="B37" s="26" t="n">
        <v>309.94</v>
      </c>
      <c r="C37" s="26" t="n">
        <v>0</v>
      </c>
      <c r="D37" s="26" t="n">
        <v>277.05</v>
      </c>
      <c r="E37" s="26" t="n">
        <v>362.46</v>
      </c>
      <c r="F37" s="26" t="n">
        <v>318.28</v>
      </c>
      <c r="G37" s="26" t="n">
        <v>106.85</v>
      </c>
      <c r="H37" s="26" t="n">
        <v>241.78</v>
      </c>
      <c r="I37" s="26" t="n">
        <v>110.35</v>
      </c>
      <c r="J37" s="26" t="n">
        <v>265.47</v>
      </c>
      <c r="K37" s="26" t="n">
        <v>161.46</v>
      </c>
      <c r="L37" s="26" t="n">
        <v>302.11</v>
      </c>
      <c r="M37" s="26" t="n">
        <v>146.87</v>
      </c>
      <c r="N37" s="26">
        <f>SUM(B37:M37)</f>
        <v/>
      </c>
      <c r="O37" s="26" t="n">
        <v>136.54</v>
      </c>
      <c r="P37" s="26" t="n">
        <v>125.08</v>
      </c>
      <c r="Q37" s="26" t="n">
        <v>172.92</v>
      </c>
      <c r="R37" s="26" t="n">
        <v>115.14</v>
      </c>
      <c r="S37" s="26" t="n">
        <v>0</v>
      </c>
      <c r="T37" s="26" t="n">
        <v>164.48</v>
      </c>
      <c r="U37" s="26" t="n">
        <v>221.88</v>
      </c>
      <c r="AA37" s="26">
        <f>SUM(O37:U37)</f>
        <v/>
      </c>
      <c r="AB37" s="26">
        <f>SUM(O37:Z37)</f>
        <v/>
      </c>
      <c r="AC37" s="26" t="n">
        <v>221</v>
      </c>
      <c r="AD37" s="26" t="n">
        <v>221</v>
      </c>
      <c r="AE37" s="26" t="n">
        <v>221</v>
      </c>
      <c r="AF37" s="26" t="n">
        <v>221</v>
      </c>
      <c r="AG37" s="26" t="n">
        <v>221</v>
      </c>
      <c r="AH37" s="26" t="n">
        <v>221</v>
      </c>
      <c r="AI37" s="10">
        <f>SUM(AC37:AH37)</f>
        <v/>
      </c>
      <c r="AJ37" s="26">
        <f>SUM(AC37:AH37)+AI37</f>
        <v/>
      </c>
      <c r="AK37" s="11">
        <f>IF(N37&lt;&gt;0,(AB37-N37)/ABS(N37),0)</f>
        <v/>
      </c>
      <c r="AL37" s="11">
        <f>IF(AB37&lt;&gt;0,(AJ37-AB37)/ABS(AB37),0)</f>
        <v/>
      </c>
    </row>
    <row r="38" ht="13" customHeight="1">
      <c r="A38" s="25" t="inlineStr">
        <is>
          <t xml:space="preserve">    Waste Disposal</t>
        </is>
      </c>
      <c r="B38" s="26" t="n">
        <v>379.15</v>
      </c>
      <c r="C38" s="26" t="n">
        <v>413.35</v>
      </c>
      <c r="D38" s="26" t="n">
        <v>531.62</v>
      </c>
      <c r="E38" s="26" t="n">
        <v>296.9299999999999</v>
      </c>
      <c r="F38" s="26" t="n">
        <v>430.74</v>
      </c>
      <c r="G38" s="26" t="n">
        <v>394.55</v>
      </c>
      <c r="H38" s="26" t="n">
        <v>313.24</v>
      </c>
      <c r="I38" s="26" t="n">
        <v>298.24</v>
      </c>
      <c r="J38" s="26" t="n">
        <v>444.35</v>
      </c>
      <c r="K38" s="26" t="n">
        <v>307.21</v>
      </c>
      <c r="L38" s="26" t="n">
        <v>426.55</v>
      </c>
      <c r="M38" s="26" t="n">
        <v>379.16</v>
      </c>
      <c r="N38" s="26">
        <f>SUM(B38:M38)</f>
        <v/>
      </c>
      <c r="O38" s="26" t="n">
        <v>348.17</v>
      </c>
      <c r="P38" s="26" t="n">
        <v>426.54</v>
      </c>
      <c r="Q38" s="26" t="n">
        <v>428.49</v>
      </c>
      <c r="R38" s="26" t="n">
        <v>433.79</v>
      </c>
      <c r="S38" s="26" t="n">
        <v>338.45</v>
      </c>
      <c r="T38" s="26" t="n">
        <v>271.95</v>
      </c>
      <c r="U38" s="26" t="n">
        <v>551.62</v>
      </c>
      <c r="AA38" s="26">
        <f>SUM(O38:U38)</f>
        <v/>
      </c>
      <c r="AB38" s="26">
        <f>SUM(O38:Z38)</f>
        <v/>
      </c>
      <c r="AC38" s="26" t="n">
        <v>389</v>
      </c>
      <c r="AD38" s="26" t="n">
        <v>389</v>
      </c>
      <c r="AE38" s="26" t="n">
        <v>389</v>
      </c>
      <c r="AF38" s="26" t="n">
        <v>389</v>
      </c>
      <c r="AG38" s="26" t="n">
        <v>389</v>
      </c>
      <c r="AH38" s="26" t="n">
        <v>389</v>
      </c>
      <c r="AI38" s="10">
        <f>SUM(AC38:AH38)</f>
        <v/>
      </c>
      <c r="AJ38" s="26">
        <f>SUM(AC38:AH38)+AI38</f>
        <v/>
      </c>
      <c r="AK38" s="11">
        <f>IF(N38&lt;&gt;0,(AB38-N38)/ABS(N38),0)</f>
        <v/>
      </c>
      <c r="AL38" s="11">
        <f>IF(AB38&lt;&gt;0,(AJ38-AB38)/ABS(AB38),0)</f>
        <v/>
      </c>
    </row>
    <row r="39" ht="13" customHeight="1">
      <c r="A39" s="25" t="inlineStr">
        <is>
          <t xml:space="preserve">    Postage/Printing/Stationery</t>
        </is>
      </c>
      <c r="B39" s="26" t="n">
        <v>134.31</v>
      </c>
      <c r="C39" s="26" t="n">
        <v>193.15</v>
      </c>
      <c r="D39" s="26" t="n">
        <v>108.59</v>
      </c>
      <c r="E39" s="26" t="n">
        <v>158.57</v>
      </c>
      <c r="F39" s="26" t="n">
        <v>40.91</v>
      </c>
      <c r="G39" s="26" t="n">
        <v>188.02</v>
      </c>
      <c r="H39" s="26" t="n">
        <v>36.03</v>
      </c>
      <c r="I39" s="26" t="n">
        <v>140.04</v>
      </c>
      <c r="J39" s="26" t="n">
        <v>159.8</v>
      </c>
      <c r="K39" s="26" t="n">
        <v>546.86</v>
      </c>
      <c r="L39" s="26" t="n">
        <v>154.65</v>
      </c>
      <c r="M39" s="26" t="n">
        <v>163.62</v>
      </c>
      <c r="N39" s="26">
        <f>SUM(B39:M39)</f>
        <v/>
      </c>
      <c r="O39" s="26" t="n">
        <v>66.11</v>
      </c>
      <c r="P39" s="26" t="n">
        <v>90</v>
      </c>
      <c r="Q39" s="26" t="n">
        <v>78.90000000000001</v>
      </c>
      <c r="R39" s="26" t="n">
        <v>109.06</v>
      </c>
      <c r="S39" s="26" t="n">
        <v>91.40000000000001</v>
      </c>
      <c r="T39" s="26" t="n">
        <v>94.31999999999999</v>
      </c>
      <c r="U39" s="26" t="n">
        <v>19.99</v>
      </c>
      <c r="AA39" s="26">
        <f>SUM(O39:U39)</f>
        <v/>
      </c>
      <c r="AB39" s="26">
        <f>SUM(O39:Z39)</f>
        <v/>
      </c>
      <c r="AC39" s="26" t="n">
        <v>0</v>
      </c>
      <c r="AD39" s="26" t="n">
        <v>0</v>
      </c>
      <c r="AE39" s="26" t="n">
        <v>0</v>
      </c>
      <c r="AF39" s="26" t="n">
        <v>0</v>
      </c>
      <c r="AG39" s="26" t="n">
        <v>0</v>
      </c>
      <c r="AH39" s="26" t="n">
        <v>0</v>
      </c>
      <c r="AI39" s="10">
        <f>SUM(AC39:AH39)</f>
        <v/>
      </c>
      <c r="AJ39" s="26">
        <f>SUM(AC39:AH39)+AI39</f>
        <v/>
      </c>
      <c r="AK39" s="11">
        <f>IF(N39&lt;&gt;0,(AB39-N39)/ABS(N39),0)</f>
        <v/>
      </c>
      <c r="AL39" s="11">
        <f>IF(AB39&lt;&gt;0,(AJ39-AB39)/ABS(AB39),0)</f>
        <v/>
      </c>
    </row>
    <row r="40" ht="13" customHeight="1">
      <c r="A40" s="25" t="inlineStr">
        <is>
          <t xml:space="preserve">    Telephone</t>
        </is>
      </c>
      <c r="B40" s="26" t="n">
        <v>0</v>
      </c>
      <c r="C40" s="26" t="n">
        <v>0</v>
      </c>
      <c r="D40" s="26" t="n">
        <v>0</v>
      </c>
      <c r="E40" s="26" t="n">
        <v>0</v>
      </c>
      <c r="F40" s="26" t="n">
        <v>0</v>
      </c>
      <c r="G40" s="26" t="n">
        <v>0</v>
      </c>
      <c r="H40" s="26" t="n">
        <v>0</v>
      </c>
      <c r="I40" s="26" t="n">
        <v>0</v>
      </c>
      <c r="J40" s="26" t="n">
        <v>0</v>
      </c>
      <c r="K40" s="26" t="n">
        <v>0</v>
      </c>
      <c r="L40" s="26" t="n">
        <v>0</v>
      </c>
      <c r="M40" s="26" t="n">
        <v>0</v>
      </c>
      <c r="N40" s="26">
        <f>SUM(B40:M40)</f>
        <v/>
      </c>
      <c r="O40" s="26" t="n">
        <v>14.2</v>
      </c>
      <c r="P40" s="26" t="n">
        <v>63.62</v>
      </c>
      <c r="Q40" s="26" t="n">
        <v>7.75</v>
      </c>
      <c r="R40" s="26" t="n">
        <v>215.54</v>
      </c>
      <c r="S40" s="26" t="n">
        <v>84.84</v>
      </c>
      <c r="T40" s="26" t="n">
        <v>311.31</v>
      </c>
      <c r="U40" s="26" t="n">
        <v>0</v>
      </c>
      <c r="AA40" s="26">
        <f>SUM(O40:U40)</f>
        <v/>
      </c>
      <c r="AB40" s="26">
        <f>SUM(O40:Z40)</f>
        <v/>
      </c>
      <c r="AC40" s="26" t="n">
        <v>0</v>
      </c>
      <c r="AD40" s="26" t="n">
        <v>0</v>
      </c>
      <c r="AE40" s="26" t="n">
        <v>0</v>
      </c>
      <c r="AF40" s="26" t="n">
        <v>0</v>
      </c>
      <c r="AG40" s="26" t="n">
        <v>0</v>
      </c>
      <c r="AH40" s="26" t="n">
        <v>0</v>
      </c>
      <c r="AI40" s="10">
        <f>SUM(AC40:AH40)</f>
        <v/>
      </c>
      <c r="AJ40" s="26">
        <f>SUM(AC40:AH40)+AI40</f>
        <v/>
      </c>
      <c r="AK40" s="11">
        <f>IF(N40&lt;&gt;0,(AB40-N40)/ABS(N40),0)</f>
        <v/>
      </c>
      <c r="AL40" s="11">
        <f>IF(AB40&lt;&gt;0,(AJ40-AB40)/ABS(AB40),0)</f>
        <v/>
      </c>
    </row>
    <row r="41" ht="13" customHeight="1">
      <c r="A41" s="25" t="inlineStr">
        <is>
          <t xml:space="preserve">    Marketing</t>
        </is>
      </c>
      <c r="B41" s="26" t="n">
        <v>0</v>
      </c>
      <c r="C41" s="26" t="n">
        <v>0</v>
      </c>
      <c r="D41" s="26" t="n">
        <v>0</v>
      </c>
      <c r="E41" s="26" t="n">
        <v>0</v>
      </c>
      <c r="F41" s="26" t="n">
        <v>0</v>
      </c>
      <c r="G41" s="26" t="n">
        <v>0</v>
      </c>
      <c r="H41" s="26" t="n">
        <v>0</v>
      </c>
      <c r="I41" s="26" t="n">
        <v>0</v>
      </c>
      <c r="J41" s="26" t="n">
        <v>0</v>
      </c>
      <c r="K41" s="26" t="n">
        <v>0</v>
      </c>
      <c r="L41" s="26" t="n">
        <v>29.98</v>
      </c>
      <c r="M41" s="26" t="n">
        <v>0</v>
      </c>
      <c r="N41" s="26">
        <f>SUM(B41:M41)</f>
        <v/>
      </c>
      <c r="O41" s="26" t="n">
        <v>0</v>
      </c>
      <c r="P41" s="26" t="n">
        <v>0</v>
      </c>
      <c r="Q41" s="26" t="n">
        <v>0</v>
      </c>
      <c r="R41" s="26" t="n">
        <v>0</v>
      </c>
      <c r="S41" s="26" t="n">
        <v>0</v>
      </c>
      <c r="T41" s="26" t="n">
        <v>0</v>
      </c>
      <c r="U41" s="26" t="n">
        <v>0</v>
      </c>
      <c r="V41" s="26" t="n">
        <v>0</v>
      </c>
      <c r="W41" s="26" t="n">
        <v>0</v>
      </c>
      <c r="X41" s="26" t="n">
        <v>0</v>
      </c>
      <c r="Y41" s="26" t="n">
        <v>0</v>
      </c>
      <c r="Z41" s="26" t="n">
        <v>0</v>
      </c>
      <c r="AA41" s="26">
        <f>SUM(O41:U41)</f>
        <v/>
      </c>
      <c r="AB41" s="26">
        <f>SUM(O41:Z41)</f>
        <v/>
      </c>
      <c r="AC41" s="26" t="n">
        <v>100</v>
      </c>
      <c r="AD41" s="26" t="n">
        <v>100</v>
      </c>
      <c r="AE41" s="26" t="n">
        <v>100</v>
      </c>
      <c r="AF41" s="26" t="n">
        <v>100</v>
      </c>
      <c r="AG41" s="26" t="n">
        <v>100</v>
      </c>
      <c r="AH41" s="26" t="n">
        <v>100</v>
      </c>
      <c r="AI41" s="10">
        <f>SUM(AC41:AH41)</f>
        <v/>
      </c>
      <c r="AJ41" s="26">
        <f>SUM(AC41:AH41)+AI41</f>
        <v/>
      </c>
      <c r="AK41" s="11">
        <f>IF(N41&lt;&gt;0,(AB41-N41)/ABS(N41),0)</f>
        <v/>
      </c>
      <c r="AL41" s="11">
        <f>IF(AB41&lt;&gt;0,(AJ41-AB41)/ABS(AB41),0)</f>
        <v/>
      </c>
    </row>
    <row r="42" ht="13" customHeight="1">
      <c r="A42" s="27" t="inlineStr">
        <is>
          <t>Total Premises &amp; Admin</t>
        </is>
      </c>
      <c r="B42" s="28">
        <f>B33+B34+B35+B36+B37+B38+B39+B40+B41</f>
        <v/>
      </c>
      <c r="C42" s="28">
        <f>C33+C34+C35+C36+C37+C38+C39+C40+C41</f>
        <v/>
      </c>
      <c r="D42" s="28">
        <f>D33+D34+D35+D36+D37+D38+D39+D40+D41</f>
        <v/>
      </c>
      <c r="E42" s="28">
        <f>E33+E34+E35+E36+E37+E38+E39+E40+E41</f>
        <v/>
      </c>
      <c r="F42" s="28">
        <f>F33+F34+F35+F36+F37+F38+F39+F40+F41</f>
        <v/>
      </c>
      <c r="G42" s="28">
        <f>G33+G34+G35+G36+G37+G38+G39+G40+G41</f>
        <v/>
      </c>
      <c r="H42" s="28">
        <f>H33+H34+H35+H36+H37+H38+H39+H40+H41</f>
        <v/>
      </c>
      <c r="I42" s="28">
        <f>I33+I34+I35+I36+I37+I38+I39+I40+I41</f>
        <v/>
      </c>
      <c r="J42" s="28">
        <f>J33+J34+J35+J36+J37+J38+J39+J40+J41</f>
        <v/>
      </c>
      <c r="K42" s="28">
        <f>K33+K34+K35+K36+K37+K38+K39+K40+K41</f>
        <v/>
      </c>
      <c r="L42" s="28">
        <f>L33+L34+L35+L36+L37+L38+L39+L40+L41</f>
        <v/>
      </c>
      <c r="M42" s="28">
        <f>M33+M34+M35+M36+M37+M38+M39+M40+M41</f>
        <v/>
      </c>
      <c r="N42" s="28">
        <f>N33+N34+N35+N36+N37+N38+N39+N40+N41</f>
        <v/>
      </c>
      <c r="O42" s="28">
        <f>O33+O34+O35+O36+O37+O38+O39+O40+O41</f>
        <v/>
      </c>
      <c r="P42" s="28">
        <f>P33+P34+P35+P36+P37+P38+P39+P40+P41</f>
        <v/>
      </c>
      <c r="Q42" s="28">
        <f>Q33+Q34+Q35+Q36+Q37+Q38+Q39+Q40+Q41</f>
        <v/>
      </c>
      <c r="R42" s="28">
        <f>R33+R34+R35+R36+R37+R38+R39+R40+R41</f>
        <v/>
      </c>
      <c r="S42" s="28">
        <f>S33+S34+S35+S36+S37+S38+S39+S40+S41</f>
        <v/>
      </c>
      <c r="T42" s="28">
        <f>T33+T34+T35+T36+T37+T38+T39+T40+T41</f>
        <v/>
      </c>
      <c r="U42" s="28">
        <f>U33+U34+U35+U36+U37+U38+U39+U40+U41</f>
        <v/>
      </c>
      <c r="V42" s="28">
        <f>V33+V34+V35+V36+V37+V38+V39+V40+V41</f>
        <v/>
      </c>
      <c r="W42" s="28">
        <f>W33+W34+W35+W36+W37+W38+W39+W40+W41</f>
        <v/>
      </c>
      <c r="X42" s="28">
        <f>X33+X34+X35+X36+X37+X38+X39+X40+X41</f>
        <v/>
      </c>
      <c r="Y42" s="28">
        <f>Y33+Y34+Y35+Y36+Y37+Y38+Y39+Y40+Y41</f>
        <v/>
      </c>
      <c r="Z42" s="28">
        <f>Z33+Z34+Z35+Z36+Z37+Z38+Z39+Z40+Z41</f>
        <v/>
      </c>
      <c r="AA42" s="28">
        <f>AA33+AA34+AA35+AA36+AA37+AA38+AA39+AA40+AA41</f>
        <v/>
      </c>
      <c r="AB42" s="28">
        <f>AB33+AB34+AB35+AB36+AB37+AB38+AB39+AB40+AB41</f>
        <v/>
      </c>
      <c r="AC42" s="28">
        <f>AC33+AC34+AC35+AC36+AC37+AC38+AC39+AC40+AC41</f>
        <v/>
      </c>
      <c r="AD42" s="28">
        <f>AD33+AD34+AD35+AD36+AD37+AD38+AD39+AD40+AD41</f>
        <v/>
      </c>
      <c r="AE42" s="28">
        <f>AE33+AE34+AE35+AE36+AE37+AE38+AE39+AE40+AE41</f>
        <v/>
      </c>
      <c r="AF42" s="28">
        <f>AF33+AF34+AF35+AF36+AF37+AF38+AF39+AF40+AF41</f>
        <v/>
      </c>
      <c r="AG42" s="28">
        <f>AG33+AG34+AG35+AG36+AG37+AG38+AG39+AG40+AG41</f>
        <v/>
      </c>
      <c r="AH42" s="28">
        <f>AH33+AH34+AH35+AH36+AH37+AH38+AH39+AH40+AH41</f>
        <v/>
      </c>
      <c r="AI42" s="28">
        <f>AI33+AI34+AI35+AI36+AI37+AI38+AI39+AI40+AI41</f>
        <v/>
      </c>
      <c r="AJ42" s="28">
        <f>AJ33+AJ34+AJ35+AJ36+AJ37+AJ38+AJ39+AJ40+AJ41</f>
        <v/>
      </c>
      <c r="AK42" s="11">
        <f>IF(N42&lt;&gt;0,(AB42-N42)/ABS(N42),0)</f>
        <v/>
      </c>
      <c r="AL42" s="11">
        <f>IF(AB42&lt;&gt;0,(AJ42-AB42)/ABS(AB42),0)</f>
        <v/>
      </c>
    </row>
    <row r="43" ht="5" customHeight="1"/>
    <row r="44" ht="13" customHeight="1">
      <c r="A44" s="29" t="inlineStr">
        <is>
          <t>Total Direct Costs</t>
        </is>
      </c>
      <c r="AK44" s="11">
        <f>IF(N44&lt;&gt;0,(AB44-N44)/ABS(N44),0)</f>
        <v/>
      </c>
      <c r="AL44" s="11">
        <f>IF(AB44&lt;&gt;0,(AJ44-AB44)/ABS(AB44),0)</f>
        <v/>
      </c>
    </row>
    <row r="45" ht="5" customHeight="1"/>
    <row r="46" ht="15" customHeight="1">
      <c r="A46" s="30" t="inlineStr">
        <is>
          <t>CONTRIBUTION</t>
        </is>
      </c>
      <c r="B46" s="31">
        <f>B7-B44</f>
        <v/>
      </c>
      <c r="C46" s="31">
        <f>C7-C44</f>
        <v/>
      </c>
      <c r="D46" s="31">
        <f>D7-D44</f>
        <v/>
      </c>
      <c r="E46" s="31">
        <f>E7-E44</f>
        <v/>
      </c>
      <c r="F46" s="31">
        <f>F7-F44</f>
        <v/>
      </c>
      <c r="G46" s="31">
        <f>G7-G44</f>
        <v/>
      </c>
      <c r="H46" s="31">
        <f>H7-H44</f>
        <v/>
      </c>
      <c r="I46" s="31">
        <f>I7-I44</f>
        <v/>
      </c>
      <c r="J46" s="31">
        <f>J7-J44</f>
        <v/>
      </c>
      <c r="K46" s="31">
        <f>K7-K44</f>
        <v/>
      </c>
      <c r="L46" s="31">
        <f>L7-L44</f>
        <v/>
      </c>
      <c r="M46" s="31">
        <f>M7-M44</f>
        <v/>
      </c>
      <c r="N46" s="31">
        <f>N7-N44</f>
        <v/>
      </c>
      <c r="O46" s="31">
        <f>O7-O44</f>
        <v/>
      </c>
      <c r="P46" s="31">
        <f>P7-P44</f>
        <v/>
      </c>
      <c r="Q46" s="31">
        <f>Q7-Q44</f>
        <v/>
      </c>
      <c r="R46" s="31">
        <f>R7-R44</f>
        <v/>
      </c>
      <c r="S46" s="31">
        <f>S7-S44</f>
        <v/>
      </c>
      <c r="T46" s="31">
        <f>T7-T44</f>
        <v/>
      </c>
      <c r="U46" s="31">
        <f>U7-U44</f>
        <v/>
      </c>
      <c r="V46" s="31">
        <f>V7-V44</f>
        <v/>
      </c>
      <c r="W46" s="31">
        <f>W7-W44</f>
        <v/>
      </c>
      <c r="X46" s="31">
        <f>X7-X44</f>
        <v/>
      </c>
      <c r="Y46" s="31">
        <f>Y7-Y44</f>
        <v/>
      </c>
      <c r="Z46" s="31">
        <f>Z7-Z44</f>
        <v/>
      </c>
      <c r="AA46" s="31">
        <f>AA7-AA44</f>
        <v/>
      </c>
      <c r="AB46" s="31">
        <f>AB7-AB44</f>
        <v/>
      </c>
      <c r="AC46" s="31">
        <f>AC7-AC44</f>
        <v/>
      </c>
      <c r="AD46" s="31">
        <f>AD7-AD44</f>
        <v/>
      </c>
      <c r="AE46" s="31">
        <f>AE7-AE44</f>
        <v/>
      </c>
      <c r="AF46" s="31">
        <f>AF7-AF44</f>
        <v/>
      </c>
      <c r="AG46" s="31">
        <f>AG7-AG44</f>
        <v/>
      </c>
      <c r="AH46" s="31">
        <f>AH7-AH44</f>
        <v/>
      </c>
      <c r="AI46" s="31">
        <f>AI7-AI44</f>
        <v/>
      </c>
      <c r="AJ46" s="31">
        <f>AJ7-AJ44</f>
        <v/>
      </c>
      <c r="AK46" s="11">
        <f>IF(N46&lt;&gt;0,(AB46-N46)/ABS(N46),0)</f>
        <v/>
      </c>
      <c r="AL46" s="11">
        <f>IF(AB46&lt;&gt;0,(AJ46-AB46)/ABS(AB46),0)</f>
        <v/>
      </c>
    </row>
  </sheetData>
  <mergeCells count="8">
    <mergeCell ref="A10:AL10"/>
    <mergeCell ref="B1:N1"/>
    <mergeCell ref="A23:AL23"/>
    <mergeCell ref="A32:AL32"/>
    <mergeCell ref="AC1:AJ1"/>
    <mergeCell ref="A9:AL9"/>
    <mergeCell ref="A3:AL3"/>
    <mergeCell ref="O1:A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4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9.5" customWidth="1" min="27" max="27"/>
    <col width="9.5" customWidth="1" min="28" max="28"/>
    <col width="9.5" customWidth="1" min="29" max="29"/>
    <col width="9.5" customWidth="1" min="30" max="30"/>
    <col width="9.5" customWidth="1" min="31" max="31"/>
    <col width="9.5" customWidth="1" min="32" max="32"/>
    <col width="9.5" customWidth="1" min="33" max="33"/>
    <col width="9.5" customWidth="1" min="34" max="34"/>
    <col width="9.5" customWidth="1" min="35" max="35"/>
    <col width="11" customWidth="1" min="36" max="36"/>
    <col width="10" customWidth="1" min="37" max="37"/>
    <col width="10" customWidth="1" min="38" max="38"/>
  </cols>
  <sheetData>
    <row r="1" ht="18" customHeight="1">
      <c r="A1" s="1" t="inlineStr">
        <is>
          <t>Kingsclere</t>
        </is>
      </c>
      <c r="B1" s="2" t="inlineStr">
        <is>
          <t>Actuals 2025</t>
        </is>
      </c>
      <c r="O1" s="2" t="inlineStr">
        <is>
          <t>2026 Actual / Forecast</t>
        </is>
      </c>
      <c r="AC1" s="2" t="inlineStr">
        <is>
          <t>2027 Forecast</t>
        </is>
      </c>
      <c r="AK1" s="3" t="inlineStr">
        <is>
          <t>YoY</t>
        </is>
      </c>
      <c r="AL1" s="3" t="inlineStr">
        <is>
          <t>YoY</t>
        </is>
      </c>
    </row>
    <row r="2" ht="22" customHeight="1">
      <c r="B2" s="4" t="inlineStr">
        <is>
          <t>Jan</t>
        </is>
      </c>
      <c r="C2" s="4" t="inlineStr">
        <is>
          <t>Feb</t>
        </is>
      </c>
      <c r="D2" s="4" t="inlineStr">
        <is>
          <t>Mar</t>
        </is>
      </c>
      <c r="E2" s="4" t="inlineStr">
        <is>
          <t>Apr</t>
        </is>
      </c>
      <c r="F2" s="4" t="inlineStr">
        <is>
          <t>May</t>
        </is>
      </c>
      <c r="G2" s="4" t="inlineStr">
        <is>
          <t>Jun</t>
        </is>
      </c>
      <c r="H2" s="4" t="inlineStr">
        <is>
          <t>Jul</t>
        </is>
      </c>
      <c r="I2" s="4" t="inlineStr">
        <is>
          <t>Aug</t>
        </is>
      </c>
      <c r="J2" s="4" t="inlineStr">
        <is>
          <t>Sep</t>
        </is>
      </c>
      <c r="K2" s="4" t="inlineStr">
        <is>
          <t>Oct</t>
        </is>
      </c>
      <c r="L2" s="4" t="inlineStr">
        <is>
          <t>Nov</t>
        </is>
      </c>
      <c r="M2" s="4" t="inlineStr">
        <is>
          <t>Dec</t>
        </is>
      </c>
      <c r="N2" s="5" t="inlineStr">
        <is>
          <t>FY2025
Total</t>
        </is>
      </c>
      <c r="O2" s="4" t="inlineStr">
        <is>
          <t>Jan</t>
        </is>
      </c>
      <c r="P2" s="4" t="inlineStr">
        <is>
          <t>Feb</t>
        </is>
      </c>
      <c r="Q2" s="4" t="inlineStr">
        <is>
          <t>Mar</t>
        </is>
      </c>
      <c r="R2" s="4" t="inlineStr">
        <is>
          <t>Apr</t>
        </is>
      </c>
      <c r="S2" s="4" t="inlineStr">
        <is>
          <t>May</t>
        </is>
      </c>
      <c r="T2" s="4" t="inlineStr">
        <is>
          <t>Jun</t>
        </is>
      </c>
      <c r="U2" s="4" t="inlineStr">
        <is>
          <t>Jul</t>
        </is>
      </c>
      <c r="V2" s="4" t="inlineStr">
        <is>
          <t>Aug</t>
        </is>
      </c>
      <c r="W2" s="4" t="inlineStr">
        <is>
          <t>Sep</t>
        </is>
      </c>
      <c r="X2" s="4" t="inlineStr">
        <is>
          <t>Oct</t>
        </is>
      </c>
      <c r="Y2" s="4" t="inlineStr">
        <is>
          <t>Nov</t>
        </is>
      </c>
      <c r="Z2" s="4" t="inlineStr">
        <is>
          <t>Dec</t>
        </is>
      </c>
      <c r="AA2" s="4" t="inlineStr">
        <is>
          <t>YTD</t>
        </is>
      </c>
      <c r="AB2" s="5" t="inlineStr">
        <is>
          <t>FY2026
Outlook</t>
        </is>
      </c>
      <c r="AC2" s="4" t="inlineStr">
        <is>
          <t>Jan</t>
        </is>
      </c>
      <c r="AD2" s="4" t="inlineStr">
        <is>
          <t>Feb</t>
        </is>
      </c>
      <c r="AE2" s="4" t="inlineStr">
        <is>
          <t>Mar</t>
        </is>
      </c>
      <c r="AF2" s="4" t="inlineStr">
        <is>
          <t>Apr</t>
        </is>
      </c>
      <c r="AG2" s="4" t="inlineStr">
        <is>
          <t>May</t>
        </is>
      </c>
      <c r="AH2" s="4" t="inlineStr">
        <is>
          <t>Jun</t>
        </is>
      </c>
      <c r="AI2" s="6" t="inlineStr">
        <is>
          <t>Jul-Dec
Proj.</t>
        </is>
      </c>
      <c r="AJ2" s="4" t="inlineStr">
        <is>
          <t>FY2027</t>
        </is>
      </c>
      <c r="AK2" s="6" t="inlineStr">
        <is>
          <t>25→26
%</t>
        </is>
      </c>
      <c r="AL2" s="6" t="inlineStr">
        <is>
          <t>26→27
%</t>
        </is>
      </c>
    </row>
    <row r="3" ht="15" customHeight="1">
      <c r="A3" s="7" t="inlineStr">
        <is>
          <t>INCOME</t>
        </is>
      </c>
    </row>
    <row r="4" ht="13" customHeight="1">
      <c r="A4" s="8" t="inlineStr">
        <is>
          <t xml:space="preserve">    Fee Income Regular</t>
        </is>
      </c>
      <c r="B4" s="9" t="n">
        <v>22870.34</v>
      </c>
      <c r="C4" s="9" t="n">
        <v>20355.4</v>
      </c>
      <c r="D4" s="9" t="n">
        <v>23704.42</v>
      </c>
      <c r="E4" s="9" t="n">
        <v>26731.27</v>
      </c>
      <c r="F4" s="9" t="n">
        <v>24249.3</v>
      </c>
      <c r="G4" s="9" t="n">
        <v>26195.06</v>
      </c>
      <c r="H4" s="9" t="n">
        <v>34918.49</v>
      </c>
      <c r="I4" s="9" t="n">
        <v>29544.89</v>
      </c>
      <c r="J4" s="9" t="n">
        <v>19810.11</v>
      </c>
      <c r="K4" s="9" t="n">
        <v>19723.77</v>
      </c>
      <c r="L4" s="9" t="n">
        <v>17281.63</v>
      </c>
      <c r="M4" s="9" t="n">
        <v>23883.61</v>
      </c>
      <c r="N4" s="9">
        <f>SUM(B4:M4)</f>
        <v/>
      </c>
      <c r="O4" s="9" t="n">
        <v>15245.31</v>
      </c>
      <c r="P4" s="9" t="n">
        <v>15771.12</v>
      </c>
      <c r="Q4" s="9" t="n">
        <v>20469.41999999999</v>
      </c>
      <c r="R4" s="9" t="n">
        <v>22519.66</v>
      </c>
      <c r="S4" s="9" t="n">
        <v>20135.17</v>
      </c>
      <c r="T4" s="9" t="n">
        <v>22751.51</v>
      </c>
      <c r="U4" s="9" t="n">
        <v>32640.36</v>
      </c>
      <c r="AA4" s="9">
        <f>SUM(O4:U4)</f>
        <v/>
      </c>
      <c r="AB4" s="9">
        <f>SUM(O4:Z4)</f>
        <v/>
      </c>
      <c r="AC4" s="9" t="n">
        <v>39926.56</v>
      </c>
      <c r="AD4" s="9" t="n">
        <v>37674.64</v>
      </c>
      <c r="AE4" s="9" t="n">
        <v>44411.48</v>
      </c>
      <c r="AF4" s="9" t="n">
        <v>42605.35</v>
      </c>
      <c r="AG4" s="9" t="n">
        <v>42601.69</v>
      </c>
      <c r="AH4" s="9" t="n">
        <v>43952.64</v>
      </c>
      <c r="AI4" s="10">
        <f>SUM(AC4:AH4)</f>
        <v/>
      </c>
      <c r="AJ4" s="9">
        <f>SUM(AC4:AH4)+AI4</f>
        <v/>
      </c>
      <c r="AK4" s="11">
        <f>IF(N4&lt;&gt;0,(AB4-N4)/ABS(N4),0)</f>
        <v/>
      </c>
      <c r="AL4" s="11">
        <f>IF(AB4&lt;&gt;0,(AJ4-AB4)/ABS(AB4),0)</f>
        <v/>
      </c>
    </row>
    <row r="5" ht="13" customHeight="1">
      <c r="A5" s="8" t="inlineStr">
        <is>
          <t xml:space="preserve">    EEEF Embedded</t>
        </is>
      </c>
      <c r="B5" s="9" t="n">
        <v>6489.72</v>
      </c>
      <c r="C5" s="9" t="n">
        <v>6489.72</v>
      </c>
      <c r="D5" s="9" t="n">
        <v>6776.320000000001</v>
      </c>
      <c r="E5" s="9" t="n">
        <v>7503.04</v>
      </c>
      <c r="F5" s="9" t="n">
        <v>7503.04</v>
      </c>
      <c r="G5" s="9" t="n">
        <v>7503.04</v>
      </c>
      <c r="H5" s="9" t="n">
        <v>15996.92</v>
      </c>
      <c r="I5" s="9" t="n">
        <v>0</v>
      </c>
      <c r="J5" s="9" t="n">
        <v>6466.01</v>
      </c>
      <c r="K5" s="9" t="n">
        <v>6466.01</v>
      </c>
      <c r="L5" s="9" t="n">
        <v>17054.35</v>
      </c>
      <c r="M5" s="9" t="n">
        <v>17215.99</v>
      </c>
      <c r="N5" s="9">
        <f>SUM(B5:M5)</f>
        <v/>
      </c>
      <c r="O5" s="9" t="n">
        <v>11761.35</v>
      </c>
      <c r="P5" s="9" t="n">
        <v>11761.35</v>
      </c>
      <c r="Q5" s="9" t="n">
        <v>14620.91</v>
      </c>
      <c r="R5" s="9" t="n">
        <v>13713.51</v>
      </c>
      <c r="S5" s="9" t="n">
        <v>13713.51</v>
      </c>
      <c r="T5" s="9" t="n">
        <v>13663.92</v>
      </c>
      <c r="U5" s="9" t="n">
        <v>13696.98</v>
      </c>
      <c r="AA5" s="9">
        <f>SUM(O5:U5)</f>
        <v/>
      </c>
      <c r="AB5" s="9">
        <f>SUM(O5:Z5)</f>
        <v/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10">
        <f>SUM(AC5:AH5)</f>
        <v/>
      </c>
      <c r="AJ5" s="9">
        <f>SUM(AC5:AH5)+AI5</f>
        <v/>
      </c>
      <c r="AK5" s="11">
        <f>IF(N5&lt;&gt;0,(AB5-N5)/ABS(N5),0)</f>
        <v/>
      </c>
      <c r="AL5" s="11">
        <f>IF(AB5&lt;&gt;0,(AJ5-AB5)/ABS(AB5),0)</f>
        <v/>
      </c>
    </row>
    <row r="6" ht="13" customHeight="1">
      <c r="A6" s="8" t="inlineStr">
        <is>
          <t xml:space="preserve">    Other Income</t>
        </is>
      </c>
      <c r="B6" s="9" t="n">
        <v>0</v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1724.64</v>
      </c>
      <c r="J6" s="9" t="n">
        <v>0</v>
      </c>
      <c r="K6" s="9" t="n">
        <v>0</v>
      </c>
      <c r="L6" s="9" t="n">
        <v>0</v>
      </c>
      <c r="M6" s="9" t="n">
        <v>0</v>
      </c>
      <c r="N6" s="9">
        <f>SUM(B6:M6)</f>
        <v/>
      </c>
      <c r="O6" s="9" t="n">
        <v>500</v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AA6" s="9">
        <f>SUM(O6:U6)</f>
        <v/>
      </c>
      <c r="AB6" s="9">
        <f>SUM(O6:Z6)</f>
        <v/>
      </c>
      <c r="AC6" s="9" t="n">
        <v>0</v>
      </c>
      <c r="AD6" s="9" t="n">
        <v>0</v>
      </c>
      <c r="AE6" s="9" t="n">
        <v>0</v>
      </c>
      <c r="AF6" s="9" t="n">
        <v>0</v>
      </c>
      <c r="AG6" s="9" t="n">
        <v>0</v>
      </c>
      <c r="AH6" s="9" t="n">
        <v>0</v>
      </c>
      <c r="AI6" s="10">
        <f>SUM(AC6:AH6)</f>
        <v/>
      </c>
      <c r="AJ6" s="9">
        <f>SUM(AC6:AH6)+AI6</f>
        <v/>
      </c>
      <c r="AK6" s="11">
        <f>IF(N6&lt;&gt;0,(AB6-N6)/ABS(N6),0)</f>
        <v/>
      </c>
      <c r="AL6" s="11">
        <f>IF(AB6&lt;&gt;0,(AJ6-AB6)/ABS(AB6),0)</f>
        <v/>
      </c>
    </row>
    <row r="7" ht="13" customHeight="1">
      <c r="A7" s="12" t="inlineStr">
        <is>
          <t>Total Income</t>
        </is>
      </c>
      <c r="B7" s="13">
        <f>B4+B5+B6</f>
        <v/>
      </c>
      <c r="C7" s="13">
        <f>C4+C5+C6</f>
        <v/>
      </c>
      <c r="D7" s="13">
        <f>D4+D5+D6</f>
        <v/>
      </c>
      <c r="E7" s="13">
        <f>E4+E5+E6</f>
        <v/>
      </c>
      <c r="F7" s="13">
        <f>F4+F5+F6</f>
        <v/>
      </c>
      <c r="G7" s="13">
        <f>G4+G5+G6</f>
        <v/>
      </c>
      <c r="H7" s="13">
        <f>H4+H5+H6</f>
        <v/>
      </c>
      <c r="I7" s="13">
        <f>I4+I5+I6</f>
        <v/>
      </c>
      <c r="J7" s="13">
        <f>J4+J5+J6</f>
        <v/>
      </c>
      <c r="K7" s="13">
        <f>K4+K5+K6</f>
        <v/>
      </c>
      <c r="L7" s="13">
        <f>L4+L5+L6</f>
        <v/>
      </c>
      <c r="M7" s="13">
        <f>M4+M5+M6</f>
        <v/>
      </c>
      <c r="N7" s="13">
        <f>N4+N5+N6</f>
        <v/>
      </c>
      <c r="O7" s="13">
        <f>O4+O5+O6</f>
        <v/>
      </c>
      <c r="P7" s="13">
        <f>P4+P5+P6</f>
        <v/>
      </c>
      <c r="Q7" s="13">
        <f>Q4+Q5+Q6</f>
        <v/>
      </c>
      <c r="R7" s="13">
        <f>R4+R5+R6</f>
        <v/>
      </c>
      <c r="S7" s="13">
        <f>S4+S5+S6</f>
        <v/>
      </c>
      <c r="T7" s="13">
        <f>T4+T5+T6</f>
        <v/>
      </c>
      <c r="U7" s="13">
        <f>U4+U5+U6</f>
        <v/>
      </c>
      <c r="V7" s="13">
        <f>V4+V5+V6</f>
        <v/>
      </c>
      <c r="W7" s="13">
        <f>W4+W5+W6</f>
        <v/>
      </c>
      <c r="X7" s="13">
        <f>X4+X5+X6</f>
        <v/>
      </c>
      <c r="Y7" s="13">
        <f>Y4+Y5+Y6</f>
        <v/>
      </c>
      <c r="Z7" s="13">
        <f>Z4+Z5+Z6</f>
        <v/>
      </c>
      <c r="AA7" s="13">
        <f>AA4+AA5+AA6</f>
        <v/>
      </c>
      <c r="AB7" s="13">
        <f>AB4+AB5+AB6</f>
        <v/>
      </c>
      <c r="AC7" s="13">
        <f>AC4+AC5+AC6</f>
        <v/>
      </c>
      <c r="AD7" s="13">
        <f>AD4+AD5+AD6</f>
        <v/>
      </c>
      <c r="AE7" s="13">
        <f>AE4+AE5+AE6</f>
        <v/>
      </c>
      <c r="AF7" s="13">
        <f>AF4+AF5+AF6</f>
        <v/>
      </c>
      <c r="AG7" s="13">
        <f>AG4+AG5+AG6</f>
        <v/>
      </c>
      <c r="AH7" s="13">
        <f>AH4+AH5+AH6</f>
        <v/>
      </c>
      <c r="AI7" s="13">
        <f>AI4+AI5+AI6</f>
        <v/>
      </c>
      <c r="AJ7" s="13">
        <f>AJ4+AJ5+AJ6</f>
        <v/>
      </c>
      <c r="AK7" s="11">
        <f>IF(N7&lt;&gt;0,(AB7-N7)/ABS(N7),0)</f>
        <v/>
      </c>
      <c r="AL7" s="11">
        <f>IF(AB7&lt;&gt;0,(AJ7-AB7)/ABS(AB7),0)</f>
        <v/>
      </c>
    </row>
    <row r="8" ht="5" customHeight="1"/>
    <row r="9" ht="15" customHeight="1">
      <c r="A9" s="7" t="inlineStr">
        <is>
          <t>DIRECT COSTS</t>
        </is>
      </c>
    </row>
    <row r="10" ht="13" customHeight="1">
      <c r="A10" s="14" t="inlineStr">
        <is>
          <t>Personnel</t>
        </is>
      </c>
    </row>
    <row r="11" ht="13" customHeight="1">
      <c r="A11" s="15" t="inlineStr">
        <is>
          <t xml:space="preserve">    Nursery Salaries</t>
        </is>
      </c>
      <c r="B11" s="16" t="n">
        <v>13592.8</v>
      </c>
      <c r="C11" s="16" t="n">
        <v>16596.28</v>
      </c>
      <c r="D11" s="16" t="n">
        <v>16290.85</v>
      </c>
      <c r="E11" s="16" t="n">
        <v>16097.89</v>
      </c>
      <c r="F11" s="16" t="n">
        <v>16253.33</v>
      </c>
      <c r="G11" s="16" t="n">
        <v>16542.65</v>
      </c>
      <c r="H11" s="16" t="n">
        <v>16564.15</v>
      </c>
      <c r="I11" s="16" t="n">
        <v>15091.52</v>
      </c>
      <c r="J11" s="16" t="n">
        <v>15920.49</v>
      </c>
      <c r="K11" s="16" t="n">
        <v>15616.67</v>
      </c>
      <c r="L11" s="16" t="n">
        <v>15962.02</v>
      </c>
      <c r="M11" s="16" t="n">
        <v>14849.14</v>
      </c>
      <c r="N11" s="16">
        <f>SUM(B11:M11)</f>
        <v/>
      </c>
      <c r="O11" s="16" t="n">
        <v>20041.17</v>
      </c>
      <c r="P11" s="16" t="n">
        <v>18133.19</v>
      </c>
      <c r="Q11" s="16" t="n">
        <v>15924.14</v>
      </c>
      <c r="R11" s="16" t="n">
        <v>16140.24</v>
      </c>
      <c r="S11" s="16" t="n">
        <v>15928.26</v>
      </c>
      <c r="T11" s="16" t="n">
        <v>17171.98</v>
      </c>
      <c r="U11" s="16" t="n">
        <v>16231.3</v>
      </c>
      <c r="AA11" s="16">
        <f>SUM(O11:U11)</f>
        <v/>
      </c>
      <c r="AB11" s="16">
        <f>SUM(O11:Z11)</f>
        <v/>
      </c>
      <c r="AC11" s="16" t="n">
        <v>16231.3</v>
      </c>
      <c r="AD11" s="16" t="n">
        <v>16231.3</v>
      </c>
      <c r="AE11" s="16" t="n">
        <v>16231.3</v>
      </c>
      <c r="AF11" s="16" t="n">
        <v>16231.3</v>
      </c>
      <c r="AG11" s="16" t="n">
        <v>16231.3</v>
      </c>
      <c r="AH11" s="16" t="n">
        <v>16231.3</v>
      </c>
      <c r="AI11" s="10">
        <f>SUM(AC11:AH11)</f>
        <v/>
      </c>
      <c r="AJ11" s="16">
        <f>SUM(AC11:AH11)+AI11</f>
        <v/>
      </c>
      <c r="AK11" s="11">
        <f>IF(N11&lt;&gt;0,(AB11-N11)/ABS(N11),0)</f>
        <v/>
      </c>
      <c r="AL11" s="11">
        <f>IF(AB11&lt;&gt;0,(AJ11-AB11)/ABS(AB11),0)</f>
        <v/>
      </c>
    </row>
    <row r="12" ht="13" customHeight="1">
      <c r="A12" s="15" t="inlineStr">
        <is>
          <t xml:space="preserve">    Nursery NI</t>
        </is>
      </c>
      <c r="B12" s="16" t="n">
        <v>996.45</v>
      </c>
      <c r="C12" s="16" t="n">
        <v>1024.17</v>
      </c>
      <c r="D12" s="16" t="n">
        <v>1057.44</v>
      </c>
      <c r="E12" s="16" t="n">
        <v>1332.69</v>
      </c>
      <c r="F12" s="16" t="n">
        <v>1575.02</v>
      </c>
      <c r="G12" s="16" t="n">
        <v>1629.49</v>
      </c>
      <c r="H12" s="16" t="n">
        <v>1641.72</v>
      </c>
      <c r="I12" s="16" t="n">
        <v>1473.5</v>
      </c>
      <c r="J12" s="16" t="n">
        <v>1458.61</v>
      </c>
      <c r="K12" s="16" t="n">
        <v>1759.2</v>
      </c>
      <c r="L12" s="16" t="n">
        <v>1810.4</v>
      </c>
      <c r="M12" s="16" t="n">
        <v>1642.86</v>
      </c>
      <c r="N12" s="16">
        <f>SUM(B12:M12)</f>
        <v/>
      </c>
      <c r="O12" s="16" t="n">
        <v>2355.2</v>
      </c>
      <c r="P12" s="16" t="n">
        <v>2183.14</v>
      </c>
      <c r="Q12" s="16" t="n">
        <v>1783.6</v>
      </c>
      <c r="R12" s="16" t="n">
        <v>1777.72</v>
      </c>
      <c r="S12" s="16" t="n">
        <v>1615.62</v>
      </c>
      <c r="T12" s="16" t="n">
        <v>1700.15</v>
      </c>
      <c r="U12" s="16" t="n">
        <v>1608.31</v>
      </c>
      <c r="AA12" s="16">
        <f>SUM(O12:U12)</f>
        <v/>
      </c>
      <c r="AB12" s="16">
        <f>SUM(O12:Z12)</f>
        <v/>
      </c>
      <c r="AC12" s="16" t="n">
        <v>1608.31</v>
      </c>
      <c r="AD12" s="16" t="n">
        <v>1608.31</v>
      </c>
      <c r="AE12" s="16" t="n">
        <v>1608.31</v>
      </c>
      <c r="AF12" s="16" t="n">
        <v>1608.31</v>
      </c>
      <c r="AG12" s="16" t="n">
        <v>1608.31</v>
      </c>
      <c r="AH12" s="16" t="n">
        <v>1608.31</v>
      </c>
      <c r="AI12" s="10">
        <f>SUM(AC12:AH12)</f>
        <v/>
      </c>
      <c r="AJ12" s="16">
        <f>SUM(AC12:AH12)+AI12</f>
        <v/>
      </c>
      <c r="AK12" s="11">
        <f>IF(N12&lt;&gt;0,(AB12-N12)/ABS(N12),0)</f>
        <v/>
      </c>
      <c r="AL12" s="11">
        <f>IF(AB12&lt;&gt;0,(AJ12-AB12)/ABS(AB12),0)</f>
        <v/>
      </c>
    </row>
    <row r="13" ht="13" customHeight="1">
      <c r="A13" s="15" t="inlineStr">
        <is>
          <t xml:space="preserve">    Nursery Pension</t>
        </is>
      </c>
      <c r="B13" s="16" t="n">
        <v>245.17</v>
      </c>
      <c r="C13" s="16" t="n">
        <v>251.2</v>
      </c>
      <c r="D13" s="16" t="n">
        <v>244.04</v>
      </c>
      <c r="E13" s="16" t="n">
        <v>193.55</v>
      </c>
      <c r="F13" s="16" t="n">
        <v>236.58</v>
      </c>
      <c r="G13" s="16" t="n">
        <v>310.42</v>
      </c>
      <c r="H13" s="16" t="n">
        <v>312.87</v>
      </c>
      <c r="I13" s="16" t="n">
        <v>279.23</v>
      </c>
      <c r="J13" s="16" t="n">
        <v>273.16</v>
      </c>
      <c r="K13" s="16" t="n">
        <v>280.62</v>
      </c>
      <c r="L13" s="16" t="n">
        <v>291.55</v>
      </c>
      <c r="M13" s="16" t="n">
        <v>252.72</v>
      </c>
      <c r="N13" s="16">
        <f>SUM(B13:M13)</f>
        <v/>
      </c>
      <c r="O13" s="16" t="n">
        <v>293.1</v>
      </c>
      <c r="P13" s="16" t="n">
        <v>253.75</v>
      </c>
      <c r="Q13" s="16" t="n">
        <v>295.81</v>
      </c>
      <c r="R13" s="16" t="n">
        <v>306.68</v>
      </c>
      <c r="S13" s="16" t="n">
        <v>301.09</v>
      </c>
      <c r="T13" s="16" t="n">
        <v>321.47</v>
      </c>
      <c r="U13" s="16" t="n">
        <v>303.09</v>
      </c>
      <c r="AA13" s="16">
        <f>SUM(O13:U13)</f>
        <v/>
      </c>
      <c r="AB13" s="16">
        <f>SUM(O13:Z13)</f>
        <v/>
      </c>
      <c r="AC13" s="16" t="n">
        <v>303.09</v>
      </c>
      <c r="AD13" s="16" t="n">
        <v>303.09</v>
      </c>
      <c r="AE13" s="16" t="n">
        <v>303.09</v>
      </c>
      <c r="AF13" s="16" t="n">
        <v>303.09</v>
      </c>
      <c r="AG13" s="16" t="n">
        <v>303.09</v>
      </c>
      <c r="AH13" s="16" t="n">
        <v>303.09</v>
      </c>
      <c r="AI13" s="10">
        <f>SUM(AC13:AH13)</f>
        <v/>
      </c>
      <c r="AJ13" s="16">
        <f>SUM(AC13:AH13)+AI13</f>
        <v/>
      </c>
      <c r="AK13" s="11">
        <f>IF(N13&lt;&gt;0,(AB13-N13)/ABS(N13),0)</f>
        <v/>
      </c>
      <c r="AL13" s="11">
        <f>IF(AB13&lt;&gt;0,(AJ13-AB13)/ABS(AB13),0)</f>
        <v/>
      </c>
    </row>
    <row r="14" ht="13" customHeight="1">
      <c r="A14" s="15" t="inlineStr">
        <is>
          <t xml:space="preserve">    Uniform</t>
        </is>
      </c>
      <c r="B14" s="16" t="n">
        <v>50.22</v>
      </c>
      <c r="C14" s="16" t="n">
        <v>0</v>
      </c>
      <c r="D14" s="16" t="n">
        <v>0</v>
      </c>
      <c r="E14" s="16" t="n">
        <v>0</v>
      </c>
      <c r="F14" s="16" t="n">
        <v>57.3</v>
      </c>
      <c r="G14" s="16" t="n">
        <v>0</v>
      </c>
      <c r="H14" s="16" t="n">
        <v>160.14</v>
      </c>
      <c r="I14" s="16" t="n">
        <v>0</v>
      </c>
      <c r="J14" s="16" t="n">
        <v>185.22</v>
      </c>
      <c r="K14" s="16" t="n">
        <v>70.14</v>
      </c>
      <c r="L14" s="16" t="n">
        <v>28.68</v>
      </c>
      <c r="M14" s="16" t="n">
        <v>7.99</v>
      </c>
      <c r="N14" s="16">
        <f>SUM(B14:M14)</f>
        <v/>
      </c>
      <c r="O14" s="16" t="n">
        <v>116.64</v>
      </c>
      <c r="P14" s="16" t="n">
        <v>0</v>
      </c>
      <c r="Q14" s="16" t="n">
        <v>0</v>
      </c>
      <c r="R14" s="16" t="n">
        <v>0</v>
      </c>
      <c r="S14" s="16" t="n">
        <v>124.2</v>
      </c>
      <c r="T14" s="16" t="n">
        <v>27.98</v>
      </c>
      <c r="U14" s="16" t="n">
        <v>0</v>
      </c>
      <c r="AA14" s="16">
        <f>SUM(O14:U14)</f>
        <v/>
      </c>
      <c r="AB14" s="16">
        <f>SUM(O14:Z14)</f>
        <v/>
      </c>
      <c r="AC14" s="16" t="n">
        <v>50</v>
      </c>
      <c r="AD14" s="16" t="n">
        <v>50</v>
      </c>
      <c r="AE14" s="16" t="n">
        <v>50</v>
      </c>
      <c r="AF14" s="16" t="n">
        <v>50</v>
      </c>
      <c r="AG14" s="16" t="n">
        <v>50</v>
      </c>
      <c r="AH14" s="16" t="n">
        <v>50</v>
      </c>
      <c r="AI14" s="10">
        <f>SUM(AC14:AH14)</f>
        <v/>
      </c>
      <c r="AJ14" s="16">
        <f>SUM(AC14:AH14)+AI14</f>
        <v/>
      </c>
      <c r="AK14" s="11">
        <f>IF(N14&lt;&gt;0,(AB14-N14)/ABS(N14),0)</f>
        <v/>
      </c>
      <c r="AL14" s="11">
        <f>IF(AB14&lt;&gt;0,(AJ14-AB14)/ABS(AB14),0)</f>
        <v/>
      </c>
    </row>
    <row r="15" ht="13" customHeight="1">
      <c r="A15" s="15" t="inlineStr">
        <is>
          <t xml:space="preserve">    Training</t>
        </is>
      </c>
      <c r="B15" s="16" t="n">
        <v>56</v>
      </c>
      <c r="C15" s="16" t="n">
        <v>0</v>
      </c>
      <c r="D15" s="16" t="n">
        <v>0</v>
      </c>
      <c r="E15" s="16" t="n">
        <v>46.2</v>
      </c>
      <c r="F15" s="16" t="n">
        <v>18</v>
      </c>
      <c r="G15" s="16" t="n">
        <v>20</v>
      </c>
      <c r="H15" s="16" t="n">
        <v>0</v>
      </c>
      <c r="I15" s="16" t="n">
        <v>70.5</v>
      </c>
      <c r="J15" s="16" t="n">
        <v>0</v>
      </c>
      <c r="K15" s="16" t="n">
        <v>0</v>
      </c>
      <c r="L15" s="16" t="n">
        <v>542.9</v>
      </c>
      <c r="M15" s="16" t="n">
        <v>0</v>
      </c>
      <c r="N15" s="16">
        <f>SUM(B15:M15)</f>
        <v/>
      </c>
      <c r="O15" s="16" t="n">
        <v>0</v>
      </c>
      <c r="P15" s="16" t="n">
        <v>191.99</v>
      </c>
      <c r="Q15" s="16" t="n">
        <v>336</v>
      </c>
      <c r="R15" s="16" t="n">
        <v>0</v>
      </c>
      <c r="S15" s="16" t="n">
        <v>0</v>
      </c>
      <c r="T15" s="16" t="n">
        <v>24</v>
      </c>
      <c r="U15" s="16" t="n">
        <v>0</v>
      </c>
      <c r="AA15" s="16">
        <f>SUM(O15:U15)</f>
        <v/>
      </c>
      <c r="AB15" s="16">
        <f>SUM(O15:Z15)</f>
        <v/>
      </c>
      <c r="AC15" s="16" t="n">
        <v>50</v>
      </c>
      <c r="AD15" s="16" t="n">
        <v>50</v>
      </c>
      <c r="AE15" s="16" t="n">
        <v>50</v>
      </c>
      <c r="AF15" s="16" t="n">
        <v>50</v>
      </c>
      <c r="AG15" s="16" t="n">
        <v>50</v>
      </c>
      <c r="AH15" s="16" t="n">
        <v>50</v>
      </c>
      <c r="AI15" s="10">
        <f>SUM(AC15:AH15)</f>
        <v/>
      </c>
      <c r="AJ15" s="16">
        <f>SUM(AC15:AH15)+AI15</f>
        <v/>
      </c>
      <c r="AK15" s="11">
        <f>IF(N15&lt;&gt;0,(AB15-N15)/ABS(N15),0)</f>
        <v/>
      </c>
      <c r="AL15" s="11">
        <f>IF(AB15&lt;&gt;0,(AJ15-AB15)/ABS(AB15),0)</f>
        <v/>
      </c>
    </row>
    <row r="16" ht="13" customHeight="1">
      <c r="A16" s="15" t="inlineStr">
        <is>
          <t xml:space="preserve">    Staff Welfare</t>
        </is>
      </c>
      <c r="B16" s="16" t="n">
        <v>84.36</v>
      </c>
      <c r="C16" s="16" t="n">
        <v>530.3099999999999</v>
      </c>
      <c r="D16" s="16" t="n">
        <v>35.12</v>
      </c>
      <c r="E16" s="16" t="n">
        <v>69.5</v>
      </c>
      <c r="F16" s="16" t="n">
        <v>103.74</v>
      </c>
      <c r="G16" s="16" t="n">
        <v>23.19</v>
      </c>
      <c r="H16" s="16" t="n">
        <v>104.06</v>
      </c>
      <c r="I16" s="16" t="n">
        <v>211.05</v>
      </c>
      <c r="J16" s="16" t="n">
        <v>87.06</v>
      </c>
      <c r="K16" s="16" t="n">
        <v>323.12</v>
      </c>
      <c r="L16" s="16" t="n">
        <v>235.68</v>
      </c>
      <c r="M16" s="16" t="n">
        <v>142.07</v>
      </c>
      <c r="N16" s="16">
        <f>SUM(B16:M16)</f>
        <v/>
      </c>
      <c r="O16" s="16" t="n">
        <v>186.99</v>
      </c>
      <c r="P16" s="16" t="n">
        <v>196.28</v>
      </c>
      <c r="Q16" s="16" t="n">
        <v>26.69</v>
      </c>
      <c r="R16" s="16" t="n">
        <v>65</v>
      </c>
      <c r="S16" s="16" t="n">
        <v>48.38</v>
      </c>
      <c r="T16" s="16" t="n">
        <v>191.64</v>
      </c>
      <c r="U16" s="16" t="n">
        <v>231.86</v>
      </c>
      <c r="AA16" s="16">
        <f>SUM(O16:U16)</f>
        <v/>
      </c>
      <c r="AB16" s="16">
        <f>SUM(O16:Z16)</f>
        <v/>
      </c>
      <c r="AC16" s="16" t="n">
        <v>80</v>
      </c>
      <c r="AD16" s="16" t="n">
        <v>80</v>
      </c>
      <c r="AE16" s="16" t="n">
        <v>80</v>
      </c>
      <c r="AF16" s="16" t="n">
        <v>80</v>
      </c>
      <c r="AG16" s="16" t="n">
        <v>80</v>
      </c>
      <c r="AH16" s="16" t="n">
        <v>80</v>
      </c>
      <c r="AI16" s="10">
        <f>SUM(AC16:AH16)</f>
        <v/>
      </c>
      <c r="AJ16" s="16">
        <f>SUM(AC16:AH16)+AI16</f>
        <v/>
      </c>
      <c r="AK16" s="11">
        <f>IF(N16&lt;&gt;0,(AB16-N16)/ABS(N16),0)</f>
        <v/>
      </c>
      <c r="AL16" s="11">
        <f>IF(AB16&lt;&gt;0,(AJ16-AB16)/ABS(AB16),0)</f>
        <v/>
      </c>
    </row>
    <row r="17" ht="13" customHeight="1">
      <c r="A17" s="15" t="inlineStr">
        <is>
          <t xml:space="preserve">    Recruitment</t>
        </is>
      </c>
      <c r="B17" s="16" t="n">
        <v>0</v>
      </c>
      <c r="C17" s="16" t="n">
        <v>0</v>
      </c>
      <c r="D17" s="16" t="n">
        <v>0</v>
      </c>
      <c r="E17" s="16" t="n">
        <v>0</v>
      </c>
      <c r="F17" s="16" t="n">
        <v>0</v>
      </c>
      <c r="G17" s="16" t="n">
        <v>0</v>
      </c>
      <c r="H17" s="16" t="n">
        <v>0</v>
      </c>
      <c r="I17" s="16" t="n">
        <v>0</v>
      </c>
      <c r="J17" s="16" t="n">
        <v>0</v>
      </c>
      <c r="K17" s="16" t="n">
        <v>0</v>
      </c>
      <c r="L17" s="16" t="n">
        <v>0</v>
      </c>
      <c r="M17" s="16" t="n">
        <v>0</v>
      </c>
      <c r="N17" s="16">
        <f>SUM(B17:M17)</f>
        <v/>
      </c>
      <c r="O17" s="16" t="n">
        <v>0</v>
      </c>
      <c r="P17" s="16" t="n">
        <v>0</v>
      </c>
      <c r="Q17" s="16" t="n">
        <v>0</v>
      </c>
      <c r="R17" s="16" t="n">
        <v>0</v>
      </c>
      <c r="S17" s="16" t="n">
        <v>0</v>
      </c>
      <c r="T17" s="16" t="n">
        <v>0</v>
      </c>
      <c r="U17" s="16" t="n">
        <v>0</v>
      </c>
      <c r="V17" s="16" t="n">
        <v>0</v>
      </c>
      <c r="W17" s="16" t="n">
        <v>0</v>
      </c>
      <c r="X17" s="16" t="n">
        <v>0</v>
      </c>
      <c r="Y17" s="16" t="n">
        <v>0</v>
      </c>
      <c r="Z17" s="16" t="n">
        <v>0</v>
      </c>
      <c r="AA17" s="16">
        <f>SUM(O17:U17)</f>
        <v/>
      </c>
      <c r="AB17" s="16">
        <f>SUM(O17:Z17)</f>
        <v/>
      </c>
      <c r="AC17" s="16" t="n">
        <v>0</v>
      </c>
      <c r="AD17" s="16" t="n">
        <v>0</v>
      </c>
      <c r="AE17" s="16" t="n">
        <v>0</v>
      </c>
      <c r="AF17" s="16" t="n">
        <v>0</v>
      </c>
      <c r="AG17" s="16" t="n">
        <v>0</v>
      </c>
      <c r="AH17" s="16" t="n">
        <v>0</v>
      </c>
      <c r="AI17" s="10">
        <f>SUM(AC17:AH17)</f>
        <v/>
      </c>
      <c r="AJ17" s="16">
        <f>SUM(AC17:AH17)+AI17</f>
        <v/>
      </c>
      <c r="AK17" s="11">
        <f>IF(N17&lt;&gt;0,(AB17-N17)/ABS(N17),0)</f>
        <v/>
      </c>
      <c r="AL17" s="11">
        <f>IF(AB17&lt;&gt;0,(AJ17-AB17)/ABS(AB17),0)</f>
        <v/>
      </c>
    </row>
    <row r="18" ht="13" customHeight="1">
      <c r="A18" s="15" t="inlineStr">
        <is>
          <t xml:space="preserve">    Rewards &amp; Recognition</t>
        </is>
      </c>
      <c r="B18" s="16" t="n">
        <v>0</v>
      </c>
      <c r="C18" s="16" t="n">
        <v>0</v>
      </c>
      <c r="D18" s="16" t="n">
        <v>0</v>
      </c>
      <c r="E18" s="16" t="n">
        <v>0</v>
      </c>
      <c r="F18" s="16" t="n">
        <v>0</v>
      </c>
      <c r="G18" s="16" t="n">
        <v>0</v>
      </c>
      <c r="H18" s="16" t="n">
        <v>13.9</v>
      </c>
      <c r="I18" s="16" t="n">
        <v>55.46</v>
      </c>
      <c r="J18" s="16" t="n">
        <v>0</v>
      </c>
      <c r="K18" s="16" t="n">
        <v>0</v>
      </c>
      <c r="L18" s="16" t="n">
        <v>72.23999999999999</v>
      </c>
      <c r="M18" s="16" t="n">
        <v>0</v>
      </c>
      <c r="N18" s="16">
        <f>SUM(B18:M18)</f>
        <v/>
      </c>
      <c r="O18" s="16" t="n">
        <v>75.96000000000001</v>
      </c>
      <c r="P18" s="16" t="n">
        <v>51.55</v>
      </c>
      <c r="Q18" s="16" t="n">
        <v>37.88</v>
      </c>
      <c r="R18" s="16" t="n">
        <v>3.99</v>
      </c>
      <c r="S18" s="16" t="n">
        <v>0</v>
      </c>
      <c r="T18" s="16" t="n">
        <v>0</v>
      </c>
      <c r="U18" s="16" t="n">
        <v>82.06</v>
      </c>
      <c r="AA18" s="16">
        <f>SUM(O18:U18)</f>
        <v/>
      </c>
      <c r="AB18" s="16">
        <f>SUM(O18:Z18)</f>
        <v/>
      </c>
      <c r="AC18" s="16" t="n">
        <v>33</v>
      </c>
      <c r="AD18" s="16" t="n">
        <v>33</v>
      </c>
      <c r="AE18" s="16" t="n">
        <v>33</v>
      </c>
      <c r="AF18" s="16" t="n">
        <v>33</v>
      </c>
      <c r="AG18" s="16" t="n">
        <v>33</v>
      </c>
      <c r="AH18" s="16" t="n">
        <v>33</v>
      </c>
      <c r="AI18" s="10">
        <f>SUM(AC18:AH18)</f>
        <v/>
      </c>
      <c r="AJ18" s="16">
        <f>SUM(AC18:AH18)+AI18</f>
        <v/>
      </c>
      <c r="AK18" s="11">
        <f>IF(N18&lt;&gt;0,(AB18-N18)/ABS(N18),0)</f>
        <v/>
      </c>
      <c r="AL18" s="11">
        <f>IF(AB18&lt;&gt;0,(AJ18-AB18)/ABS(AB18),0)</f>
        <v/>
      </c>
    </row>
    <row r="19" ht="13" customHeight="1">
      <c r="A19" s="15" t="inlineStr">
        <is>
          <t xml:space="preserve">    Temps</t>
        </is>
      </c>
      <c r="B19" s="16" t="n">
        <v>0</v>
      </c>
      <c r="C19" s="16" t="n">
        <v>0</v>
      </c>
      <c r="D19" s="16" t="n">
        <v>0</v>
      </c>
      <c r="E19" s="16" t="n">
        <v>0</v>
      </c>
      <c r="F19" s="16" t="n">
        <v>0</v>
      </c>
      <c r="G19" s="16" t="n">
        <v>0</v>
      </c>
      <c r="H19" s="16" t="n">
        <v>0</v>
      </c>
      <c r="I19" s="16" t="n">
        <v>0</v>
      </c>
      <c r="J19" s="16" t="n">
        <v>1410.72</v>
      </c>
      <c r="K19" s="16" t="n">
        <v>483.23</v>
      </c>
      <c r="L19" s="16" t="n">
        <v>0</v>
      </c>
      <c r="M19" s="16" t="n">
        <v>0</v>
      </c>
      <c r="N19" s="16">
        <f>SUM(B19:M19)</f>
        <v/>
      </c>
      <c r="O19" s="16" t="n">
        <v>0</v>
      </c>
      <c r="P19" s="16" t="n">
        <v>0</v>
      </c>
      <c r="Q19" s="16" t="n">
        <v>0</v>
      </c>
      <c r="R19" s="16" t="n">
        <v>0</v>
      </c>
      <c r="S19" s="16" t="n">
        <v>0</v>
      </c>
      <c r="T19" s="16" t="n">
        <v>0</v>
      </c>
      <c r="U19" s="16" t="n">
        <v>0</v>
      </c>
      <c r="V19" s="16" t="n">
        <v>0</v>
      </c>
      <c r="W19" s="16" t="n">
        <v>0</v>
      </c>
      <c r="X19" s="16" t="n">
        <v>0</v>
      </c>
      <c r="Y19" s="16" t="n">
        <v>0</v>
      </c>
      <c r="Z19" s="16" t="n">
        <v>0</v>
      </c>
      <c r="AA19" s="16">
        <f>SUM(O19:U19)</f>
        <v/>
      </c>
      <c r="AB19" s="16">
        <f>SUM(O19:Z19)</f>
        <v/>
      </c>
      <c r="AC19" s="16" t="n">
        <v>0</v>
      </c>
      <c r="AD19" s="16" t="n">
        <v>0</v>
      </c>
      <c r="AE19" s="16" t="n">
        <v>0</v>
      </c>
      <c r="AF19" s="16" t="n">
        <v>0</v>
      </c>
      <c r="AG19" s="16" t="n">
        <v>0</v>
      </c>
      <c r="AH19" s="16" t="n">
        <v>0</v>
      </c>
      <c r="AI19" s="10">
        <f>SUM(AC19:AH19)</f>
        <v/>
      </c>
      <c r="AJ19" s="16">
        <f>SUM(AC19:AH19)+AI19</f>
        <v/>
      </c>
      <c r="AK19" s="11">
        <f>IF(N19&lt;&gt;0,(AB19-N19)/ABS(N19),0)</f>
        <v/>
      </c>
      <c r="AL19" s="11">
        <f>IF(AB19&lt;&gt;0,(AJ19-AB19)/ABS(AB19),0)</f>
        <v/>
      </c>
    </row>
    <row r="20" ht="13" customHeight="1">
      <c r="A20" s="17" t="inlineStr">
        <is>
          <t>Total Personnel</t>
        </is>
      </c>
      <c r="B20" s="18">
        <f>B11+B12+B13+B14+B15+B16+B17+B18+B19</f>
        <v/>
      </c>
      <c r="C20" s="18">
        <f>C11+C12+C13+C14+C15+C16+C17+C18+C19</f>
        <v/>
      </c>
      <c r="D20" s="18">
        <f>D11+D12+D13+D14+D15+D16+D17+D18+D19</f>
        <v/>
      </c>
      <c r="E20" s="18">
        <f>E11+E12+E13+E14+E15+E16+E17+E18+E19</f>
        <v/>
      </c>
      <c r="F20" s="18">
        <f>F11+F12+F13+F14+F15+F16+F17+F18+F19</f>
        <v/>
      </c>
      <c r="G20" s="18">
        <f>G11+G12+G13+G14+G15+G16+G17+G18+G19</f>
        <v/>
      </c>
      <c r="H20" s="18">
        <f>H11+H12+H13+H14+H15+H16+H17+H18+H19</f>
        <v/>
      </c>
      <c r="I20" s="18">
        <f>I11+I12+I13+I14+I15+I16+I17+I18+I19</f>
        <v/>
      </c>
      <c r="J20" s="18">
        <f>J11+J12+J13+J14+J15+J16+J17+J18+J19</f>
        <v/>
      </c>
      <c r="K20" s="18">
        <f>K11+K12+K13+K14+K15+K16+K17+K18+K19</f>
        <v/>
      </c>
      <c r="L20" s="18">
        <f>L11+L12+L13+L14+L15+L16+L17+L18+L19</f>
        <v/>
      </c>
      <c r="M20" s="18">
        <f>M11+M12+M13+M14+M15+M16+M17+M18+M19</f>
        <v/>
      </c>
      <c r="N20" s="18">
        <f>N11+N12+N13+N14+N15+N16+N17+N18+N19</f>
        <v/>
      </c>
      <c r="O20" s="18">
        <f>O11+O12+O13+O14+O15+O16+O17+O18+O19</f>
        <v/>
      </c>
      <c r="P20" s="18">
        <f>P11+P12+P13+P14+P15+P16+P17+P18+P19</f>
        <v/>
      </c>
      <c r="Q20" s="18">
        <f>Q11+Q12+Q13+Q14+Q15+Q16+Q17+Q18+Q19</f>
        <v/>
      </c>
      <c r="R20" s="18">
        <f>R11+R12+R13+R14+R15+R16+R17+R18+R19</f>
        <v/>
      </c>
      <c r="S20" s="18">
        <f>S11+S12+S13+S14+S15+S16+S17+S18+S19</f>
        <v/>
      </c>
      <c r="T20" s="18">
        <f>T11+T12+T13+T14+T15+T16+T17+T18+T19</f>
        <v/>
      </c>
      <c r="U20" s="18">
        <f>U11+U12+U13+U14+U15+U16+U17+U18+U19</f>
        <v/>
      </c>
      <c r="V20" s="18">
        <f>V11+V12+V13+V14+V15+V16+V17+V18+V19</f>
        <v/>
      </c>
      <c r="W20" s="18">
        <f>W11+W12+W13+W14+W15+W16+W17+W18+W19</f>
        <v/>
      </c>
      <c r="X20" s="18">
        <f>X11+X12+X13+X14+X15+X16+X17+X18+X19</f>
        <v/>
      </c>
      <c r="Y20" s="18">
        <f>Y11+Y12+Y13+Y14+Y15+Y16+Y17+Y18+Y19</f>
        <v/>
      </c>
      <c r="Z20" s="18">
        <f>Z11+Z12+Z13+Z14+Z15+Z16+Z17+Z18+Z19</f>
        <v/>
      </c>
      <c r="AA20" s="18">
        <f>AA11+AA12+AA13+AA14+AA15+AA16+AA17+AA18+AA19</f>
        <v/>
      </c>
      <c r="AB20" s="18">
        <f>AB11+AB12+AB13+AB14+AB15+AB16+AB17+AB18+AB19</f>
        <v/>
      </c>
      <c r="AC20" s="18">
        <f>AC11+AC12+AC13+AC14+AC15+AC16+AC17+AC18+AC19</f>
        <v/>
      </c>
      <c r="AD20" s="18">
        <f>AD11+AD12+AD13+AD14+AD15+AD16+AD17+AD18+AD19</f>
        <v/>
      </c>
      <c r="AE20" s="18">
        <f>AE11+AE12+AE13+AE14+AE15+AE16+AE17+AE18+AE19</f>
        <v/>
      </c>
      <c r="AF20" s="18">
        <f>AF11+AF12+AF13+AF14+AF15+AF16+AF17+AF18+AF19</f>
        <v/>
      </c>
      <c r="AG20" s="18">
        <f>AG11+AG12+AG13+AG14+AG15+AG16+AG17+AG18+AG19</f>
        <v/>
      </c>
      <c r="AH20" s="18">
        <f>AH11+AH12+AH13+AH14+AH15+AH16+AH17+AH18+AH19</f>
        <v/>
      </c>
      <c r="AI20" s="18">
        <f>AI11+AI12+AI13+AI14+AI15+AI16+AI17+AI18+AI19</f>
        <v/>
      </c>
      <c r="AJ20" s="18">
        <f>AJ11+AJ12+AJ13+AJ14+AJ15+AJ16+AJ17+AJ18+AJ19</f>
        <v/>
      </c>
      <c r="AK20" s="11">
        <f>IF(N20&lt;&gt;0,(AB20-N20)/ABS(N20),0)</f>
        <v/>
      </c>
      <c r="AL20" s="11">
        <f>IF(AB20&lt;&gt;0,(AJ20-AB20)/ABS(AB20),0)</f>
        <v/>
      </c>
    </row>
    <row r="21" ht="13" customHeight="1">
      <c r="A21" s="19" t="inlineStr">
        <is>
          <t xml:space="preserve">    Sal:Rev</t>
        </is>
      </c>
      <c r="B21" s="20">
        <f>IF(B7&gt;0,B20/B7,0)</f>
        <v/>
      </c>
      <c r="C21" s="20">
        <f>IF(C7&gt;0,C20/C7,0)</f>
        <v/>
      </c>
      <c r="D21" s="20">
        <f>IF(D7&gt;0,D20/D7,0)</f>
        <v/>
      </c>
      <c r="E21" s="20">
        <f>IF(E7&gt;0,E20/E7,0)</f>
        <v/>
      </c>
      <c r="F21" s="20">
        <f>IF(F7&gt;0,F20/F7,0)</f>
        <v/>
      </c>
      <c r="G21" s="20">
        <f>IF(G7&gt;0,G20/G7,0)</f>
        <v/>
      </c>
      <c r="H21" s="20">
        <f>IF(H7&gt;0,H20/H7,0)</f>
        <v/>
      </c>
      <c r="I21" s="20">
        <f>IF(I7&gt;0,I20/I7,0)</f>
        <v/>
      </c>
      <c r="J21" s="20">
        <f>IF(J7&gt;0,J20/J7,0)</f>
        <v/>
      </c>
      <c r="K21" s="20">
        <f>IF(K7&gt;0,K20/K7,0)</f>
        <v/>
      </c>
      <c r="L21" s="20">
        <f>IF(L7&gt;0,L20/L7,0)</f>
        <v/>
      </c>
      <c r="M21" s="20">
        <f>IF(M7&gt;0,M20/M7,0)</f>
        <v/>
      </c>
      <c r="N21" s="20">
        <f>IF(N7&gt;0,N20/N7,0)</f>
        <v/>
      </c>
      <c r="O21" s="20">
        <f>IF(O7&gt;0,O20/O7,0)</f>
        <v/>
      </c>
      <c r="P21" s="20">
        <f>IF(P7&gt;0,P20/P7,0)</f>
        <v/>
      </c>
      <c r="Q21" s="20">
        <f>IF(Q7&gt;0,Q20/Q7,0)</f>
        <v/>
      </c>
      <c r="R21" s="20">
        <f>IF(R7&gt;0,R20/R7,0)</f>
        <v/>
      </c>
      <c r="S21" s="20">
        <f>IF(S7&gt;0,S20/S7,0)</f>
        <v/>
      </c>
      <c r="T21" s="20">
        <f>IF(T7&gt;0,T20/T7,0)</f>
        <v/>
      </c>
      <c r="U21" s="20">
        <f>IF(U7&gt;0,U20/U7,0)</f>
        <v/>
      </c>
      <c r="V21" s="20">
        <f>IF(V7&gt;0,V20/V7,0)</f>
        <v/>
      </c>
      <c r="W21" s="20">
        <f>IF(W7&gt;0,W20/W7,0)</f>
        <v/>
      </c>
      <c r="X21" s="20">
        <f>IF(X7&gt;0,X20/X7,0)</f>
        <v/>
      </c>
      <c r="Y21" s="20">
        <f>IF(Y7&gt;0,Y20/Y7,0)</f>
        <v/>
      </c>
      <c r="Z21" s="20">
        <f>IF(Z7&gt;0,Z20/Z7,0)</f>
        <v/>
      </c>
      <c r="AA21" s="20">
        <f>IF(AA7&gt;0,AA20/AA7,0)</f>
        <v/>
      </c>
      <c r="AB21" s="20">
        <f>IF(AB7&gt;0,AB20/AB7,0)</f>
        <v/>
      </c>
      <c r="AC21" s="20">
        <f>IF(AC7&gt;0,AC20/AC7,0)</f>
        <v/>
      </c>
      <c r="AD21" s="20">
        <f>IF(AD7&gt;0,AD20/AD7,0)</f>
        <v/>
      </c>
      <c r="AE21" s="20">
        <f>IF(AE7&gt;0,AE20/AE7,0)</f>
        <v/>
      </c>
      <c r="AF21" s="20">
        <f>IF(AF7&gt;0,AF20/AF7,0)</f>
        <v/>
      </c>
      <c r="AG21" s="20">
        <f>IF(AG7&gt;0,AG20/AG7,0)</f>
        <v/>
      </c>
      <c r="AH21" s="20">
        <f>IF(AH7&gt;0,AH20/AH7,0)</f>
        <v/>
      </c>
      <c r="AI21" s="20">
        <f>IF(AI7&gt;0,AI20/AI7,0)</f>
        <v/>
      </c>
      <c r="AJ21" s="20">
        <f>IF(AJ7&gt;0,AJ20/AJ7,0)</f>
        <v/>
      </c>
    </row>
    <row r="22" ht="5" customHeight="1"/>
    <row r="23" ht="13" customHeight="1">
      <c r="A23" s="14" t="inlineStr">
        <is>
          <t>Childcare</t>
        </is>
      </c>
    </row>
    <row r="24" ht="13" customHeight="1">
      <c r="A24" s="21" t="inlineStr">
        <is>
          <t xml:space="preserve">    Catering Costs</t>
        </is>
      </c>
      <c r="N24" s="22">
        <f>SUM(B24:M24)</f>
        <v/>
      </c>
      <c r="O24" s="22" t="n">
        <v>869.5599999999999</v>
      </c>
      <c r="P24" s="22" t="n">
        <v>1160.27</v>
      </c>
      <c r="Q24" s="22" t="n">
        <v>913.08</v>
      </c>
      <c r="R24" s="22" t="n">
        <v>1206.8</v>
      </c>
      <c r="S24" s="22" t="n">
        <v>1861.79</v>
      </c>
      <c r="T24" s="22" t="n">
        <v>1094.42</v>
      </c>
      <c r="U24" s="22" t="n">
        <v>1315.06</v>
      </c>
      <c r="V24" s="22" t="n">
        <v>929.55</v>
      </c>
      <c r="W24" s="22" t="n">
        <v>1152.06</v>
      </c>
      <c r="X24" s="22" t="n">
        <v>1189.11</v>
      </c>
      <c r="Y24" s="22" t="n">
        <v>1197.21</v>
      </c>
      <c r="Z24" s="22" t="n">
        <v>1163.67</v>
      </c>
      <c r="AA24" s="22">
        <f>SUM(O24:U24)</f>
        <v/>
      </c>
      <c r="AB24" s="22">
        <f>SUM(O24:Z24)</f>
        <v/>
      </c>
      <c r="AC24" s="22" t="n">
        <v>1197.7968</v>
      </c>
      <c r="AD24" s="22" t="n">
        <v>1130.2392</v>
      </c>
      <c r="AE24" s="22" t="n">
        <v>1332.3444</v>
      </c>
      <c r="AF24" s="22" t="n">
        <v>1278.1605</v>
      </c>
      <c r="AG24" s="22" t="n">
        <v>1278.0507</v>
      </c>
      <c r="AH24" s="22" t="n">
        <v>1318.5792</v>
      </c>
      <c r="AI24" s="10">
        <f>SUM(AC24:AH24)</f>
        <v/>
      </c>
      <c r="AJ24" s="22">
        <f>SUM(AC24:AH24)+AI24</f>
        <v/>
      </c>
      <c r="AK24" s="11">
        <f>IF(N24&lt;&gt;0,(AB24-N24)/ABS(N24),0)</f>
        <v/>
      </c>
      <c r="AL24" s="11">
        <f>IF(AB24&lt;&gt;0,(AJ24-AB24)/ABS(AB24),0)</f>
        <v/>
      </c>
    </row>
    <row r="25" ht="13" customHeight="1">
      <c r="A25" s="21" t="inlineStr">
        <is>
          <t xml:space="preserve">    Toys and Games</t>
        </is>
      </c>
      <c r="B25" s="22" t="n">
        <v>67.66</v>
      </c>
      <c r="C25" s="22" t="n">
        <v>15.5</v>
      </c>
      <c r="D25" s="22" t="n">
        <v>101.01</v>
      </c>
      <c r="E25" s="22" t="n">
        <v>148.99</v>
      </c>
      <c r="F25" s="22" t="n">
        <v>199.49</v>
      </c>
      <c r="G25" s="22" t="n">
        <v>26.91</v>
      </c>
      <c r="H25" s="22" t="n">
        <v>73.44</v>
      </c>
      <c r="I25" s="22" t="n">
        <v>738</v>
      </c>
      <c r="J25" s="22" t="n">
        <v>21.8</v>
      </c>
      <c r="K25" s="22" t="n">
        <v>28.47</v>
      </c>
      <c r="L25" s="22" t="n">
        <v>0</v>
      </c>
      <c r="M25" s="22" t="n">
        <v>113.69</v>
      </c>
      <c r="N25" s="22">
        <f>SUM(B25:M25)</f>
        <v/>
      </c>
      <c r="O25" s="22" t="n">
        <v>0</v>
      </c>
      <c r="P25" s="22" t="n">
        <v>260.81</v>
      </c>
      <c r="Q25" s="22" t="n">
        <v>38.98</v>
      </c>
      <c r="R25" s="22" t="n">
        <v>69.72999999999999</v>
      </c>
      <c r="S25" s="22" t="n">
        <v>77.25999999999999</v>
      </c>
      <c r="T25" s="22" t="n">
        <v>44.32</v>
      </c>
      <c r="U25" s="22" t="n">
        <v>57.69</v>
      </c>
      <c r="AA25" s="22">
        <f>SUM(O25:U25)</f>
        <v/>
      </c>
      <c r="AB25" s="22">
        <f>SUM(O25:Z25)</f>
        <v/>
      </c>
      <c r="AC25" s="22" t="n">
        <v>50</v>
      </c>
      <c r="AD25" s="22" t="n">
        <v>50</v>
      </c>
      <c r="AE25" s="22" t="n">
        <v>50</v>
      </c>
      <c r="AF25" s="22" t="n">
        <v>50</v>
      </c>
      <c r="AG25" s="22" t="n">
        <v>50</v>
      </c>
      <c r="AH25" s="22" t="n">
        <v>50</v>
      </c>
      <c r="AI25" s="10">
        <f>SUM(AC25:AH25)</f>
        <v/>
      </c>
      <c r="AJ25" s="22">
        <f>SUM(AC25:AH25)+AI25</f>
        <v/>
      </c>
      <c r="AK25" s="11">
        <f>IF(N25&lt;&gt;0,(AB25-N25)/ABS(N25),0)</f>
        <v/>
      </c>
      <c r="AL25" s="11">
        <f>IF(AB25&lt;&gt;0,(AJ25-AB25)/ABS(AB25),0)</f>
        <v/>
      </c>
    </row>
    <row r="26" ht="13" customHeight="1">
      <c r="A26" s="21" t="inlineStr">
        <is>
          <t xml:space="preserve">    Art Materials</t>
        </is>
      </c>
      <c r="N26" s="22">
        <f>SUM(B26:M26)</f>
        <v/>
      </c>
      <c r="O26" s="22" t="n">
        <v>94.07000000000001</v>
      </c>
      <c r="P26" s="22" t="n">
        <v>60.89</v>
      </c>
      <c r="Q26" s="22" t="n">
        <v>64.42999999999999</v>
      </c>
      <c r="R26" s="22" t="n">
        <v>32.94</v>
      </c>
      <c r="S26" s="22" t="n">
        <v>8.48</v>
      </c>
      <c r="T26" s="22" t="n">
        <v>333.48</v>
      </c>
      <c r="U26" s="22" t="n">
        <v>27.94</v>
      </c>
      <c r="V26" s="22" t="n">
        <v>123.94</v>
      </c>
      <c r="W26" s="22" t="n">
        <v>153.608</v>
      </c>
      <c r="X26" s="22" t="n">
        <v>158.548</v>
      </c>
      <c r="Y26" s="22" t="n">
        <v>159.628</v>
      </c>
      <c r="Z26" s="22" t="n">
        <v>155.156</v>
      </c>
      <c r="AA26" s="22">
        <f>SUM(O26:U26)</f>
        <v/>
      </c>
      <c r="AB26" s="22">
        <f>SUM(O26:Z26)</f>
        <v/>
      </c>
      <c r="AC26" s="22" t="n">
        <v>159.70624</v>
      </c>
      <c r="AD26" s="22" t="n">
        <v>150.69856</v>
      </c>
      <c r="AE26" s="22" t="n">
        <v>177.64592</v>
      </c>
      <c r="AF26" s="22" t="n">
        <v>170.4214</v>
      </c>
      <c r="AG26" s="22" t="n">
        <v>170.40676</v>
      </c>
      <c r="AH26" s="22" t="n">
        <v>175.81056</v>
      </c>
      <c r="AI26" s="10">
        <f>SUM(AC26:AH26)</f>
        <v/>
      </c>
      <c r="AJ26" s="22">
        <f>SUM(AC26:AH26)+AI26</f>
        <v/>
      </c>
      <c r="AK26" s="11">
        <f>IF(N26&lt;&gt;0,(AB26-N26)/ABS(N26),0)</f>
        <v/>
      </c>
      <c r="AL26" s="11">
        <f>IF(AB26&lt;&gt;0,(AJ26-AB26)/ABS(AB26),0)</f>
        <v/>
      </c>
    </row>
    <row r="27" ht="13" customHeight="1">
      <c r="A27" s="21" t="inlineStr">
        <is>
          <t xml:space="preserve">    Nursery Stationery</t>
        </is>
      </c>
      <c r="B27" s="22" t="n">
        <v>36.35</v>
      </c>
      <c r="C27" s="22" t="n">
        <v>28.59</v>
      </c>
      <c r="D27" s="22" t="n">
        <v>0</v>
      </c>
      <c r="E27" s="22" t="n">
        <v>16.15</v>
      </c>
      <c r="F27" s="22" t="n">
        <v>21.12</v>
      </c>
      <c r="G27" s="22" t="n">
        <v>0</v>
      </c>
      <c r="H27" s="22" t="n">
        <v>14.52</v>
      </c>
      <c r="I27" s="22" t="n">
        <v>18.44</v>
      </c>
      <c r="J27" s="22" t="n">
        <v>7.88</v>
      </c>
      <c r="K27" s="22" t="n">
        <v>0</v>
      </c>
      <c r="L27" s="22" t="n">
        <v>4.99</v>
      </c>
      <c r="M27" s="22" t="n">
        <v>57.13</v>
      </c>
      <c r="N27" s="22">
        <f>SUM(B27:M27)</f>
        <v/>
      </c>
      <c r="O27" s="22" t="n">
        <v>60.4</v>
      </c>
      <c r="P27" s="22" t="n">
        <v>7.69</v>
      </c>
      <c r="Q27" s="22" t="n">
        <v>0</v>
      </c>
      <c r="R27" s="22" t="n">
        <v>24.32</v>
      </c>
      <c r="S27" s="22" t="n">
        <v>0</v>
      </c>
      <c r="T27" s="22" t="n">
        <v>0</v>
      </c>
      <c r="U27" s="22" t="n">
        <v>0</v>
      </c>
      <c r="AA27" s="22">
        <f>SUM(O27:U27)</f>
        <v/>
      </c>
      <c r="AB27" s="22">
        <f>SUM(O27:Z27)</f>
        <v/>
      </c>
      <c r="AC27" s="22" t="n">
        <v>75</v>
      </c>
      <c r="AD27" s="22" t="n">
        <v>75</v>
      </c>
      <c r="AE27" s="22" t="n">
        <v>75</v>
      </c>
      <c r="AF27" s="22" t="n">
        <v>75</v>
      </c>
      <c r="AG27" s="22" t="n">
        <v>75</v>
      </c>
      <c r="AH27" s="22" t="n">
        <v>75</v>
      </c>
      <c r="AI27" s="10">
        <f>SUM(AC27:AH27)</f>
        <v/>
      </c>
      <c r="AJ27" s="22">
        <f>SUM(AC27:AH27)+AI27</f>
        <v/>
      </c>
      <c r="AK27" s="11">
        <f>IF(N27&lt;&gt;0,(AB27-N27)/ABS(N27),0)</f>
        <v/>
      </c>
      <c r="AL27" s="11">
        <f>IF(AB27&lt;&gt;0,(AJ27-AB27)/ABS(AB27),0)</f>
        <v/>
      </c>
    </row>
    <row r="28" ht="13" customHeight="1">
      <c r="A28" s="21" t="inlineStr">
        <is>
          <t xml:space="preserve">    Nursery Equipment</t>
        </is>
      </c>
      <c r="B28" s="22" t="n">
        <v>37.02</v>
      </c>
      <c r="C28" s="22" t="n">
        <v>112.99</v>
      </c>
      <c r="D28" s="22" t="n">
        <v>13.99</v>
      </c>
      <c r="E28" s="22" t="n">
        <v>53.88</v>
      </c>
      <c r="F28" s="22" t="n">
        <v>650.1800000000001</v>
      </c>
      <c r="G28" s="22" t="n">
        <v>57.55</v>
      </c>
      <c r="H28" s="22" t="n">
        <v>14.48</v>
      </c>
      <c r="I28" s="22" t="n">
        <v>16</v>
      </c>
      <c r="J28" s="22" t="n">
        <v>121.89</v>
      </c>
      <c r="K28" s="22" t="n">
        <v>116.71</v>
      </c>
      <c r="L28" s="22" t="n">
        <v>84.96000000000001</v>
      </c>
      <c r="M28" s="22" t="n">
        <v>51.93</v>
      </c>
      <c r="N28" s="22">
        <f>SUM(B28:M28)</f>
        <v/>
      </c>
      <c r="O28" s="22" t="n">
        <v>40.43</v>
      </c>
      <c r="P28" s="22" t="n">
        <v>0</v>
      </c>
      <c r="Q28" s="22" t="n">
        <v>0</v>
      </c>
      <c r="R28" s="22" t="n">
        <v>171.31</v>
      </c>
      <c r="S28" s="22" t="n">
        <v>0</v>
      </c>
      <c r="T28" s="22" t="n">
        <v>54.31</v>
      </c>
      <c r="U28" s="22" t="n">
        <v>78.27000000000001</v>
      </c>
      <c r="AA28" s="22">
        <f>SUM(O28:U28)</f>
        <v/>
      </c>
      <c r="AB28" s="22">
        <f>SUM(O28:Z28)</f>
        <v/>
      </c>
      <c r="AC28" s="22" t="n">
        <v>50</v>
      </c>
      <c r="AD28" s="22" t="n">
        <v>50</v>
      </c>
      <c r="AE28" s="22" t="n">
        <v>50</v>
      </c>
      <c r="AF28" s="22" t="n">
        <v>50</v>
      </c>
      <c r="AG28" s="22" t="n">
        <v>50</v>
      </c>
      <c r="AH28" s="22" t="n">
        <v>50</v>
      </c>
      <c r="AI28" s="10">
        <f>SUM(AC28:AH28)</f>
        <v/>
      </c>
      <c r="AJ28" s="22">
        <f>SUM(AC28:AH28)+AI28</f>
        <v/>
      </c>
      <c r="AK28" s="11">
        <f>IF(N28&lt;&gt;0,(AB28-N28)/ABS(N28),0)</f>
        <v/>
      </c>
      <c r="AL28" s="11">
        <f>IF(AB28&lt;&gt;0,(AJ28-AB28)/ABS(AB28),0)</f>
        <v/>
      </c>
    </row>
    <row r="29" ht="13" customHeight="1">
      <c r="A29" s="21" t="inlineStr">
        <is>
          <t xml:space="preserve">    Nursery Consumables</t>
        </is>
      </c>
      <c r="N29" s="22">
        <f>SUM(B29:M29)</f>
        <v/>
      </c>
      <c r="O29" s="22" t="n">
        <v>77.58</v>
      </c>
      <c r="P29" s="22" t="n">
        <v>87.23</v>
      </c>
      <c r="Q29" s="22" t="n">
        <v>115.59</v>
      </c>
      <c r="R29" s="22" t="n">
        <v>129.41</v>
      </c>
      <c r="S29" s="22" t="n">
        <v>308.1199999999999</v>
      </c>
      <c r="T29" s="22" t="n">
        <v>279.57</v>
      </c>
      <c r="U29" s="22" t="n">
        <v>251.68</v>
      </c>
      <c r="V29" s="22" t="n">
        <v>185.91</v>
      </c>
      <c r="W29" s="22" t="n">
        <v>230.412</v>
      </c>
      <c r="X29" s="22" t="n">
        <v>237.822</v>
      </c>
      <c r="Y29" s="22" t="n">
        <v>239.442</v>
      </c>
      <c r="Z29" s="22" t="n">
        <v>232.734</v>
      </c>
      <c r="AA29" s="22">
        <f>SUM(O29:U29)</f>
        <v/>
      </c>
      <c r="AB29" s="22">
        <f>SUM(O29:Z29)</f>
        <v/>
      </c>
      <c r="AC29" s="22" t="n">
        <v>239.55936</v>
      </c>
      <c r="AD29" s="22" t="n">
        <v>226.04784</v>
      </c>
      <c r="AE29" s="22" t="n">
        <v>266.46888</v>
      </c>
      <c r="AF29" s="22" t="n">
        <v>255.6321</v>
      </c>
      <c r="AG29" s="22" t="n">
        <v>255.61014</v>
      </c>
      <c r="AH29" s="22" t="n">
        <v>263.71584</v>
      </c>
      <c r="AI29" s="10">
        <f>SUM(AC29:AH29)</f>
        <v/>
      </c>
      <c r="AJ29" s="22">
        <f>SUM(AC29:AH29)+AI29</f>
        <v/>
      </c>
      <c r="AK29" s="11">
        <f>IF(N29&lt;&gt;0,(AB29-N29)/ABS(N29),0)</f>
        <v/>
      </c>
      <c r="AL29" s="11">
        <f>IF(AB29&lt;&gt;0,(AJ29-AB29)/ABS(AB29),0)</f>
        <v/>
      </c>
    </row>
    <row r="30" ht="13" customHeight="1">
      <c r="A30" s="23" t="inlineStr">
        <is>
          <t>Total Childcare Costs</t>
        </is>
      </c>
      <c r="B30" s="24">
        <f>B24+B25+B26+B27+B28+B29</f>
        <v/>
      </c>
      <c r="C30" s="24">
        <f>C24+C25+C26+C27+C28+C29</f>
        <v/>
      </c>
      <c r="D30" s="24">
        <f>D24+D25+D26+D27+D28+D29</f>
        <v/>
      </c>
      <c r="E30" s="24">
        <f>E24+E25+E26+E27+E28+E29</f>
        <v/>
      </c>
      <c r="F30" s="24">
        <f>F24+F25+F26+F27+F28+F29</f>
        <v/>
      </c>
      <c r="G30" s="24">
        <f>G24+G25+G26+G27+G28+G29</f>
        <v/>
      </c>
      <c r="H30" s="24">
        <f>H24+H25+H26+H27+H28+H29</f>
        <v/>
      </c>
      <c r="I30" s="24">
        <f>I24+I25+I26+I27+I28+I29</f>
        <v/>
      </c>
      <c r="J30" s="24">
        <f>J24+J25+J26+J27+J28+J29</f>
        <v/>
      </c>
      <c r="K30" s="24">
        <f>K24+K25+K26+K27+K28+K29</f>
        <v/>
      </c>
      <c r="L30" s="24">
        <f>L24+L25+L26+L27+L28+L29</f>
        <v/>
      </c>
      <c r="M30" s="24">
        <f>M24+M25+M26+M27+M28+M29</f>
        <v/>
      </c>
      <c r="N30" s="24">
        <f>N24+N25+N26+N27+N28+N29</f>
        <v/>
      </c>
      <c r="O30" s="24">
        <f>O24+O25+O26+O27+O28+O29</f>
        <v/>
      </c>
      <c r="P30" s="24">
        <f>P24+P25+P26+P27+P28+P29</f>
        <v/>
      </c>
      <c r="Q30" s="24">
        <f>Q24+Q25+Q26+Q27+Q28+Q29</f>
        <v/>
      </c>
      <c r="R30" s="24">
        <f>R24+R25+R26+R27+R28+R29</f>
        <v/>
      </c>
      <c r="S30" s="24">
        <f>S24+S25+S26+S27+S28+S29</f>
        <v/>
      </c>
      <c r="T30" s="24">
        <f>T24+T25+T26+T27+T28+T29</f>
        <v/>
      </c>
      <c r="U30" s="24">
        <f>U24+U25+U26+U27+U28+U29</f>
        <v/>
      </c>
      <c r="V30" s="24">
        <f>V24+V25+V26+V27+V28+V29</f>
        <v/>
      </c>
      <c r="W30" s="24">
        <f>W24+W25+W26+W27+W28+W29</f>
        <v/>
      </c>
      <c r="X30" s="24">
        <f>X24+X25+X26+X27+X28+X29</f>
        <v/>
      </c>
      <c r="Y30" s="24">
        <f>Y24+Y25+Y26+Y27+Y28+Y29</f>
        <v/>
      </c>
      <c r="Z30" s="24">
        <f>Z24+Z25+Z26+Z27+Z28+Z29</f>
        <v/>
      </c>
      <c r="AA30" s="24">
        <f>AA24+AA25+AA26+AA27+AA28+AA29</f>
        <v/>
      </c>
      <c r="AB30" s="24">
        <f>AB24+AB25+AB26+AB27+AB28+AB29</f>
        <v/>
      </c>
      <c r="AC30" s="24">
        <f>AC24+AC25+AC26+AC27+AC28+AC29</f>
        <v/>
      </c>
      <c r="AD30" s="24">
        <f>AD24+AD25+AD26+AD27+AD28+AD29</f>
        <v/>
      </c>
      <c r="AE30" s="24">
        <f>AE24+AE25+AE26+AE27+AE28+AE29</f>
        <v/>
      </c>
      <c r="AF30" s="24">
        <f>AF24+AF25+AF26+AF27+AF28+AF29</f>
        <v/>
      </c>
      <c r="AG30" s="24">
        <f>AG24+AG25+AG26+AG27+AG28+AG29</f>
        <v/>
      </c>
      <c r="AH30" s="24">
        <f>AH24+AH25+AH26+AH27+AH28+AH29</f>
        <v/>
      </c>
      <c r="AI30" s="24">
        <f>AI24+AI25+AI26+AI27+AI28+AI29</f>
        <v/>
      </c>
      <c r="AJ30" s="24">
        <f>AJ24+AJ25+AJ26+AJ27+AJ28+AJ29</f>
        <v/>
      </c>
      <c r="AK30" s="11">
        <f>IF(N30&lt;&gt;0,(AB30-N30)/ABS(N30),0)</f>
        <v/>
      </c>
      <c r="AL30" s="11">
        <f>IF(AB30&lt;&gt;0,(AJ30-AB30)/ABS(AB30),0)</f>
        <v/>
      </c>
    </row>
    <row r="31" ht="5" customHeight="1"/>
    <row r="32" ht="13" customHeight="1">
      <c r="A32" s="14" t="inlineStr">
        <is>
          <t>Premises &amp; Admin</t>
        </is>
      </c>
    </row>
    <row r="33" ht="13" customHeight="1">
      <c r="A33" s="25" t="inlineStr">
        <is>
          <t xml:space="preserve">    Rent</t>
        </is>
      </c>
      <c r="B33" s="26" t="n">
        <v>0</v>
      </c>
      <c r="C33" s="26" t="n">
        <v>0</v>
      </c>
      <c r="D33" s="26" t="n">
        <v>0</v>
      </c>
      <c r="E33" s="26" t="n">
        <v>0</v>
      </c>
      <c r="F33" s="26" t="n">
        <v>0</v>
      </c>
      <c r="G33" s="26" t="n">
        <v>0</v>
      </c>
      <c r="H33" s="26" t="n">
        <v>0</v>
      </c>
      <c r="I33" s="26" t="n">
        <v>0</v>
      </c>
      <c r="J33" s="26" t="n">
        <v>0</v>
      </c>
      <c r="K33" s="26" t="n">
        <v>0</v>
      </c>
      <c r="L33" s="26" t="n">
        <v>0</v>
      </c>
      <c r="M33" s="26" t="n">
        <v>0</v>
      </c>
      <c r="N33" s="26">
        <f>SUM(B33:M33)</f>
        <v/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  <c r="V33" s="26" t="n">
        <v>0</v>
      </c>
      <c r="W33" s="26" t="n">
        <v>0</v>
      </c>
      <c r="X33" s="26" t="n">
        <v>0</v>
      </c>
      <c r="Y33" s="26" t="n">
        <v>0</v>
      </c>
      <c r="Z33" s="26" t="n">
        <v>0</v>
      </c>
      <c r="AA33" s="26">
        <f>SUM(O33:U33)</f>
        <v/>
      </c>
      <c r="AB33" s="26">
        <f>SUM(O33:Z33)</f>
        <v/>
      </c>
      <c r="AC33" s="26" t="n">
        <v>0</v>
      </c>
      <c r="AD33" s="26" t="n">
        <v>0</v>
      </c>
      <c r="AE33" s="26" t="n">
        <v>0</v>
      </c>
      <c r="AF33" s="26" t="n">
        <v>0</v>
      </c>
      <c r="AG33" s="26" t="n">
        <v>0</v>
      </c>
      <c r="AH33" s="26" t="n">
        <v>0</v>
      </c>
      <c r="AI33" s="10">
        <f>SUM(AC33:AH33)</f>
        <v/>
      </c>
      <c r="AJ33" s="26">
        <f>SUM(AC33:AH33)+AI33</f>
        <v/>
      </c>
      <c r="AK33" s="11">
        <f>IF(N33&lt;&gt;0,(AB33-N33)/ABS(N33),0)</f>
        <v/>
      </c>
      <c r="AL33" s="11">
        <f>IF(AB33&lt;&gt;0,(AJ33-AB33)/ABS(AB33),0)</f>
        <v/>
      </c>
    </row>
    <row r="34" ht="13" customHeight="1">
      <c r="A34" s="25" t="inlineStr">
        <is>
          <t xml:space="preserve">    Business Rates</t>
        </is>
      </c>
      <c r="B34" s="26" t="n">
        <v>758.9</v>
      </c>
      <c r="C34" s="26" t="n">
        <v>758.9</v>
      </c>
      <c r="D34" s="26" t="n">
        <v>758.9</v>
      </c>
      <c r="E34" s="26" t="n">
        <v>758.9</v>
      </c>
      <c r="F34" s="26" t="n">
        <v>758.9</v>
      </c>
      <c r="G34" s="26" t="n">
        <v>758.9</v>
      </c>
      <c r="H34" s="26" t="n">
        <v>758.9</v>
      </c>
      <c r="I34" s="26" t="n">
        <v>758.9</v>
      </c>
      <c r="J34" s="26" t="n">
        <v>758.9</v>
      </c>
      <c r="K34" s="26" t="n">
        <v>758.9</v>
      </c>
      <c r="L34" s="26" t="n">
        <v>758.9</v>
      </c>
      <c r="M34" s="26" t="n">
        <v>758.9</v>
      </c>
      <c r="N34" s="26">
        <f>SUM(B34:M34)</f>
        <v/>
      </c>
      <c r="O34" s="26" t="n">
        <v>758.89</v>
      </c>
      <c r="P34" s="26" t="n">
        <v>758.88</v>
      </c>
      <c r="Q34" s="26" t="n">
        <v>758.88</v>
      </c>
      <c r="R34" s="26" t="n">
        <v>681.42</v>
      </c>
      <c r="S34" s="26" t="n">
        <v>681.42</v>
      </c>
      <c r="T34" s="26" t="n">
        <v>681.42</v>
      </c>
      <c r="U34" s="26" t="n">
        <v>681.42</v>
      </c>
      <c r="AA34" s="26">
        <f>SUM(O34:U34)</f>
        <v/>
      </c>
      <c r="AB34" s="26">
        <f>SUM(O34:Z34)</f>
        <v/>
      </c>
      <c r="AC34" s="26" t="n">
        <v>682</v>
      </c>
      <c r="AD34" s="26" t="n">
        <v>682</v>
      </c>
      <c r="AE34" s="26" t="n">
        <v>682</v>
      </c>
      <c r="AF34" s="26" t="n">
        <v>682</v>
      </c>
      <c r="AG34" s="26" t="n">
        <v>682</v>
      </c>
      <c r="AH34" s="26" t="n">
        <v>682</v>
      </c>
      <c r="AI34" s="10">
        <f>SUM(AC34:AH34)</f>
        <v/>
      </c>
      <c r="AJ34" s="26">
        <f>SUM(AC34:AH34)+AI34</f>
        <v/>
      </c>
      <c r="AK34" s="11">
        <f>IF(N34&lt;&gt;0,(AB34-N34)/ABS(N34),0)</f>
        <v/>
      </c>
      <c r="AL34" s="11">
        <f>IF(AB34&lt;&gt;0,(AJ34-AB34)/ABS(AB34),0)</f>
        <v/>
      </c>
    </row>
    <row r="35" ht="13" customHeight="1">
      <c r="A35" s="25" t="inlineStr">
        <is>
          <t xml:space="preserve">    Utilities</t>
        </is>
      </c>
      <c r="B35" s="26" t="n">
        <v>872.46</v>
      </c>
      <c r="C35" s="26" t="n">
        <v>507.52</v>
      </c>
      <c r="D35" s="26" t="n">
        <v>466.58</v>
      </c>
      <c r="E35" s="26" t="n">
        <v>2967.25</v>
      </c>
      <c r="F35" s="26" t="n">
        <v>84.62</v>
      </c>
      <c r="G35" s="26" t="n">
        <v>279.5</v>
      </c>
      <c r="H35" s="26" t="n">
        <v>221.45</v>
      </c>
      <c r="I35" s="26" t="n">
        <v>960.99</v>
      </c>
      <c r="J35" s="26" t="n">
        <v>501.45</v>
      </c>
      <c r="K35" s="26" t="n">
        <v>437.86</v>
      </c>
      <c r="L35" s="26" t="n">
        <v>626.24</v>
      </c>
      <c r="M35" s="26" t="n">
        <v>739.01</v>
      </c>
      <c r="N35" s="26">
        <f>SUM(B35:M35)</f>
        <v/>
      </c>
      <c r="O35" s="26" t="n">
        <v>781.29</v>
      </c>
      <c r="P35" s="26" t="n">
        <v>896.36</v>
      </c>
      <c r="Q35" s="26" t="n">
        <v>481.44</v>
      </c>
      <c r="R35" s="26" t="n">
        <v>822.63</v>
      </c>
      <c r="S35" s="26" t="n">
        <v>608.29</v>
      </c>
      <c r="T35" s="26" t="n">
        <v>359.85</v>
      </c>
      <c r="U35" s="26" t="n">
        <v>564.25</v>
      </c>
      <c r="AA35" s="26">
        <f>SUM(O35:U35)</f>
        <v/>
      </c>
      <c r="AB35" s="26">
        <f>SUM(O35:Z35)</f>
        <v/>
      </c>
      <c r="AC35" s="26" t="n">
        <v>755</v>
      </c>
      <c r="AD35" s="26" t="n">
        <v>755</v>
      </c>
      <c r="AE35" s="26" t="n">
        <v>755</v>
      </c>
      <c r="AF35" s="26" t="n">
        <v>755</v>
      </c>
      <c r="AG35" s="26" t="n">
        <v>755</v>
      </c>
      <c r="AH35" s="26" t="n">
        <v>755</v>
      </c>
      <c r="AI35" s="10">
        <f>SUM(AC35:AH35)</f>
        <v/>
      </c>
      <c r="AJ35" s="26">
        <f>SUM(AC35:AH35)+AI35</f>
        <v/>
      </c>
      <c r="AK35" s="11">
        <f>IF(N35&lt;&gt;0,(AB35-N35)/ABS(N35),0)</f>
        <v/>
      </c>
      <c r="AL35" s="11">
        <f>IF(AB35&lt;&gt;0,(AJ35-AB35)/ABS(AB35),0)</f>
        <v/>
      </c>
    </row>
    <row r="36" ht="13" customHeight="1">
      <c r="A36" s="25" t="inlineStr">
        <is>
          <t xml:space="preserve">    Repairs &amp; Maintenance</t>
        </is>
      </c>
      <c r="B36" s="26" t="n">
        <v>387.14</v>
      </c>
      <c r="C36" s="26" t="n">
        <v>108.38</v>
      </c>
      <c r="D36" s="26" t="n">
        <v>277.96</v>
      </c>
      <c r="E36" s="26" t="n">
        <v>372.75</v>
      </c>
      <c r="F36" s="26" t="n">
        <v>389.89</v>
      </c>
      <c r="G36" s="26" t="n">
        <v>0</v>
      </c>
      <c r="H36" s="26" t="n">
        <v>421.2</v>
      </c>
      <c r="I36" s="26" t="n">
        <v>252</v>
      </c>
      <c r="J36" s="26" t="n">
        <v>69.92</v>
      </c>
      <c r="K36" s="26" t="n">
        <v>0</v>
      </c>
      <c r="L36" s="26" t="n">
        <v>147.46</v>
      </c>
      <c r="M36" s="26" t="n">
        <v>108</v>
      </c>
      <c r="N36" s="26">
        <f>SUM(B36:M36)</f>
        <v/>
      </c>
      <c r="O36" s="26" t="n">
        <v>0</v>
      </c>
      <c r="P36" s="26" t="n">
        <v>0</v>
      </c>
      <c r="Q36" s="26" t="n">
        <v>33.29</v>
      </c>
      <c r="R36" s="26" t="n">
        <v>0</v>
      </c>
      <c r="S36" s="26" t="n">
        <v>0</v>
      </c>
      <c r="T36" s="26" t="n">
        <v>0</v>
      </c>
      <c r="U36" s="26" t="n">
        <v>108</v>
      </c>
      <c r="AA36" s="26">
        <f>SUM(O36:U36)</f>
        <v/>
      </c>
      <c r="AB36" s="26">
        <f>SUM(O36:Z36)</f>
        <v/>
      </c>
      <c r="AC36" s="26" t="n">
        <v>0</v>
      </c>
      <c r="AD36" s="26" t="n">
        <v>0</v>
      </c>
      <c r="AE36" s="26" t="n">
        <v>0</v>
      </c>
      <c r="AF36" s="26" t="n">
        <v>0</v>
      </c>
      <c r="AG36" s="26" t="n">
        <v>0</v>
      </c>
      <c r="AH36" s="26" t="n">
        <v>0</v>
      </c>
      <c r="AI36" s="10">
        <f>SUM(AC36:AH36)</f>
        <v/>
      </c>
      <c r="AJ36" s="26">
        <f>SUM(AC36:AH36)+AI36</f>
        <v/>
      </c>
      <c r="AK36" s="11">
        <f>IF(N36&lt;&gt;0,(AB36-N36)/ABS(N36),0)</f>
        <v/>
      </c>
      <c r="AL36" s="11">
        <f>IF(AB36&lt;&gt;0,(AJ36-AB36)/ABS(AB36),0)</f>
        <v/>
      </c>
    </row>
    <row r="37" ht="13" customHeight="1">
      <c r="A37" s="25" t="inlineStr">
        <is>
          <t xml:space="preserve">    Cleaning</t>
        </is>
      </c>
      <c r="B37" s="26" t="n">
        <v>165.33</v>
      </c>
      <c r="C37" s="26" t="n">
        <v>90.19</v>
      </c>
      <c r="D37" s="26" t="n">
        <v>168.34</v>
      </c>
      <c r="E37" s="26" t="n">
        <v>290</v>
      </c>
      <c r="F37" s="26" t="n">
        <v>234.76</v>
      </c>
      <c r="G37" s="26" t="n">
        <v>142.75</v>
      </c>
      <c r="H37" s="26" t="n">
        <v>227.02</v>
      </c>
      <c r="I37" s="26" t="n">
        <v>220.38</v>
      </c>
      <c r="J37" s="26" t="n">
        <v>109.95</v>
      </c>
      <c r="K37" s="26" t="n">
        <v>206.87</v>
      </c>
      <c r="L37" s="26" t="n">
        <v>200.81</v>
      </c>
      <c r="M37" s="26" t="n">
        <v>0</v>
      </c>
      <c r="N37" s="26">
        <f>SUM(B37:M37)</f>
        <v/>
      </c>
      <c r="O37" s="26" t="n">
        <v>247.78</v>
      </c>
      <c r="P37" s="26" t="n">
        <v>16.8</v>
      </c>
      <c r="Q37" s="26" t="n">
        <v>358.17</v>
      </c>
      <c r="R37" s="26" t="n">
        <v>7.4</v>
      </c>
      <c r="S37" s="26" t="n">
        <v>129.71</v>
      </c>
      <c r="T37" s="26" t="n">
        <v>284.27</v>
      </c>
      <c r="U37" s="26" t="n">
        <v>326.1899999999999</v>
      </c>
      <c r="AA37" s="26">
        <f>SUM(O37:U37)</f>
        <v/>
      </c>
      <c r="AB37" s="26">
        <f>SUM(O37:Z37)</f>
        <v/>
      </c>
      <c r="AC37" s="26" t="n">
        <v>185</v>
      </c>
      <c r="AD37" s="26" t="n">
        <v>185</v>
      </c>
      <c r="AE37" s="26" t="n">
        <v>185</v>
      </c>
      <c r="AF37" s="26" t="n">
        <v>185</v>
      </c>
      <c r="AG37" s="26" t="n">
        <v>185</v>
      </c>
      <c r="AH37" s="26" t="n">
        <v>185</v>
      </c>
      <c r="AI37" s="10">
        <f>SUM(AC37:AH37)</f>
        <v/>
      </c>
      <c r="AJ37" s="26">
        <f>SUM(AC37:AH37)+AI37</f>
        <v/>
      </c>
      <c r="AK37" s="11">
        <f>IF(N37&lt;&gt;0,(AB37-N37)/ABS(N37),0)</f>
        <v/>
      </c>
      <c r="AL37" s="11">
        <f>IF(AB37&lt;&gt;0,(AJ37-AB37)/ABS(AB37),0)</f>
        <v/>
      </c>
    </row>
    <row r="38" ht="13" customHeight="1">
      <c r="A38" s="25" t="inlineStr">
        <is>
          <t xml:space="preserve">    Waste Disposal</t>
        </is>
      </c>
      <c r="B38" s="26" t="n">
        <v>403.55</v>
      </c>
      <c r="C38" s="26" t="n">
        <v>655.55</v>
      </c>
      <c r="D38" s="26" t="n">
        <v>533.88</v>
      </c>
      <c r="E38" s="26" t="n">
        <v>385.87</v>
      </c>
      <c r="F38" s="26" t="n">
        <v>337.46</v>
      </c>
      <c r="G38" s="26" t="n">
        <v>361.96</v>
      </c>
      <c r="H38" s="26" t="n">
        <v>308.55</v>
      </c>
      <c r="I38" s="26" t="n">
        <v>322.85</v>
      </c>
      <c r="J38" s="26" t="n">
        <v>483.96</v>
      </c>
      <c r="K38" s="26" t="n">
        <v>430.55</v>
      </c>
      <c r="L38" s="26" t="n">
        <v>322.85</v>
      </c>
      <c r="M38" s="26" t="n">
        <v>376.2599999999999</v>
      </c>
      <c r="N38" s="26">
        <f>SUM(B38:M38)</f>
        <v/>
      </c>
      <c r="O38" s="26" t="n">
        <v>340.84</v>
      </c>
      <c r="P38" s="26" t="n">
        <v>332.16</v>
      </c>
      <c r="Q38" s="26" t="n">
        <v>385.56</v>
      </c>
      <c r="R38" s="26" t="n">
        <v>440.2</v>
      </c>
      <c r="S38" s="26" t="n">
        <v>359.16</v>
      </c>
      <c r="T38" s="26" t="n">
        <v>250.5</v>
      </c>
      <c r="U38" s="26" t="n">
        <v>428.86</v>
      </c>
      <c r="AA38" s="26">
        <f>SUM(O38:U38)</f>
        <v/>
      </c>
      <c r="AB38" s="26">
        <f>SUM(O38:Z38)</f>
        <v/>
      </c>
      <c r="AC38" s="26" t="n">
        <v>422</v>
      </c>
      <c r="AD38" s="26" t="n">
        <v>422</v>
      </c>
      <c r="AE38" s="26" t="n">
        <v>422</v>
      </c>
      <c r="AF38" s="26" t="n">
        <v>422</v>
      </c>
      <c r="AG38" s="26" t="n">
        <v>422</v>
      </c>
      <c r="AH38" s="26" t="n">
        <v>422</v>
      </c>
      <c r="AI38" s="10">
        <f>SUM(AC38:AH38)</f>
        <v/>
      </c>
      <c r="AJ38" s="26">
        <f>SUM(AC38:AH38)+AI38</f>
        <v/>
      </c>
      <c r="AK38" s="11">
        <f>IF(N38&lt;&gt;0,(AB38-N38)/ABS(N38),0)</f>
        <v/>
      </c>
      <c r="AL38" s="11">
        <f>IF(AB38&lt;&gt;0,(AJ38-AB38)/ABS(AB38),0)</f>
        <v/>
      </c>
    </row>
    <row r="39" ht="13" customHeight="1">
      <c r="A39" s="25" t="inlineStr">
        <is>
          <t xml:space="preserve">    Postage/Printing/Stationery</t>
        </is>
      </c>
      <c r="B39" s="26" t="n">
        <v>43.45</v>
      </c>
      <c r="C39" s="26" t="n">
        <v>71.89999999999999</v>
      </c>
      <c r="D39" s="26" t="n">
        <v>34.49</v>
      </c>
      <c r="E39" s="26" t="n">
        <v>38.27</v>
      </c>
      <c r="F39" s="26" t="n">
        <v>56.39</v>
      </c>
      <c r="G39" s="26" t="n">
        <v>29.28</v>
      </c>
      <c r="H39" s="26" t="n">
        <v>17.79</v>
      </c>
      <c r="I39" s="26" t="n">
        <v>23.77</v>
      </c>
      <c r="J39" s="26" t="n">
        <v>49.73</v>
      </c>
      <c r="K39" s="26" t="n">
        <v>24.86</v>
      </c>
      <c r="L39" s="26" t="n">
        <v>23.78</v>
      </c>
      <c r="M39" s="26" t="n">
        <v>25.28</v>
      </c>
      <c r="N39" s="26">
        <f>SUM(B39:M39)</f>
        <v/>
      </c>
      <c r="O39" s="26" t="n">
        <v>57.89</v>
      </c>
      <c r="P39" s="26" t="n">
        <v>24.87</v>
      </c>
      <c r="Q39" s="26" t="n">
        <v>24.88</v>
      </c>
      <c r="R39" s="26" t="n">
        <v>25.12</v>
      </c>
      <c r="S39" s="26" t="n">
        <v>37.12</v>
      </c>
      <c r="T39" s="26" t="n">
        <v>63.19</v>
      </c>
      <c r="U39" s="26" t="n">
        <v>39.28</v>
      </c>
      <c r="AA39" s="26">
        <f>SUM(O39:U39)</f>
        <v/>
      </c>
      <c r="AB39" s="26">
        <f>SUM(O39:Z39)</f>
        <v/>
      </c>
      <c r="AC39" s="26" t="n">
        <v>0</v>
      </c>
      <c r="AD39" s="26" t="n">
        <v>0</v>
      </c>
      <c r="AE39" s="26" t="n">
        <v>0</v>
      </c>
      <c r="AF39" s="26" t="n">
        <v>0</v>
      </c>
      <c r="AG39" s="26" t="n">
        <v>0</v>
      </c>
      <c r="AH39" s="26" t="n">
        <v>0</v>
      </c>
      <c r="AI39" s="10">
        <f>SUM(AC39:AH39)</f>
        <v/>
      </c>
      <c r="AJ39" s="26">
        <f>SUM(AC39:AH39)+AI39</f>
        <v/>
      </c>
      <c r="AK39" s="11">
        <f>IF(N39&lt;&gt;0,(AB39-N39)/ABS(N39),0)</f>
        <v/>
      </c>
      <c r="AL39" s="11">
        <f>IF(AB39&lt;&gt;0,(AJ39-AB39)/ABS(AB39),0)</f>
        <v/>
      </c>
    </row>
    <row r="40" ht="13" customHeight="1">
      <c r="A40" s="25" t="inlineStr">
        <is>
          <t xml:space="preserve">    Telephone</t>
        </is>
      </c>
      <c r="B40" s="26" t="n">
        <v>0</v>
      </c>
      <c r="C40" s="26" t="n">
        <v>0</v>
      </c>
      <c r="D40" s="26" t="n">
        <v>0</v>
      </c>
      <c r="E40" s="26" t="n">
        <v>0</v>
      </c>
      <c r="F40" s="26" t="n">
        <v>0</v>
      </c>
      <c r="G40" s="26" t="n">
        <v>0</v>
      </c>
      <c r="H40" s="26" t="n">
        <v>0</v>
      </c>
      <c r="I40" s="26" t="n">
        <v>0</v>
      </c>
      <c r="J40" s="26" t="n">
        <v>0</v>
      </c>
      <c r="K40" s="26" t="n">
        <v>0</v>
      </c>
      <c r="L40" s="26" t="n">
        <v>0</v>
      </c>
      <c r="M40" s="26" t="n">
        <v>0</v>
      </c>
      <c r="N40" s="26">
        <f>SUM(B40:M40)</f>
        <v/>
      </c>
      <c r="O40" s="26" t="n">
        <v>0</v>
      </c>
      <c r="P40" s="26" t="n">
        <v>0</v>
      </c>
      <c r="Q40" s="26" t="n">
        <v>72</v>
      </c>
      <c r="R40" s="26" t="n">
        <v>24</v>
      </c>
      <c r="S40" s="26" t="n">
        <v>0</v>
      </c>
      <c r="T40" s="26" t="n">
        <v>0</v>
      </c>
      <c r="U40" s="26" t="n">
        <v>0</v>
      </c>
      <c r="AA40" s="26">
        <f>SUM(O40:U40)</f>
        <v/>
      </c>
      <c r="AB40" s="26">
        <f>SUM(O40:Z40)</f>
        <v/>
      </c>
      <c r="AC40" s="26" t="n">
        <v>0</v>
      </c>
      <c r="AD40" s="26" t="n">
        <v>0</v>
      </c>
      <c r="AE40" s="26" t="n">
        <v>0</v>
      </c>
      <c r="AF40" s="26" t="n">
        <v>0</v>
      </c>
      <c r="AG40" s="26" t="n">
        <v>0</v>
      </c>
      <c r="AH40" s="26" t="n">
        <v>0</v>
      </c>
      <c r="AI40" s="10">
        <f>SUM(AC40:AH40)</f>
        <v/>
      </c>
      <c r="AJ40" s="26">
        <f>SUM(AC40:AH40)+AI40</f>
        <v/>
      </c>
      <c r="AK40" s="11">
        <f>IF(N40&lt;&gt;0,(AB40-N40)/ABS(N40),0)</f>
        <v/>
      </c>
      <c r="AL40" s="11">
        <f>IF(AB40&lt;&gt;0,(AJ40-AB40)/ABS(AB40),0)</f>
        <v/>
      </c>
    </row>
    <row r="41" ht="13" customHeight="1">
      <c r="A41" s="25" t="inlineStr">
        <is>
          <t xml:space="preserve">    Marketing</t>
        </is>
      </c>
      <c r="B41" s="26" t="n">
        <v>7.99</v>
      </c>
      <c r="C41" s="26" t="n">
        <v>0</v>
      </c>
      <c r="D41" s="26" t="n">
        <v>143.21</v>
      </c>
      <c r="E41" s="26" t="n">
        <v>0</v>
      </c>
      <c r="F41" s="26" t="n">
        <v>0</v>
      </c>
      <c r="G41" s="26" t="n">
        <v>265</v>
      </c>
      <c r="H41" s="26" t="n">
        <v>0</v>
      </c>
      <c r="I41" s="26" t="n">
        <v>45</v>
      </c>
      <c r="J41" s="26" t="n">
        <v>0</v>
      </c>
      <c r="K41" s="26" t="n">
        <v>0</v>
      </c>
      <c r="L41" s="26" t="n">
        <v>0</v>
      </c>
      <c r="M41" s="26" t="n">
        <v>0</v>
      </c>
      <c r="N41" s="26">
        <f>SUM(B41:M41)</f>
        <v/>
      </c>
      <c r="O41" s="26" t="n">
        <v>48</v>
      </c>
      <c r="P41" s="26" t="n">
        <v>0</v>
      </c>
      <c r="Q41" s="26" t="n">
        <v>0</v>
      </c>
      <c r="R41" s="26" t="n">
        <v>48</v>
      </c>
      <c r="S41" s="26" t="n">
        <v>0</v>
      </c>
      <c r="T41" s="26" t="n">
        <v>220</v>
      </c>
      <c r="U41" s="26" t="n">
        <v>0</v>
      </c>
      <c r="AA41" s="26">
        <f>SUM(O41:U41)</f>
        <v/>
      </c>
      <c r="AB41" s="26">
        <f>SUM(O41:Z41)</f>
        <v/>
      </c>
      <c r="AC41" s="26" t="n">
        <v>100</v>
      </c>
      <c r="AD41" s="26" t="n">
        <v>100</v>
      </c>
      <c r="AE41" s="26" t="n">
        <v>100</v>
      </c>
      <c r="AF41" s="26" t="n">
        <v>100</v>
      </c>
      <c r="AG41" s="26" t="n">
        <v>100</v>
      </c>
      <c r="AH41" s="26" t="n">
        <v>100</v>
      </c>
      <c r="AI41" s="10">
        <f>SUM(AC41:AH41)</f>
        <v/>
      </c>
      <c r="AJ41" s="26">
        <f>SUM(AC41:AH41)+AI41</f>
        <v/>
      </c>
      <c r="AK41" s="11">
        <f>IF(N41&lt;&gt;0,(AB41-N41)/ABS(N41),0)</f>
        <v/>
      </c>
      <c r="AL41" s="11">
        <f>IF(AB41&lt;&gt;0,(AJ41-AB41)/ABS(AB41),0)</f>
        <v/>
      </c>
    </row>
    <row r="42" ht="13" customHeight="1">
      <c r="A42" s="27" t="inlineStr">
        <is>
          <t>Total Premises &amp; Admin</t>
        </is>
      </c>
      <c r="B42" s="28">
        <f>B33+B34+B35+B36+B37+B38+B39+B40+B41</f>
        <v/>
      </c>
      <c r="C42" s="28">
        <f>C33+C34+C35+C36+C37+C38+C39+C40+C41</f>
        <v/>
      </c>
      <c r="D42" s="28">
        <f>D33+D34+D35+D36+D37+D38+D39+D40+D41</f>
        <v/>
      </c>
      <c r="E42" s="28">
        <f>E33+E34+E35+E36+E37+E38+E39+E40+E41</f>
        <v/>
      </c>
      <c r="F42" s="28">
        <f>F33+F34+F35+F36+F37+F38+F39+F40+F41</f>
        <v/>
      </c>
      <c r="G42" s="28">
        <f>G33+G34+G35+G36+G37+G38+G39+G40+G41</f>
        <v/>
      </c>
      <c r="H42" s="28">
        <f>H33+H34+H35+H36+H37+H38+H39+H40+H41</f>
        <v/>
      </c>
      <c r="I42" s="28">
        <f>I33+I34+I35+I36+I37+I38+I39+I40+I41</f>
        <v/>
      </c>
      <c r="J42" s="28">
        <f>J33+J34+J35+J36+J37+J38+J39+J40+J41</f>
        <v/>
      </c>
      <c r="K42" s="28">
        <f>K33+K34+K35+K36+K37+K38+K39+K40+K41</f>
        <v/>
      </c>
      <c r="L42" s="28">
        <f>L33+L34+L35+L36+L37+L38+L39+L40+L41</f>
        <v/>
      </c>
      <c r="M42" s="28">
        <f>M33+M34+M35+M36+M37+M38+M39+M40+M41</f>
        <v/>
      </c>
      <c r="N42" s="28">
        <f>N33+N34+N35+N36+N37+N38+N39+N40+N41</f>
        <v/>
      </c>
      <c r="O42" s="28">
        <f>O33+O34+O35+O36+O37+O38+O39+O40+O41</f>
        <v/>
      </c>
      <c r="P42" s="28">
        <f>P33+P34+P35+P36+P37+P38+P39+P40+P41</f>
        <v/>
      </c>
      <c r="Q42" s="28">
        <f>Q33+Q34+Q35+Q36+Q37+Q38+Q39+Q40+Q41</f>
        <v/>
      </c>
      <c r="R42" s="28">
        <f>R33+R34+R35+R36+R37+R38+R39+R40+R41</f>
        <v/>
      </c>
      <c r="S42" s="28">
        <f>S33+S34+S35+S36+S37+S38+S39+S40+S41</f>
        <v/>
      </c>
      <c r="T42" s="28">
        <f>T33+T34+T35+T36+T37+T38+T39+T40+T41</f>
        <v/>
      </c>
      <c r="U42" s="28">
        <f>U33+U34+U35+U36+U37+U38+U39+U40+U41</f>
        <v/>
      </c>
      <c r="V42" s="28">
        <f>V33+V34+V35+V36+V37+V38+V39+V40+V41</f>
        <v/>
      </c>
      <c r="W42" s="28">
        <f>W33+W34+W35+W36+W37+W38+W39+W40+W41</f>
        <v/>
      </c>
      <c r="X42" s="28">
        <f>X33+X34+X35+X36+X37+X38+X39+X40+X41</f>
        <v/>
      </c>
      <c r="Y42" s="28">
        <f>Y33+Y34+Y35+Y36+Y37+Y38+Y39+Y40+Y41</f>
        <v/>
      </c>
      <c r="Z42" s="28">
        <f>Z33+Z34+Z35+Z36+Z37+Z38+Z39+Z40+Z41</f>
        <v/>
      </c>
      <c r="AA42" s="28">
        <f>AA33+AA34+AA35+AA36+AA37+AA38+AA39+AA40+AA41</f>
        <v/>
      </c>
      <c r="AB42" s="28">
        <f>AB33+AB34+AB35+AB36+AB37+AB38+AB39+AB40+AB41</f>
        <v/>
      </c>
      <c r="AC42" s="28">
        <f>AC33+AC34+AC35+AC36+AC37+AC38+AC39+AC40+AC41</f>
        <v/>
      </c>
      <c r="AD42" s="28">
        <f>AD33+AD34+AD35+AD36+AD37+AD38+AD39+AD40+AD41</f>
        <v/>
      </c>
      <c r="AE42" s="28">
        <f>AE33+AE34+AE35+AE36+AE37+AE38+AE39+AE40+AE41</f>
        <v/>
      </c>
      <c r="AF42" s="28">
        <f>AF33+AF34+AF35+AF36+AF37+AF38+AF39+AF40+AF41</f>
        <v/>
      </c>
      <c r="AG42" s="28">
        <f>AG33+AG34+AG35+AG36+AG37+AG38+AG39+AG40+AG41</f>
        <v/>
      </c>
      <c r="AH42" s="28">
        <f>AH33+AH34+AH35+AH36+AH37+AH38+AH39+AH40+AH41</f>
        <v/>
      </c>
      <c r="AI42" s="28">
        <f>AI33+AI34+AI35+AI36+AI37+AI38+AI39+AI40+AI41</f>
        <v/>
      </c>
      <c r="AJ42" s="28">
        <f>AJ33+AJ34+AJ35+AJ36+AJ37+AJ38+AJ39+AJ40+AJ41</f>
        <v/>
      </c>
      <c r="AK42" s="11">
        <f>IF(N42&lt;&gt;0,(AB42-N42)/ABS(N42),0)</f>
        <v/>
      </c>
      <c r="AL42" s="11">
        <f>IF(AB42&lt;&gt;0,(AJ42-AB42)/ABS(AB42),0)</f>
        <v/>
      </c>
    </row>
    <row r="43" ht="5" customHeight="1"/>
    <row r="44" ht="13" customHeight="1">
      <c r="A44" s="29" t="inlineStr">
        <is>
          <t>Total Direct Costs</t>
        </is>
      </c>
      <c r="AK44" s="11">
        <f>IF(N44&lt;&gt;0,(AB44-N44)/ABS(N44),0)</f>
        <v/>
      </c>
      <c r="AL44" s="11">
        <f>IF(AB44&lt;&gt;0,(AJ44-AB44)/ABS(AB44),0)</f>
        <v/>
      </c>
    </row>
    <row r="45" ht="5" customHeight="1"/>
    <row r="46" ht="15" customHeight="1">
      <c r="A46" s="30" t="inlineStr">
        <is>
          <t>CONTRIBUTION</t>
        </is>
      </c>
      <c r="B46" s="31">
        <f>B7-B44</f>
        <v/>
      </c>
      <c r="C46" s="31">
        <f>C7-C44</f>
        <v/>
      </c>
      <c r="D46" s="31">
        <f>D7-D44</f>
        <v/>
      </c>
      <c r="E46" s="31">
        <f>E7-E44</f>
        <v/>
      </c>
      <c r="F46" s="31">
        <f>F7-F44</f>
        <v/>
      </c>
      <c r="G46" s="31">
        <f>G7-G44</f>
        <v/>
      </c>
      <c r="H46" s="31">
        <f>H7-H44</f>
        <v/>
      </c>
      <c r="I46" s="31">
        <f>I7-I44</f>
        <v/>
      </c>
      <c r="J46" s="31">
        <f>J7-J44</f>
        <v/>
      </c>
      <c r="K46" s="31">
        <f>K7-K44</f>
        <v/>
      </c>
      <c r="L46" s="31">
        <f>L7-L44</f>
        <v/>
      </c>
      <c r="M46" s="31">
        <f>M7-M44</f>
        <v/>
      </c>
      <c r="N46" s="31">
        <f>N7-N44</f>
        <v/>
      </c>
      <c r="O46" s="31">
        <f>O7-O44</f>
        <v/>
      </c>
      <c r="P46" s="31">
        <f>P7-P44</f>
        <v/>
      </c>
      <c r="Q46" s="31">
        <f>Q7-Q44</f>
        <v/>
      </c>
      <c r="R46" s="31">
        <f>R7-R44</f>
        <v/>
      </c>
      <c r="S46" s="31">
        <f>S7-S44</f>
        <v/>
      </c>
      <c r="T46" s="31">
        <f>T7-T44</f>
        <v/>
      </c>
      <c r="U46" s="31">
        <f>U7-U44</f>
        <v/>
      </c>
      <c r="V46" s="31">
        <f>V7-V44</f>
        <v/>
      </c>
      <c r="W46" s="31">
        <f>W7-W44</f>
        <v/>
      </c>
      <c r="X46" s="31">
        <f>X7-X44</f>
        <v/>
      </c>
      <c r="Y46" s="31">
        <f>Y7-Y44</f>
        <v/>
      </c>
      <c r="Z46" s="31">
        <f>Z7-Z44</f>
        <v/>
      </c>
      <c r="AA46" s="31">
        <f>AA7-AA44</f>
        <v/>
      </c>
      <c r="AB46" s="31">
        <f>AB7-AB44</f>
        <v/>
      </c>
      <c r="AC46" s="31">
        <f>AC7-AC44</f>
        <v/>
      </c>
      <c r="AD46" s="31">
        <f>AD7-AD44</f>
        <v/>
      </c>
      <c r="AE46" s="31">
        <f>AE7-AE44</f>
        <v/>
      </c>
      <c r="AF46" s="31">
        <f>AF7-AF44</f>
        <v/>
      </c>
      <c r="AG46" s="31">
        <f>AG7-AG44</f>
        <v/>
      </c>
      <c r="AH46" s="31">
        <f>AH7-AH44</f>
        <v/>
      </c>
      <c r="AI46" s="31">
        <f>AI7-AI44</f>
        <v/>
      </c>
      <c r="AJ46" s="31">
        <f>AJ7-AJ44</f>
        <v/>
      </c>
      <c r="AK46" s="11">
        <f>IF(N46&lt;&gt;0,(AB46-N46)/ABS(N46),0)</f>
        <v/>
      </c>
      <c r="AL46" s="11">
        <f>IF(AB46&lt;&gt;0,(AJ46-AB46)/ABS(AB46),0)</f>
        <v/>
      </c>
    </row>
  </sheetData>
  <mergeCells count="8">
    <mergeCell ref="A10:AL10"/>
    <mergeCell ref="B1:N1"/>
    <mergeCell ref="A23:AL23"/>
    <mergeCell ref="A32:AL32"/>
    <mergeCell ref="AC1:AJ1"/>
    <mergeCell ref="A9:AL9"/>
    <mergeCell ref="A3:AL3"/>
    <mergeCell ref="O1:A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L4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9.5" customWidth="1" min="27" max="27"/>
    <col width="9.5" customWidth="1" min="28" max="28"/>
    <col width="9.5" customWidth="1" min="29" max="29"/>
    <col width="9.5" customWidth="1" min="30" max="30"/>
    <col width="9.5" customWidth="1" min="31" max="31"/>
    <col width="9.5" customWidth="1" min="32" max="32"/>
    <col width="9.5" customWidth="1" min="33" max="33"/>
    <col width="9.5" customWidth="1" min="34" max="34"/>
    <col width="9.5" customWidth="1" min="35" max="35"/>
    <col width="11" customWidth="1" min="36" max="36"/>
    <col width="10" customWidth="1" min="37" max="37"/>
    <col width="10" customWidth="1" min="38" max="38"/>
  </cols>
  <sheetData>
    <row r="1" ht="18" customHeight="1">
      <c r="A1" s="1" t="inlineStr">
        <is>
          <t>Lower Earley</t>
        </is>
      </c>
      <c r="B1" s="2" t="inlineStr">
        <is>
          <t>Actuals 2025</t>
        </is>
      </c>
      <c r="O1" s="2" t="inlineStr">
        <is>
          <t>2026 Actual / Forecast</t>
        </is>
      </c>
      <c r="AC1" s="2" t="inlineStr">
        <is>
          <t>2027 Forecast</t>
        </is>
      </c>
      <c r="AK1" s="3" t="inlineStr">
        <is>
          <t>YoY</t>
        </is>
      </c>
      <c r="AL1" s="3" t="inlineStr">
        <is>
          <t>YoY</t>
        </is>
      </c>
    </row>
    <row r="2" ht="22" customHeight="1">
      <c r="B2" s="4" t="inlineStr">
        <is>
          <t>Jan</t>
        </is>
      </c>
      <c r="C2" s="4" t="inlineStr">
        <is>
          <t>Feb</t>
        </is>
      </c>
      <c r="D2" s="4" t="inlineStr">
        <is>
          <t>Mar</t>
        </is>
      </c>
      <c r="E2" s="4" t="inlineStr">
        <is>
          <t>Apr</t>
        </is>
      </c>
      <c r="F2" s="4" t="inlineStr">
        <is>
          <t>May</t>
        </is>
      </c>
      <c r="G2" s="4" t="inlineStr">
        <is>
          <t>Jun</t>
        </is>
      </c>
      <c r="H2" s="4" t="inlineStr">
        <is>
          <t>Jul</t>
        </is>
      </c>
      <c r="I2" s="4" t="inlineStr">
        <is>
          <t>Aug</t>
        </is>
      </c>
      <c r="J2" s="4" t="inlineStr">
        <is>
          <t>Sep</t>
        </is>
      </c>
      <c r="K2" s="4" t="inlineStr">
        <is>
          <t>Oct</t>
        </is>
      </c>
      <c r="L2" s="4" t="inlineStr">
        <is>
          <t>Nov</t>
        </is>
      </c>
      <c r="M2" s="4" t="inlineStr">
        <is>
          <t>Dec</t>
        </is>
      </c>
      <c r="N2" s="5" t="inlineStr">
        <is>
          <t>FY2025
Total</t>
        </is>
      </c>
      <c r="O2" s="4" t="inlineStr">
        <is>
          <t>Jan</t>
        </is>
      </c>
      <c r="P2" s="4" t="inlineStr">
        <is>
          <t>Feb</t>
        </is>
      </c>
      <c r="Q2" s="4" t="inlineStr">
        <is>
          <t>Mar</t>
        </is>
      </c>
      <c r="R2" s="4" t="inlineStr">
        <is>
          <t>Apr</t>
        </is>
      </c>
      <c r="S2" s="4" t="inlineStr">
        <is>
          <t>May</t>
        </is>
      </c>
      <c r="T2" s="4" t="inlineStr">
        <is>
          <t>Jun</t>
        </is>
      </c>
      <c r="U2" s="4" t="inlineStr">
        <is>
          <t>Jul</t>
        </is>
      </c>
      <c r="V2" s="4" t="inlineStr">
        <is>
          <t>Aug</t>
        </is>
      </c>
      <c r="W2" s="4" t="inlineStr">
        <is>
          <t>Sep</t>
        </is>
      </c>
      <c r="X2" s="4" t="inlineStr">
        <is>
          <t>Oct</t>
        </is>
      </c>
      <c r="Y2" s="4" t="inlineStr">
        <is>
          <t>Nov</t>
        </is>
      </c>
      <c r="Z2" s="4" t="inlineStr">
        <is>
          <t>Dec</t>
        </is>
      </c>
      <c r="AA2" s="4" t="inlineStr">
        <is>
          <t>YTD</t>
        </is>
      </c>
      <c r="AB2" s="5" t="inlineStr">
        <is>
          <t>FY2026
Outlook</t>
        </is>
      </c>
      <c r="AC2" s="4" t="inlineStr">
        <is>
          <t>Jan</t>
        </is>
      </c>
      <c r="AD2" s="4" t="inlineStr">
        <is>
          <t>Feb</t>
        </is>
      </c>
      <c r="AE2" s="4" t="inlineStr">
        <is>
          <t>Mar</t>
        </is>
      </c>
      <c r="AF2" s="4" t="inlineStr">
        <is>
          <t>Apr</t>
        </is>
      </c>
      <c r="AG2" s="4" t="inlineStr">
        <is>
          <t>May</t>
        </is>
      </c>
      <c r="AH2" s="4" t="inlineStr">
        <is>
          <t>Jun</t>
        </is>
      </c>
      <c r="AI2" s="6" t="inlineStr">
        <is>
          <t>Jul-Dec
Proj.</t>
        </is>
      </c>
      <c r="AJ2" s="4" t="inlineStr">
        <is>
          <t>FY2027</t>
        </is>
      </c>
      <c r="AK2" s="6" t="inlineStr">
        <is>
          <t>25→26
%</t>
        </is>
      </c>
      <c r="AL2" s="6" t="inlineStr">
        <is>
          <t>26→27
%</t>
        </is>
      </c>
    </row>
    <row r="3" ht="15" customHeight="1">
      <c r="A3" s="7" t="inlineStr">
        <is>
          <t>INCOME</t>
        </is>
      </c>
    </row>
    <row r="4" ht="13" customHeight="1">
      <c r="A4" s="8" t="inlineStr">
        <is>
          <t xml:space="preserve">    Fee Income Regular</t>
        </is>
      </c>
      <c r="B4" s="9" t="n">
        <v>30963.16</v>
      </c>
      <c r="C4" s="9" t="n">
        <v>27021.59</v>
      </c>
      <c r="D4" s="9" t="n">
        <v>29812.55</v>
      </c>
      <c r="E4" s="9" t="n">
        <v>31949.87</v>
      </c>
      <c r="F4" s="9" t="n">
        <v>31063.91</v>
      </c>
      <c r="G4" s="9" t="n">
        <v>30350.6</v>
      </c>
      <c r="H4" s="9" t="n">
        <v>34021.42999999999</v>
      </c>
      <c r="I4" s="9" t="n">
        <v>29196.77</v>
      </c>
      <c r="J4" s="9" t="n">
        <v>21455.14</v>
      </c>
      <c r="K4" s="9" t="n">
        <v>24315.15</v>
      </c>
      <c r="L4" s="9" t="n">
        <v>18923.36</v>
      </c>
      <c r="M4" s="9" t="n">
        <v>19499.29</v>
      </c>
      <c r="N4" s="9">
        <f>SUM(B4:M4)</f>
        <v/>
      </c>
      <c r="O4" s="9" t="n">
        <v>20503.25</v>
      </c>
      <c r="P4" s="9" t="n">
        <v>20213.24000000001</v>
      </c>
      <c r="Q4" s="9" t="n">
        <v>18535.67</v>
      </c>
      <c r="R4" s="9" t="n">
        <v>21408.1</v>
      </c>
      <c r="S4" s="9" t="n">
        <v>20206.17</v>
      </c>
      <c r="T4" s="9" t="n">
        <v>20812.27</v>
      </c>
      <c r="U4" s="9" t="n">
        <v>21997.47</v>
      </c>
      <c r="AA4" s="9">
        <f>SUM(O4:U4)</f>
        <v/>
      </c>
      <c r="AB4" s="9">
        <f>SUM(O4:Z4)</f>
        <v/>
      </c>
      <c r="AC4" s="9" t="n">
        <v>27908.68</v>
      </c>
      <c r="AD4" s="9" t="n">
        <v>30111.53</v>
      </c>
      <c r="AE4" s="9" t="n">
        <v>36903.62</v>
      </c>
      <c r="AF4" s="9" t="n">
        <v>34701.33</v>
      </c>
      <c r="AG4" s="9" t="n">
        <v>32867.54</v>
      </c>
      <c r="AH4" s="9" t="n">
        <v>36606.08</v>
      </c>
      <c r="AI4" s="10">
        <f>SUM(AC4:AH4)</f>
        <v/>
      </c>
      <c r="AJ4" s="9">
        <f>SUM(AC4:AH4)+AI4</f>
        <v/>
      </c>
      <c r="AK4" s="11">
        <f>IF(N4&lt;&gt;0,(AB4-N4)/ABS(N4),0)</f>
        <v/>
      </c>
      <c r="AL4" s="11">
        <f>IF(AB4&lt;&gt;0,(AJ4-AB4)/ABS(AB4),0)</f>
        <v/>
      </c>
    </row>
    <row r="5" ht="13" customHeight="1">
      <c r="A5" s="8" t="inlineStr">
        <is>
          <t xml:space="preserve">    EEEF Embedded</t>
        </is>
      </c>
      <c r="B5" s="9" t="n">
        <v>11065.6</v>
      </c>
      <c r="C5" s="9" t="n">
        <v>11065.6</v>
      </c>
      <c r="D5" s="9" t="n">
        <v>14478.45</v>
      </c>
      <c r="E5" s="9" t="n">
        <v>8307.689999999999</v>
      </c>
      <c r="F5" s="9" t="n">
        <v>8307.689999999999</v>
      </c>
      <c r="G5" s="9" t="n">
        <v>8307.690000000001</v>
      </c>
      <c r="H5" s="9" t="n">
        <v>22440.35</v>
      </c>
      <c r="I5" s="9" t="n">
        <v>0</v>
      </c>
      <c r="J5" s="9" t="n">
        <v>7068.51</v>
      </c>
      <c r="K5" s="9" t="n">
        <v>7068.51</v>
      </c>
      <c r="L5" s="9" t="n">
        <v>17784.49</v>
      </c>
      <c r="M5" s="9" t="n">
        <v>17975.48</v>
      </c>
      <c r="N5" s="9">
        <f>SUM(B5:M5)</f>
        <v/>
      </c>
      <c r="O5" s="9" t="n">
        <v>13761.14</v>
      </c>
      <c r="P5" s="9" t="n">
        <v>13761.14</v>
      </c>
      <c r="Q5" s="9" t="n">
        <v>24206.13</v>
      </c>
      <c r="R5" s="9" t="n">
        <v>14877.62</v>
      </c>
      <c r="S5" s="9" t="n">
        <v>14877.62</v>
      </c>
      <c r="T5" s="9" t="n">
        <v>13485.23</v>
      </c>
      <c r="U5" s="9" t="n">
        <v>14413.49</v>
      </c>
      <c r="AA5" s="9">
        <f>SUM(O5:U5)</f>
        <v/>
      </c>
      <c r="AB5" s="9">
        <f>SUM(O5:Z5)</f>
        <v/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10">
        <f>SUM(AC5:AH5)</f>
        <v/>
      </c>
      <c r="AJ5" s="9">
        <f>SUM(AC5:AH5)+AI5</f>
        <v/>
      </c>
      <c r="AK5" s="11">
        <f>IF(N5&lt;&gt;0,(AB5-N5)/ABS(N5),0)</f>
        <v/>
      </c>
      <c r="AL5" s="11">
        <f>IF(AB5&lt;&gt;0,(AJ5-AB5)/ABS(AB5),0)</f>
        <v/>
      </c>
    </row>
    <row r="6" ht="13" customHeight="1">
      <c r="A6" s="8" t="inlineStr">
        <is>
          <t xml:space="preserve">    Other Income</t>
        </is>
      </c>
      <c r="B6" s="9" t="n">
        <v>0</v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2075.37</v>
      </c>
      <c r="J6" s="9" t="n">
        <v>0</v>
      </c>
      <c r="K6" s="9" t="n">
        <v>0</v>
      </c>
      <c r="L6" s="9" t="n">
        <v>0</v>
      </c>
      <c r="M6" s="9" t="n">
        <v>0</v>
      </c>
      <c r="N6" s="9">
        <f>SUM(B6:M6)</f>
        <v/>
      </c>
      <c r="O6" s="9" t="n">
        <v>0</v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0</v>
      </c>
      <c r="W6" s="9" t="n">
        <v>0</v>
      </c>
      <c r="X6" s="9" t="n">
        <v>0</v>
      </c>
      <c r="Y6" s="9" t="n">
        <v>0</v>
      </c>
      <c r="Z6" s="9" t="n">
        <v>0</v>
      </c>
      <c r="AA6" s="9">
        <f>SUM(O6:U6)</f>
        <v/>
      </c>
      <c r="AB6" s="9">
        <f>SUM(O6:Z6)</f>
        <v/>
      </c>
      <c r="AC6" s="9" t="n">
        <v>0</v>
      </c>
      <c r="AD6" s="9" t="n">
        <v>0</v>
      </c>
      <c r="AE6" s="9" t="n">
        <v>0</v>
      </c>
      <c r="AF6" s="9" t="n">
        <v>0</v>
      </c>
      <c r="AG6" s="9" t="n">
        <v>0</v>
      </c>
      <c r="AH6" s="9" t="n">
        <v>0</v>
      </c>
      <c r="AI6" s="10">
        <f>SUM(AC6:AH6)</f>
        <v/>
      </c>
      <c r="AJ6" s="9">
        <f>SUM(AC6:AH6)+AI6</f>
        <v/>
      </c>
      <c r="AK6" s="11">
        <f>IF(N6&lt;&gt;0,(AB6-N6)/ABS(N6),0)</f>
        <v/>
      </c>
      <c r="AL6" s="11">
        <f>IF(AB6&lt;&gt;0,(AJ6-AB6)/ABS(AB6),0)</f>
        <v/>
      </c>
    </row>
    <row r="7" ht="13" customHeight="1">
      <c r="A7" s="12" t="inlineStr">
        <is>
          <t>Total Income</t>
        </is>
      </c>
      <c r="B7" s="13">
        <f>B4+B5+B6</f>
        <v/>
      </c>
      <c r="C7" s="13">
        <f>C4+C5+C6</f>
        <v/>
      </c>
      <c r="D7" s="13">
        <f>D4+D5+D6</f>
        <v/>
      </c>
      <c r="E7" s="13">
        <f>E4+E5+E6</f>
        <v/>
      </c>
      <c r="F7" s="13">
        <f>F4+F5+F6</f>
        <v/>
      </c>
      <c r="G7" s="13">
        <f>G4+G5+G6</f>
        <v/>
      </c>
      <c r="H7" s="13">
        <f>H4+H5+H6</f>
        <v/>
      </c>
      <c r="I7" s="13">
        <f>I4+I5+I6</f>
        <v/>
      </c>
      <c r="J7" s="13">
        <f>J4+J5+J6</f>
        <v/>
      </c>
      <c r="K7" s="13">
        <f>K4+K5+K6</f>
        <v/>
      </c>
      <c r="L7" s="13">
        <f>L4+L5+L6</f>
        <v/>
      </c>
      <c r="M7" s="13">
        <f>M4+M5+M6</f>
        <v/>
      </c>
      <c r="N7" s="13">
        <f>N4+N5+N6</f>
        <v/>
      </c>
      <c r="O7" s="13">
        <f>O4+O5+O6</f>
        <v/>
      </c>
      <c r="P7" s="13">
        <f>P4+P5+P6</f>
        <v/>
      </c>
      <c r="Q7" s="13">
        <f>Q4+Q5+Q6</f>
        <v/>
      </c>
      <c r="R7" s="13">
        <f>R4+R5+R6</f>
        <v/>
      </c>
      <c r="S7" s="13">
        <f>S4+S5+S6</f>
        <v/>
      </c>
      <c r="T7" s="13">
        <f>T4+T5+T6</f>
        <v/>
      </c>
      <c r="U7" s="13">
        <f>U4+U5+U6</f>
        <v/>
      </c>
      <c r="V7" s="13">
        <f>V4+V5+V6</f>
        <v/>
      </c>
      <c r="W7" s="13">
        <f>W4+W5+W6</f>
        <v/>
      </c>
      <c r="X7" s="13">
        <f>X4+X5+X6</f>
        <v/>
      </c>
      <c r="Y7" s="13">
        <f>Y4+Y5+Y6</f>
        <v/>
      </c>
      <c r="Z7" s="13">
        <f>Z4+Z5+Z6</f>
        <v/>
      </c>
      <c r="AA7" s="13">
        <f>AA4+AA5+AA6</f>
        <v/>
      </c>
      <c r="AB7" s="13">
        <f>AB4+AB5+AB6</f>
        <v/>
      </c>
      <c r="AC7" s="13">
        <f>AC4+AC5+AC6</f>
        <v/>
      </c>
      <c r="AD7" s="13">
        <f>AD4+AD5+AD6</f>
        <v/>
      </c>
      <c r="AE7" s="13">
        <f>AE4+AE5+AE6</f>
        <v/>
      </c>
      <c r="AF7" s="13">
        <f>AF4+AF5+AF6</f>
        <v/>
      </c>
      <c r="AG7" s="13">
        <f>AG4+AG5+AG6</f>
        <v/>
      </c>
      <c r="AH7" s="13">
        <f>AH4+AH5+AH6</f>
        <v/>
      </c>
      <c r="AI7" s="13">
        <f>AI4+AI5+AI6</f>
        <v/>
      </c>
      <c r="AJ7" s="13">
        <f>AJ4+AJ5+AJ6</f>
        <v/>
      </c>
      <c r="AK7" s="11">
        <f>IF(N7&lt;&gt;0,(AB7-N7)/ABS(N7),0)</f>
        <v/>
      </c>
      <c r="AL7" s="11">
        <f>IF(AB7&lt;&gt;0,(AJ7-AB7)/ABS(AB7),0)</f>
        <v/>
      </c>
    </row>
    <row r="8" ht="5" customHeight="1"/>
    <row r="9" ht="15" customHeight="1">
      <c r="A9" s="7" t="inlineStr">
        <is>
          <t>DIRECT COSTS</t>
        </is>
      </c>
    </row>
    <row r="10" ht="13" customHeight="1">
      <c r="A10" s="14" t="inlineStr">
        <is>
          <t>Personnel</t>
        </is>
      </c>
    </row>
    <row r="11" ht="13" customHeight="1">
      <c r="A11" s="15" t="inlineStr">
        <is>
          <t xml:space="preserve">    Nursery Salaries</t>
        </is>
      </c>
      <c r="B11" s="16" t="n">
        <v>20563.42</v>
      </c>
      <c r="C11" s="16" t="n">
        <v>20213.37</v>
      </c>
      <c r="D11" s="16" t="n">
        <v>21470.65</v>
      </c>
      <c r="E11" s="16" t="n">
        <v>24892.98</v>
      </c>
      <c r="F11" s="16" t="n">
        <v>23314.35</v>
      </c>
      <c r="G11" s="16" t="n">
        <v>22997.77</v>
      </c>
      <c r="H11" s="16" t="n">
        <v>23503.46</v>
      </c>
      <c r="I11" s="16" t="n">
        <v>18431.22</v>
      </c>
      <c r="J11" s="16" t="n">
        <v>18936.09</v>
      </c>
      <c r="K11" s="16" t="n">
        <v>19115.71</v>
      </c>
      <c r="L11" s="16" t="n">
        <v>19409.15</v>
      </c>
      <c r="M11" s="16" t="n">
        <v>19644.59</v>
      </c>
      <c r="N11" s="16">
        <f>SUM(B11:M11)</f>
        <v/>
      </c>
      <c r="O11" s="16" t="n">
        <v>22397.82</v>
      </c>
      <c r="P11" s="16" t="n">
        <v>20915.8</v>
      </c>
      <c r="Q11" s="16" t="n">
        <v>21228.23</v>
      </c>
      <c r="R11" s="16" t="n">
        <v>24553.16</v>
      </c>
      <c r="S11" s="16" t="n">
        <v>23927.03</v>
      </c>
      <c r="T11" s="16" t="n">
        <v>24496.41</v>
      </c>
      <c r="U11" s="16" t="n">
        <v>24453.12</v>
      </c>
      <c r="AA11" s="16">
        <f>SUM(O11:U11)</f>
        <v/>
      </c>
      <c r="AB11" s="16">
        <f>SUM(O11:Z11)</f>
        <v/>
      </c>
      <c r="AC11" s="16" t="n">
        <v>24326</v>
      </c>
      <c r="AD11" s="16" t="n">
        <v>24326</v>
      </c>
      <c r="AE11" s="16" t="n">
        <v>24326</v>
      </c>
      <c r="AF11" s="16" t="n">
        <v>24326</v>
      </c>
      <c r="AG11" s="16" t="n">
        <v>24326</v>
      </c>
      <c r="AH11" s="16" t="n">
        <v>24326</v>
      </c>
      <c r="AI11" s="10">
        <f>SUM(AC11:AH11)</f>
        <v/>
      </c>
      <c r="AJ11" s="16">
        <f>SUM(AC11:AH11)+AI11</f>
        <v/>
      </c>
      <c r="AK11" s="11">
        <f>IF(N11&lt;&gt;0,(AB11-N11)/ABS(N11),0)</f>
        <v/>
      </c>
      <c r="AL11" s="11">
        <f>IF(AB11&lt;&gt;0,(AJ11-AB11)/ABS(AB11),0)</f>
        <v/>
      </c>
    </row>
    <row r="12" ht="13" customHeight="1">
      <c r="A12" s="15" t="inlineStr">
        <is>
          <t xml:space="preserve">    Nursery NI</t>
        </is>
      </c>
      <c r="B12" s="16" t="n">
        <v>1779.03</v>
      </c>
      <c r="C12" s="16" t="n">
        <v>1715.81</v>
      </c>
      <c r="D12" s="16" t="n">
        <v>1827.23</v>
      </c>
      <c r="E12" s="16" t="n">
        <v>2853.52</v>
      </c>
      <c r="F12" s="16" t="n">
        <v>2716.71</v>
      </c>
      <c r="G12" s="16" t="n">
        <v>2671.16</v>
      </c>
      <c r="H12" s="16" t="n">
        <v>2750.72</v>
      </c>
      <c r="I12" s="16" t="n">
        <v>2020.55</v>
      </c>
      <c r="J12" s="16" t="n">
        <v>2022.69</v>
      </c>
      <c r="K12" s="16" t="n">
        <v>2177.05</v>
      </c>
      <c r="L12" s="16" t="n">
        <v>2121.95</v>
      </c>
      <c r="M12" s="16" t="n">
        <v>2160.08</v>
      </c>
      <c r="N12" s="16">
        <f>SUM(B12:M12)</f>
        <v/>
      </c>
      <c r="O12" s="16" t="n">
        <v>2569.78</v>
      </c>
      <c r="P12" s="16" t="n">
        <v>2333.89</v>
      </c>
      <c r="Q12" s="16" t="n">
        <v>2397.63</v>
      </c>
      <c r="R12" s="16" t="n">
        <v>2810.47</v>
      </c>
      <c r="S12" s="16" t="n">
        <v>2678.16</v>
      </c>
      <c r="T12" s="16" t="n">
        <v>2699.89</v>
      </c>
      <c r="U12" s="16" t="n">
        <v>2746.09</v>
      </c>
      <c r="AA12" s="16">
        <f>SUM(O12:U12)</f>
        <v/>
      </c>
      <c r="AB12" s="16">
        <f>SUM(O12:Z12)</f>
        <v/>
      </c>
      <c r="AC12" s="16" t="n">
        <v>2730</v>
      </c>
      <c r="AD12" s="16" t="n">
        <v>2730</v>
      </c>
      <c r="AE12" s="16" t="n">
        <v>2730</v>
      </c>
      <c r="AF12" s="16" t="n">
        <v>2730</v>
      </c>
      <c r="AG12" s="16" t="n">
        <v>2730</v>
      </c>
      <c r="AH12" s="16" t="n">
        <v>2730</v>
      </c>
      <c r="AI12" s="10">
        <f>SUM(AC12:AH12)</f>
        <v/>
      </c>
      <c r="AJ12" s="16">
        <f>SUM(AC12:AH12)+AI12</f>
        <v/>
      </c>
      <c r="AK12" s="11">
        <f>IF(N12&lt;&gt;0,(AB12-N12)/ABS(N12),0)</f>
        <v/>
      </c>
      <c r="AL12" s="11">
        <f>IF(AB12&lt;&gt;0,(AJ12-AB12)/ABS(AB12),0)</f>
        <v/>
      </c>
    </row>
    <row r="13" ht="13" customHeight="1">
      <c r="A13" s="15" t="inlineStr">
        <is>
          <t xml:space="preserve">    Nursery Pension</t>
        </is>
      </c>
      <c r="B13" s="16" t="n">
        <v>442.12</v>
      </c>
      <c r="C13" s="16" t="n">
        <v>430.09</v>
      </c>
      <c r="D13" s="16" t="n">
        <v>405.36</v>
      </c>
      <c r="E13" s="16" t="n">
        <v>485.36</v>
      </c>
      <c r="F13" s="16" t="n">
        <v>515.48</v>
      </c>
      <c r="G13" s="16" t="n">
        <v>506.37</v>
      </c>
      <c r="H13" s="16" t="n">
        <v>516.35</v>
      </c>
      <c r="I13" s="16" t="n">
        <v>385.54</v>
      </c>
      <c r="J13" s="16" t="n">
        <v>331.38</v>
      </c>
      <c r="K13" s="16" t="n">
        <v>338.82</v>
      </c>
      <c r="L13" s="16" t="n">
        <v>396.08</v>
      </c>
      <c r="M13" s="16" t="n">
        <v>395.76</v>
      </c>
      <c r="N13" s="16">
        <f>SUM(B13:M13)</f>
        <v/>
      </c>
      <c r="O13" s="16" t="n">
        <v>478.5</v>
      </c>
      <c r="P13" s="16" t="n">
        <v>445.11</v>
      </c>
      <c r="Q13" s="16" t="n">
        <v>456.21</v>
      </c>
      <c r="R13" s="16" t="n">
        <v>473.88</v>
      </c>
      <c r="S13" s="16" t="n">
        <v>461.27</v>
      </c>
      <c r="T13" s="16" t="n">
        <v>447.41</v>
      </c>
      <c r="U13" s="16" t="n">
        <v>462.52</v>
      </c>
      <c r="AA13" s="16">
        <f>SUM(O13:U13)</f>
        <v/>
      </c>
      <c r="AB13" s="16">
        <f>SUM(O13:Z13)</f>
        <v/>
      </c>
      <c r="AC13" s="16" t="n">
        <v>478.5</v>
      </c>
      <c r="AD13" s="16" t="n">
        <v>478.5</v>
      </c>
      <c r="AE13" s="16" t="n">
        <v>478.5</v>
      </c>
      <c r="AF13" s="16" t="n">
        <v>478.5</v>
      </c>
      <c r="AG13" s="16" t="n">
        <v>478.5</v>
      </c>
      <c r="AH13" s="16" t="n">
        <v>478.5</v>
      </c>
      <c r="AI13" s="10">
        <f>SUM(AC13:AH13)</f>
        <v/>
      </c>
      <c r="AJ13" s="16">
        <f>SUM(AC13:AH13)+AI13</f>
        <v/>
      </c>
      <c r="AK13" s="11">
        <f>IF(N13&lt;&gt;0,(AB13-N13)/ABS(N13),0)</f>
        <v/>
      </c>
      <c r="AL13" s="11">
        <f>IF(AB13&lt;&gt;0,(AJ13-AB13)/ABS(AB13),0)</f>
        <v/>
      </c>
    </row>
    <row r="14" ht="13" customHeight="1">
      <c r="A14" s="15" t="inlineStr">
        <is>
          <t xml:space="preserve">    Uniform</t>
        </is>
      </c>
      <c r="B14" s="16" t="n">
        <v>0</v>
      </c>
      <c r="C14" s="16" t="n">
        <v>219.84</v>
      </c>
      <c r="D14" s="16" t="n">
        <v>166.92</v>
      </c>
      <c r="E14" s="16" t="n">
        <v>106.38</v>
      </c>
      <c r="F14" s="16" t="n">
        <v>92.34</v>
      </c>
      <c r="G14" s="16" t="n">
        <v>0</v>
      </c>
      <c r="H14" s="16" t="n">
        <v>0</v>
      </c>
      <c r="I14" s="16" t="n">
        <v>91.14</v>
      </c>
      <c r="J14" s="16" t="n">
        <v>13.98</v>
      </c>
      <c r="K14" s="16" t="n">
        <v>534</v>
      </c>
      <c r="L14" s="16" t="n">
        <v>0</v>
      </c>
      <c r="M14" s="16" t="n">
        <v>35.82</v>
      </c>
      <c r="N14" s="16">
        <f>SUM(B14:M14)</f>
        <v/>
      </c>
      <c r="O14" s="16" t="n">
        <v>0</v>
      </c>
      <c r="P14" s="16" t="n">
        <v>0</v>
      </c>
      <c r="Q14" s="16" t="n">
        <v>0</v>
      </c>
      <c r="R14" s="16" t="n">
        <v>0</v>
      </c>
      <c r="S14" s="16" t="n">
        <v>0</v>
      </c>
      <c r="T14" s="16" t="n">
        <v>0</v>
      </c>
      <c r="U14" s="16" t="n">
        <v>113.94</v>
      </c>
      <c r="AA14" s="16">
        <f>SUM(O14:U14)</f>
        <v/>
      </c>
      <c r="AB14" s="16">
        <f>SUM(O14:Z14)</f>
        <v/>
      </c>
      <c r="AC14" s="16" t="n">
        <v>39</v>
      </c>
      <c r="AD14" s="16" t="n">
        <v>39</v>
      </c>
      <c r="AE14" s="16" t="n">
        <v>39</v>
      </c>
      <c r="AF14" s="16" t="n">
        <v>39</v>
      </c>
      <c r="AG14" s="16" t="n">
        <v>39</v>
      </c>
      <c r="AH14" s="16" t="n">
        <v>39</v>
      </c>
      <c r="AI14" s="10">
        <f>SUM(AC14:AH14)</f>
        <v/>
      </c>
      <c r="AJ14" s="16">
        <f>SUM(AC14:AH14)+AI14</f>
        <v/>
      </c>
      <c r="AK14" s="11">
        <f>IF(N14&lt;&gt;0,(AB14-N14)/ABS(N14),0)</f>
        <v/>
      </c>
      <c r="AL14" s="11">
        <f>IF(AB14&lt;&gt;0,(AJ14-AB14)/ABS(AB14),0)</f>
        <v/>
      </c>
    </row>
    <row r="15" ht="13" customHeight="1">
      <c r="A15" s="15" t="inlineStr">
        <is>
          <t xml:space="preserve">    Training</t>
        </is>
      </c>
      <c r="B15" s="16" t="n">
        <v>48</v>
      </c>
      <c r="C15" s="16" t="n">
        <v>0</v>
      </c>
      <c r="D15" s="16" t="n">
        <v>0</v>
      </c>
      <c r="E15" s="16" t="n">
        <v>0</v>
      </c>
      <c r="F15" s="16" t="n">
        <v>61.2</v>
      </c>
      <c r="G15" s="16" t="n">
        <v>0</v>
      </c>
      <c r="H15" s="16" t="n">
        <v>37.2</v>
      </c>
      <c r="I15" s="16" t="n">
        <v>307.19</v>
      </c>
      <c r="J15" s="16" t="n">
        <v>0</v>
      </c>
      <c r="K15" s="16" t="n">
        <v>0</v>
      </c>
      <c r="L15" s="16" t="n">
        <v>114</v>
      </c>
      <c r="M15" s="16" t="n">
        <v>0</v>
      </c>
      <c r="N15" s="16">
        <f>SUM(B15:M15)</f>
        <v/>
      </c>
      <c r="O15" s="16" t="n">
        <v>0</v>
      </c>
      <c r="P15" s="16" t="n">
        <v>-422</v>
      </c>
      <c r="Q15" s="16" t="n">
        <v>0</v>
      </c>
      <c r="R15" s="16" t="n">
        <v>0</v>
      </c>
      <c r="S15" s="16" t="n">
        <v>78</v>
      </c>
      <c r="T15" s="16" t="n">
        <v>252</v>
      </c>
      <c r="U15" s="16" t="n">
        <v>0</v>
      </c>
      <c r="AA15" s="16">
        <f>SUM(O15:U15)</f>
        <v/>
      </c>
      <c r="AB15" s="16">
        <f>SUM(O15:Z15)</f>
        <v/>
      </c>
      <c r="AC15" s="16" t="n">
        <v>50</v>
      </c>
      <c r="AD15" s="16" t="n">
        <v>50</v>
      </c>
      <c r="AE15" s="16" t="n">
        <v>50</v>
      </c>
      <c r="AF15" s="16" t="n">
        <v>50</v>
      </c>
      <c r="AG15" s="16" t="n">
        <v>50</v>
      </c>
      <c r="AH15" s="16" t="n">
        <v>50</v>
      </c>
      <c r="AI15" s="10">
        <f>SUM(AC15:AH15)</f>
        <v/>
      </c>
      <c r="AJ15" s="16">
        <f>SUM(AC15:AH15)+AI15</f>
        <v/>
      </c>
      <c r="AK15" s="11">
        <f>IF(N15&lt;&gt;0,(AB15-N15)/ABS(N15),0)</f>
        <v/>
      </c>
      <c r="AL15" s="11">
        <f>IF(AB15&lt;&gt;0,(AJ15-AB15)/ABS(AB15),0)</f>
        <v/>
      </c>
    </row>
    <row r="16" ht="13" customHeight="1">
      <c r="A16" s="15" t="inlineStr">
        <is>
          <t xml:space="preserve">    Staff Welfare</t>
        </is>
      </c>
      <c r="B16" s="16" t="n">
        <v>130.26</v>
      </c>
      <c r="C16" s="16" t="n">
        <v>218.62</v>
      </c>
      <c r="D16" s="16" t="n">
        <v>222.99</v>
      </c>
      <c r="E16" s="16" t="n">
        <v>233.98</v>
      </c>
      <c r="F16" s="16" t="n">
        <v>99.15000000000001</v>
      </c>
      <c r="G16" s="16" t="n">
        <v>189.15</v>
      </c>
      <c r="H16" s="16" t="n">
        <v>126.5</v>
      </c>
      <c r="I16" s="16" t="n">
        <v>176.63</v>
      </c>
      <c r="J16" s="16" t="n">
        <v>64.90000000000001</v>
      </c>
      <c r="K16" s="16" t="n">
        <v>212.8</v>
      </c>
      <c r="L16" s="16" t="n">
        <v>68.61</v>
      </c>
      <c r="M16" s="16" t="n">
        <v>23.31</v>
      </c>
      <c r="N16" s="16">
        <f>SUM(B16:M16)</f>
        <v/>
      </c>
      <c r="O16" s="16" t="n">
        <v>93.25</v>
      </c>
      <c r="P16" s="16" t="n">
        <v>12.5</v>
      </c>
      <c r="Q16" s="16" t="n">
        <v>167.27</v>
      </c>
      <c r="R16" s="16" t="n">
        <v>161.9</v>
      </c>
      <c r="S16" s="16" t="n">
        <v>163.43</v>
      </c>
      <c r="T16" s="16" t="n">
        <v>23.54</v>
      </c>
      <c r="U16" s="16" t="n">
        <v>191.12</v>
      </c>
      <c r="AA16" s="16">
        <f>SUM(O16:U16)</f>
        <v/>
      </c>
      <c r="AB16" s="16">
        <f>SUM(O16:Z16)</f>
        <v/>
      </c>
      <c r="AC16" s="16" t="n">
        <v>80</v>
      </c>
      <c r="AD16" s="16" t="n">
        <v>80</v>
      </c>
      <c r="AE16" s="16" t="n">
        <v>80</v>
      </c>
      <c r="AF16" s="16" t="n">
        <v>80</v>
      </c>
      <c r="AG16" s="16" t="n">
        <v>80</v>
      </c>
      <c r="AH16" s="16" t="n">
        <v>80</v>
      </c>
      <c r="AI16" s="10">
        <f>SUM(AC16:AH16)</f>
        <v/>
      </c>
      <c r="AJ16" s="16">
        <f>SUM(AC16:AH16)+AI16</f>
        <v/>
      </c>
      <c r="AK16" s="11">
        <f>IF(N16&lt;&gt;0,(AB16-N16)/ABS(N16),0)</f>
        <v/>
      </c>
      <c r="AL16" s="11">
        <f>IF(AB16&lt;&gt;0,(AJ16-AB16)/ABS(AB16),0)</f>
        <v/>
      </c>
    </row>
    <row r="17" ht="13" customHeight="1">
      <c r="A17" s="15" t="inlineStr">
        <is>
          <t xml:space="preserve">    Recruitment</t>
        </is>
      </c>
      <c r="B17" s="16" t="n">
        <v>0</v>
      </c>
      <c r="C17" s="16" t="n">
        <v>0</v>
      </c>
      <c r="D17" s="16" t="n">
        <v>0</v>
      </c>
      <c r="E17" s="16" t="n">
        <v>0</v>
      </c>
      <c r="F17" s="16" t="n">
        <v>0</v>
      </c>
      <c r="G17" s="16" t="n">
        <v>0</v>
      </c>
      <c r="H17" s="16" t="n">
        <v>0</v>
      </c>
      <c r="I17" s="16" t="n">
        <v>0</v>
      </c>
      <c r="J17" s="16" t="n">
        <v>0</v>
      </c>
      <c r="K17" s="16" t="n">
        <v>0</v>
      </c>
      <c r="L17" s="16" t="n">
        <v>0</v>
      </c>
      <c r="M17" s="16" t="n">
        <v>0</v>
      </c>
      <c r="N17" s="16">
        <f>SUM(B17:M17)</f>
        <v/>
      </c>
      <c r="O17" s="16" t="n">
        <v>0</v>
      </c>
      <c r="P17" s="16" t="n">
        <v>0</v>
      </c>
      <c r="Q17" s="16" t="n">
        <v>0</v>
      </c>
      <c r="R17" s="16" t="n">
        <v>0</v>
      </c>
      <c r="S17" s="16" t="n">
        <v>0</v>
      </c>
      <c r="T17" s="16" t="n">
        <v>0</v>
      </c>
      <c r="U17" s="16" t="n">
        <v>0</v>
      </c>
      <c r="V17" s="16" t="n">
        <v>0</v>
      </c>
      <c r="W17" s="16" t="n">
        <v>0</v>
      </c>
      <c r="X17" s="16" t="n">
        <v>0</v>
      </c>
      <c r="Y17" s="16" t="n">
        <v>0</v>
      </c>
      <c r="Z17" s="16" t="n">
        <v>0</v>
      </c>
      <c r="AA17" s="16">
        <f>SUM(O17:U17)</f>
        <v/>
      </c>
      <c r="AB17" s="16">
        <f>SUM(O17:Z17)</f>
        <v/>
      </c>
      <c r="AC17" s="16" t="n">
        <v>0</v>
      </c>
      <c r="AD17" s="16" t="n">
        <v>0</v>
      </c>
      <c r="AE17" s="16" t="n">
        <v>0</v>
      </c>
      <c r="AF17" s="16" t="n">
        <v>0</v>
      </c>
      <c r="AG17" s="16" t="n">
        <v>0</v>
      </c>
      <c r="AH17" s="16" t="n">
        <v>0</v>
      </c>
      <c r="AI17" s="10">
        <f>SUM(AC17:AH17)</f>
        <v/>
      </c>
      <c r="AJ17" s="16">
        <f>SUM(AC17:AH17)+AI17</f>
        <v/>
      </c>
      <c r="AK17" s="11">
        <f>IF(N17&lt;&gt;0,(AB17-N17)/ABS(N17),0)</f>
        <v/>
      </c>
      <c r="AL17" s="11">
        <f>IF(AB17&lt;&gt;0,(AJ17-AB17)/ABS(AB17),0)</f>
        <v/>
      </c>
    </row>
    <row r="18" ht="13" customHeight="1">
      <c r="A18" s="15" t="inlineStr">
        <is>
          <t xml:space="preserve">    Rewards &amp; Recognition</t>
        </is>
      </c>
      <c r="B18" s="16" t="n">
        <v>0</v>
      </c>
      <c r="C18" s="16" t="n">
        <v>0</v>
      </c>
      <c r="D18" s="16" t="n">
        <v>0</v>
      </c>
      <c r="E18" s="16" t="n">
        <v>0</v>
      </c>
      <c r="F18" s="16" t="n">
        <v>0</v>
      </c>
      <c r="G18" s="16" t="n">
        <v>0</v>
      </c>
      <c r="H18" s="16" t="n">
        <v>33</v>
      </c>
      <c r="I18" s="16" t="n">
        <v>0</v>
      </c>
      <c r="J18" s="16" t="n">
        <v>31.5</v>
      </c>
      <c r="K18" s="16" t="n">
        <v>0</v>
      </c>
      <c r="L18" s="16" t="n">
        <v>0</v>
      </c>
      <c r="M18" s="16" t="n">
        <v>0</v>
      </c>
      <c r="N18" s="16">
        <f>SUM(B18:M18)</f>
        <v/>
      </c>
      <c r="O18" s="16" t="n">
        <v>16.5</v>
      </c>
      <c r="P18" s="16" t="n">
        <v>50.23</v>
      </c>
      <c r="Q18" s="16" t="n">
        <v>15.28</v>
      </c>
      <c r="R18" s="16" t="n">
        <v>0</v>
      </c>
      <c r="S18" s="16" t="n">
        <v>16.5</v>
      </c>
      <c r="T18" s="16" t="n">
        <v>0</v>
      </c>
      <c r="U18" s="16" t="n">
        <v>31.9</v>
      </c>
      <c r="AA18" s="16">
        <f>SUM(O18:U18)</f>
        <v/>
      </c>
      <c r="AB18" s="16">
        <f>SUM(O18:Z18)</f>
        <v/>
      </c>
      <c r="AC18" s="16" t="n">
        <v>33</v>
      </c>
      <c r="AD18" s="16" t="n">
        <v>33</v>
      </c>
      <c r="AE18" s="16" t="n">
        <v>33</v>
      </c>
      <c r="AF18" s="16" t="n">
        <v>33</v>
      </c>
      <c r="AG18" s="16" t="n">
        <v>33</v>
      </c>
      <c r="AH18" s="16" t="n">
        <v>33</v>
      </c>
      <c r="AI18" s="10">
        <f>SUM(AC18:AH18)</f>
        <v/>
      </c>
      <c r="AJ18" s="16">
        <f>SUM(AC18:AH18)+AI18</f>
        <v/>
      </c>
      <c r="AK18" s="11">
        <f>IF(N18&lt;&gt;0,(AB18-N18)/ABS(N18),0)</f>
        <v/>
      </c>
      <c r="AL18" s="11">
        <f>IF(AB18&lt;&gt;0,(AJ18-AB18)/ABS(AB18),0)</f>
        <v/>
      </c>
    </row>
    <row r="19" ht="13" customHeight="1">
      <c r="A19" s="15" t="inlineStr">
        <is>
          <t xml:space="preserve">    Temps</t>
        </is>
      </c>
      <c r="B19" s="16" t="n">
        <v>0</v>
      </c>
      <c r="C19" s="16" t="n">
        <v>0</v>
      </c>
      <c r="D19" s="16" t="n">
        <v>0</v>
      </c>
      <c r="E19" s="16" t="n">
        <v>0</v>
      </c>
      <c r="F19" s="16" t="n">
        <v>0</v>
      </c>
      <c r="G19" s="16" t="n">
        <v>0</v>
      </c>
      <c r="H19" s="16" t="n">
        <v>0</v>
      </c>
      <c r="I19" s="16" t="n">
        <v>0</v>
      </c>
      <c r="J19" s="16" t="n">
        <v>0</v>
      </c>
      <c r="K19" s="16" t="n">
        <v>0</v>
      </c>
      <c r="L19" s="16" t="n">
        <v>0</v>
      </c>
      <c r="M19" s="16" t="n">
        <v>0</v>
      </c>
      <c r="N19" s="16">
        <f>SUM(B19:M19)</f>
        <v/>
      </c>
      <c r="O19" s="16" t="n">
        <v>0</v>
      </c>
      <c r="P19" s="16" t="n">
        <v>0</v>
      </c>
      <c r="Q19" s="16" t="n">
        <v>0</v>
      </c>
      <c r="R19" s="16" t="n">
        <v>0</v>
      </c>
      <c r="S19" s="16" t="n">
        <v>0</v>
      </c>
      <c r="T19" s="16" t="n">
        <v>0</v>
      </c>
      <c r="U19" s="16" t="n">
        <v>0</v>
      </c>
      <c r="V19" s="16" t="n">
        <v>0</v>
      </c>
      <c r="W19" s="16" t="n">
        <v>0</v>
      </c>
      <c r="X19" s="16" t="n">
        <v>0</v>
      </c>
      <c r="Y19" s="16" t="n">
        <v>0</v>
      </c>
      <c r="Z19" s="16" t="n">
        <v>0</v>
      </c>
      <c r="AA19" s="16">
        <f>SUM(O19:U19)</f>
        <v/>
      </c>
      <c r="AB19" s="16">
        <f>SUM(O19:Z19)</f>
        <v/>
      </c>
      <c r="AC19" s="16" t="n">
        <v>0</v>
      </c>
      <c r="AD19" s="16" t="n">
        <v>0</v>
      </c>
      <c r="AE19" s="16" t="n">
        <v>0</v>
      </c>
      <c r="AF19" s="16" t="n">
        <v>0</v>
      </c>
      <c r="AG19" s="16" t="n">
        <v>0</v>
      </c>
      <c r="AH19" s="16" t="n">
        <v>0</v>
      </c>
      <c r="AI19" s="10">
        <f>SUM(AC19:AH19)</f>
        <v/>
      </c>
      <c r="AJ19" s="16">
        <f>SUM(AC19:AH19)+AI19</f>
        <v/>
      </c>
      <c r="AK19" s="11">
        <f>IF(N19&lt;&gt;0,(AB19-N19)/ABS(N19),0)</f>
        <v/>
      </c>
      <c r="AL19" s="11">
        <f>IF(AB19&lt;&gt;0,(AJ19-AB19)/ABS(AB19),0)</f>
        <v/>
      </c>
    </row>
    <row r="20" ht="13" customHeight="1">
      <c r="A20" s="17" t="inlineStr">
        <is>
          <t>Total Personnel</t>
        </is>
      </c>
      <c r="B20" s="18">
        <f>B11+B12+B13+B14+B15+B16+B17+B18+B19</f>
        <v/>
      </c>
      <c r="C20" s="18">
        <f>C11+C12+C13+C14+C15+C16+C17+C18+C19</f>
        <v/>
      </c>
      <c r="D20" s="18">
        <f>D11+D12+D13+D14+D15+D16+D17+D18+D19</f>
        <v/>
      </c>
      <c r="E20" s="18">
        <f>E11+E12+E13+E14+E15+E16+E17+E18+E19</f>
        <v/>
      </c>
      <c r="F20" s="18">
        <f>F11+F12+F13+F14+F15+F16+F17+F18+F19</f>
        <v/>
      </c>
      <c r="G20" s="18">
        <f>G11+G12+G13+G14+G15+G16+G17+G18+G19</f>
        <v/>
      </c>
      <c r="H20" s="18">
        <f>H11+H12+H13+H14+H15+H16+H17+H18+H19</f>
        <v/>
      </c>
      <c r="I20" s="18">
        <f>I11+I12+I13+I14+I15+I16+I17+I18+I19</f>
        <v/>
      </c>
      <c r="J20" s="18">
        <f>J11+J12+J13+J14+J15+J16+J17+J18+J19</f>
        <v/>
      </c>
      <c r="K20" s="18">
        <f>K11+K12+K13+K14+K15+K16+K17+K18+K19</f>
        <v/>
      </c>
      <c r="L20" s="18">
        <f>L11+L12+L13+L14+L15+L16+L17+L18+L19</f>
        <v/>
      </c>
      <c r="M20" s="18">
        <f>M11+M12+M13+M14+M15+M16+M17+M18+M19</f>
        <v/>
      </c>
      <c r="N20" s="18">
        <f>N11+N12+N13+N14+N15+N16+N17+N18+N19</f>
        <v/>
      </c>
      <c r="O20" s="18">
        <f>O11+O12+O13+O14+O15+O16+O17+O18+O19</f>
        <v/>
      </c>
      <c r="P20" s="18">
        <f>P11+P12+P13+P14+P15+P16+P17+P18+P19</f>
        <v/>
      </c>
      <c r="Q20" s="18">
        <f>Q11+Q12+Q13+Q14+Q15+Q16+Q17+Q18+Q19</f>
        <v/>
      </c>
      <c r="R20" s="18">
        <f>R11+R12+R13+R14+R15+R16+R17+R18+R19</f>
        <v/>
      </c>
      <c r="S20" s="18">
        <f>S11+S12+S13+S14+S15+S16+S17+S18+S19</f>
        <v/>
      </c>
      <c r="T20" s="18">
        <f>T11+T12+T13+T14+T15+T16+T17+T18+T19</f>
        <v/>
      </c>
      <c r="U20" s="18">
        <f>U11+U12+U13+U14+U15+U16+U17+U18+U19</f>
        <v/>
      </c>
      <c r="V20" s="18">
        <f>V11+V12+V13+V14+V15+V16+V17+V18+V19</f>
        <v/>
      </c>
      <c r="W20" s="18">
        <f>W11+W12+W13+W14+W15+W16+W17+W18+W19</f>
        <v/>
      </c>
      <c r="X20" s="18">
        <f>X11+X12+X13+X14+X15+X16+X17+X18+X19</f>
        <v/>
      </c>
      <c r="Y20" s="18">
        <f>Y11+Y12+Y13+Y14+Y15+Y16+Y17+Y18+Y19</f>
        <v/>
      </c>
      <c r="Z20" s="18">
        <f>Z11+Z12+Z13+Z14+Z15+Z16+Z17+Z18+Z19</f>
        <v/>
      </c>
      <c r="AA20" s="18">
        <f>AA11+AA12+AA13+AA14+AA15+AA16+AA17+AA18+AA19</f>
        <v/>
      </c>
      <c r="AB20" s="18">
        <f>AB11+AB12+AB13+AB14+AB15+AB16+AB17+AB18+AB19</f>
        <v/>
      </c>
      <c r="AC20" s="18">
        <f>AC11+AC12+AC13+AC14+AC15+AC16+AC17+AC18+AC19</f>
        <v/>
      </c>
      <c r="AD20" s="18">
        <f>AD11+AD12+AD13+AD14+AD15+AD16+AD17+AD18+AD19</f>
        <v/>
      </c>
      <c r="AE20" s="18">
        <f>AE11+AE12+AE13+AE14+AE15+AE16+AE17+AE18+AE19</f>
        <v/>
      </c>
      <c r="AF20" s="18">
        <f>AF11+AF12+AF13+AF14+AF15+AF16+AF17+AF18+AF19</f>
        <v/>
      </c>
      <c r="AG20" s="18">
        <f>AG11+AG12+AG13+AG14+AG15+AG16+AG17+AG18+AG19</f>
        <v/>
      </c>
      <c r="AH20" s="18">
        <f>AH11+AH12+AH13+AH14+AH15+AH16+AH17+AH18+AH19</f>
        <v/>
      </c>
      <c r="AI20" s="18">
        <f>AI11+AI12+AI13+AI14+AI15+AI16+AI17+AI18+AI19</f>
        <v/>
      </c>
      <c r="AJ20" s="18">
        <f>AJ11+AJ12+AJ13+AJ14+AJ15+AJ16+AJ17+AJ18+AJ19</f>
        <v/>
      </c>
      <c r="AK20" s="11">
        <f>IF(N20&lt;&gt;0,(AB20-N20)/ABS(N20),0)</f>
        <v/>
      </c>
      <c r="AL20" s="11">
        <f>IF(AB20&lt;&gt;0,(AJ20-AB20)/ABS(AB20),0)</f>
        <v/>
      </c>
    </row>
    <row r="21" ht="13" customHeight="1">
      <c r="A21" s="19" t="inlineStr">
        <is>
          <t xml:space="preserve">    Sal:Rev</t>
        </is>
      </c>
      <c r="B21" s="20">
        <f>IF(B7&gt;0,B20/B7,0)</f>
        <v/>
      </c>
      <c r="C21" s="20">
        <f>IF(C7&gt;0,C20/C7,0)</f>
        <v/>
      </c>
      <c r="D21" s="20">
        <f>IF(D7&gt;0,D20/D7,0)</f>
        <v/>
      </c>
      <c r="E21" s="20">
        <f>IF(E7&gt;0,E20/E7,0)</f>
        <v/>
      </c>
      <c r="F21" s="20">
        <f>IF(F7&gt;0,F20/F7,0)</f>
        <v/>
      </c>
      <c r="G21" s="20">
        <f>IF(G7&gt;0,G20/G7,0)</f>
        <v/>
      </c>
      <c r="H21" s="20">
        <f>IF(H7&gt;0,H20/H7,0)</f>
        <v/>
      </c>
      <c r="I21" s="20">
        <f>IF(I7&gt;0,I20/I7,0)</f>
        <v/>
      </c>
      <c r="J21" s="20">
        <f>IF(J7&gt;0,J20/J7,0)</f>
        <v/>
      </c>
      <c r="K21" s="20">
        <f>IF(K7&gt;0,K20/K7,0)</f>
        <v/>
      </c>
      <c r="L21" s="20">
        <f>IF(L7&gt;0,L20/L7,0)</f>
        <v/>
      </c>
      <c r="M21" s="20">
        <f>IF(M7&gt;0,M20/M7,0)</f>
        <v/>
      </c>
      <c r="N21" s="20">
        <f>IF(N7&gt;0,N20/N7,0)</f>
        <v/>
      </c>
      <c r="O21" s="20">
        <f>IF(O7&gt;0,O20/O7,0)</f>
        <v/>
      </c>
      <c r="P21" s="20">
        <f>IF(P7&gt;0,P20/P7,0)</f>
        <v/>
      </c>
      <c r="Q21" s="20">
        <f>IF(Q7&gt;0,Q20/Q7,0)</f>
        <v/>
      </c>
      <c r="R21" s="20">
        <f>IF(R7&gt;0,R20/R7,0)</f>
        <v/>
      </c>
      <c r="S21" s="20">
        <f>IF(S7&gt;0,S20/S7,0)</f>
        <v/>
      </c>
      <c r="T21" s="20">
        <f>IF(T7&gt;0,T20/T7,0)</f>
        <v/>
      </c>
      <c r="U21" s="20">
        <f>IF(U7&gt;0,U20/U7,0)</f>
        <v/>
      </c>
      <c r="V21" s="20">
        <f>IF(V7&gt;0,V20/V7,0)</f>
        <v/>
      </c>
      <c r="W21" s="20">
        <f>IF(W7&gt;0,W20/W7,0)</f>
        <v/>
      </c>
      <c r="X21" s="20">
        <f>IF(X7&gt;0,X20/X7,0)</f>
        <v/>
      </c>
      <c r="Y21" s="20">
        <f>IF(Y7&gt;0,Y20/Y7,0)</f>
        <v/>
      </c>
      <c r="Z21" s="20">
        <f>IF(Z7&gt;0,Z20/Z7,0)</f>
        <v/>
      </c>
      <c r="AA21" s="20">
        <f>IF(AA7&gt;0,AA20/AA7,0)</f>
        <v/>
      </c>
      <c r="AB21" s="20">
        <f>IF(AB7&gt;0,AB20/AB7,0)</f>
        <v/>
      </c>
      <c r="AC21" s="20">
        <f>IF(AC7&gt;0,AC20/AC7,0)</f>
        <v/>
      </c>
      <c r="AD21" s="20">
        <f>IF(AD7&gt;0,AD20/AD7,0)</f>
        <v/>
      </c>
      <c r="AE21" s="20">
        <f>IF(AE7&gt;0,AE20/AE7,0)</f>
        <v/>
      </c>
      <c r="AF21" s="20">
        <f>IF(AF7&gt;0,AF20/AF7,0)</f>
        <v/>
      </c>
      <c r="AG21" s="20">
        <f>IF(AG7&gt;0,AG20/AG7,0)</f>
        <v/>
      </c>
      <c r="AH21" s="20">
        <f>IF(AH7&gt;0,AH20/AH7,0)</f>
        <v/>
      </c>
      <c r="AI21" s="20">
        <f>IF(AI7&gt;0,AI20/AI7,0)</f>
        <v/>
      </c>
      <c r="AJ21" s="20">
        <f>IF(AJ7&gt;0,AJ20/AJ7,0)</f>
        <v/>
      </c>
    </row>
    <row r="22" ht="5" customHeight="1"/>
    <row r="23" ht="13" customHeight="1">
      <c r="A23" s="14" t="inlineStr">
        <is>
          <t>Childcare</t>
        </is>
      </c>
    </row>
    <row r="24" ht="13" customHeight="1">
      <c r="A24" s="21" t="inlineStr">
        <is>
          <t xml:space="preserve">    Catering Costs</t>
        </is>
      </c>
      <c r="N24" s="22">
        <f>SUM(B24:M24)</f>
        <v/>
      </c>
      <c r="O24" s="22" t="n">
        <v>1428.67</v>
      </c>
      <c r="P24" s="22" t="n">
        <v>1894.54</v>
      </c>
      <c r="Q24" s="22" t="n">
        <v>1660.07</v>
      </c>
      <c r="R24" s="22" t="n">
        <v>2099.27</v>
      </c>
      <c r="S24" s="22" t="n">
        <v>1513.13</v>
      </c>
      <c r="T24" s="22" t="n">
        <v>1672.02</v>
      </c>
      <c r="U24" s="22" t="n">
        <v>1682.53</v>
      </c>
      <c r="V24" s="22" t="n">
        <v>1396.4496</v>
      </c>
      <c r="W24" s="22" t="n">
        <v>1431.9552</v>
      </c>
      <c r="X24" s="22" t="n">
        <v>1649.544</v>
      </c>
      <c r="Y24" s="22" t="n">
        <v>1689.1056</v>
      </c>
      <c r="Z24" s="22" t="n">
        <v>1688.6688</v>
      </c>
      <c r="AA24" s="22">
        <f>SUM(O24:U24)</f>
        <v/>
      </c>
      <c r="AB24" s="22">
        <f>SUM(O24:Z24)</f>
        <v/>
      </c>
      <c r="AC24" s="22" t="n">
        <v>1741.501632</v>
      </c>
      <c r="AD24" s="22" t="n">
        <v>1878.959472</v>
      </c>
      <c r="AE24" s="22" t="n">
        <v>2302.785888</v>
      </c>
      <c r="AF24" s="22" t="n">
        <v>2165.362992</v>
      </c>
      <c r="AG24" s="22" t="n">
        <v>2050.934496</v>
      </c>
      <c r="AH24" s="22" t="n">
        <v>2284.219392</v>
      </c>
      <c r="AI24" s="10">
        <f>SUM(AC24:AH24)</f>
        <v/>
      </c>
      <c r="AJ24" s="22">
        <f>SUM(AC24:AH24)+AI24</f>
        <v/>
      </c>
      <c r="AK24" s="11">
        <f>IF(N24&lt;&gt;0,(AB24-N24)/ABS(N24),0)</f>
        <v/>
      </c>
      <c r="AL24" s="11">
        <f>IF(AB24&lt;&gt;0,(AJ24-AB24)/ABS(AB24),0)</f>
        <v/>
      </c>
    </row>
    <row r="25" ht="13" customHeight="1">
      <c r="A25" s="21" t="inlineStr">
        <is>
          <t xml:space="preserve">    Toys and Games</t>
        </is>
      </c>
      <c r="B25" s="22" t="n">
        <v>29.48</v>
      </c>
      <c r="C25" s="22" t="n">
        <v>98.81</v>
      </c>
      <c r="D25" s="22" t="n">
        <v>209.15</v>
      </c>
      <c r="E25" s="22" t="n">
        <v>106.54</v>
      </c>
      <c r="F25" s="22" t="n">
        <v>197.64</v>
      </c>
      <c r="G25" s="22" t="n">
        <v>67.42</v>
      </c>
      <c r="H25" s="22" t="n">
        <v>179.26</v>
      </c>
      <c r="I25" s="22" t="n">
        <v>51.75</v>
      </c>
      <c r="J25" s="22" t="n">
        <v>224.25</v>
      </c>
      <c r="K25" s="22" t="n">
        <v>49.58</v>
      </c>
      <c r="L25" s="22" t="n">
        <v>71.05</v>
      </c>
      <c r="M25" s="22" t="n">
        <v>37.20999999999999</v>
      </c>
      <c r="N25" s="22">
        <f>SUM(B25:M25)</f>
        <v/>
      </c>
      <c r="O25" s="22" t="n">
        <v>73.15000000000001</v>
      </c>
      <c r="P25" s="22" t="n">
        <v>25.18</v>
      </c>
      <c r="Q25" s="22" t="n">
        <v>58.1</v>
      </c>
      <c r="R25" s="22" t="n">
        <v>7.19</v>
      </c>
      <c r="S25" s="22" t="n">
        <v>59.06</v>
      </c>
      <c r="T25" s="22" t="n">
        <v>5.49</v>
      </c>
      <c r="U25" s="22" t="n">
        <v>31.95</v>
      </c>
      <c r="AA25" s="22">
        <f>SUM(O25:U25)</f>
        <v/>
      </c>
      <c r="AB25" s="22">
        <f>SUM(O25:Z25)</f>
        <v/>
      </c>
      <c r="AC25" s="22" t="n">
        <v>58</v>
      </c>
      <c r="AD25" s="22" t="n">
        <v>58</v>
      </c>
      <c r="AE25" s="22" t="n">
        <v>58</v>
      </c>
      <c r="AF25" s="22" t="n">
        <v>58</v>
      </c>
      <c r="AG25" s="22" t="n">
        <v>58</v>
      </c>
      <c r="AH25" s="22" t="n">
        <v>58</v>
      </c>
      <c r="AI25" s="10">
        <f>SUM(AC25:AH25)</f>
        <v/>
      </c>
      <c r="AJ25" s="22">
        <f>SUM(AC25:AH25)+AI25</f>
        <v/>
      </c>
      <c r="AK25" s="11">
        <f>IF(N25&lt;&gt;0,(AB25-N25)/ABS(N25),0)</f>
        <v/>
      </c>
      <c r="AL25" s="11">
        <f>IF(AB25&lt;&gt;0,(AJ25-AB25)/ABS(AB25),0)</f>
        <v/>
      </c>
    </row>
    <row r="26" ht="13" customHeight="1">
      <c r="A26" s="21" t="inlineStr">
        <is>
          <t xml:space="preserve">    Art Materials</t>
        </is>
      </c>
      <c r="N26" s="22">
        <f>SUM(B26:M26)</f>
        <v/>
      </c>
      <c r="O26" s="22" t="n">
        <v>0</v>
      </c>
      <c r="P26" s="22" t="n">
        <v>95.16000000000001</v>
      </c>
      <c r="Q26" s="22" t="n">
        <v>324.34</v>
      </c>
      <c r="R26" s="22" t="n">
        <v>9.119999999999999</v>
      </c>
      <c r="S26" s="22" t="n">
        <v>36.43</v>
      </c>
      <c r="T26" s="22" t="n">
        <v>115.48</v>
      </c>
      <c r="U26" s="22" t="n">
        <v>18.98</v>
      </c>
      <c r="V26" s="22" t="n">
        <v>46.54832</v>
      </c>
      <c r="W26" s="22" t="n">
        <v>47.73184</v>
      </c>
      <c r="X26" s="22" t="n">
        <v>54.98479999999999</v>
      </c>
      <c r="Y26" s="22" t="n">
        <v>56.30351999999999</v>
      </c>
      <c r="Z26" s="22" t="n">
        <v>56.28896</v>
      </c>
      <c r="AA26" s="22">
        <f>SUM(O26:U26)</f>
        <v/>
      </c>
      <c r="AB26" s="22">
        <f>SUM(O26:Z26)</f>
        <v/>
      </c>
      <c r="AC26" s="22" t="n">
        <v>58.05005439999999</v>
      </c>
      <c r="AD26" s="22" t="n">
        <v>62.63198239999999</v>
      </c>
      <c r="AE26" s="22" t="n">
        <v>76.75952959999999</v>
      </c>
      <c r="AF26" s="22" t="n">
        <v>72.1787664</v>
      </c>
      <c r="AG26" s="22" t="n">
        <v>68.3644832</v>
      </c>
      <c r="AH26" s="22" t="n">
        <v>76.14064639999999</v>
      </c>
      <c r="AI26" s="10">
        <f>SUM(AC26:AH26)</f>
        <v/>
      </c>
      <c r="AJ26" s="22">
        <f>SUM(AC26:AH26)+AI26</f>
        <v/>
      </c>
      <c r="AK26" s="11">
        <f>IF(N26&lt;&gt;0,(AB26-N26)/ABS(N26),0)</f>
        <v/>
      </c>
      <c r="AL26" s="11">
        <f>IF(AB26&lt;&gt;0,(AJ26-AB26)/ABS(AB26),0)</f>
        <v/>
      </c>
    </row>
    <row r="27" ht="13" customHeight="1">
      <c r="A27" s="21" t="inlineStr">
        <is>
          <t xml:space="preserve">    Nursery Stationery</t>
        </is>
      </c>
      <c r="B27" s="22" t="n">
        <v>0</v>
      </c>
      <c r="C27" s="22" t="n">
        <v>0</v>
      </c>
      <c r="D27" s="22" t="n">
        <v>0</v>
      </c>
      <c r="E27" s="22" t="n">
        <v>0</v>
      </c>
      <c r="F27" s="22" t="n">
        <v>0</v>
      </c>
      <c r="G27" s="22" t="n">
        <v>0</v>
      </c>
      <c r="H27" s="22" t="n">
        <v>0</v>
      </c>
      <c r="I27" s="22" t="n">
        <v>0</v>
      </c>
      <c r="J27" s="22" t="n">
        <v>0</v>
      </c>
      <c r="K27" s="22" t="n">
        <v>0</v>
      </c>
      <c r="L27" s="22" t="n">
        <v>0</v>
      </c>
      <c r="M27" s="22" t="n">
        <v>0</v>
      </c>
      <c r="N27" s="22">
        <f>SUM(B27:M27)</f>
        <v/>
      </c>
      <c r="O27" s="22" t="n">
        <v>0</v>
      </c>
      <c r="P27" s="22" t="n">
        <v>0</v>
      </c>
      <c r="Q27" s="22" t="n">
        <v>0</v>
      </c>
      <c r="R27" s="22" t="n">
        <v>0</v>
      </c>
      <c r="S27" s="22" t="n">
        <v>0</v>
      </c>
      <c r="T27" s="22" t="n">
        <v>0</v>
      </c>
      <c r="U27" s="22" t="n">
        <v>0</v>
      </c>
      <c r="V27" s="22" t="n">
        <v>0</v>
      </c>
      <c r="W27" s="22" t="n">
        <v>0</v>
      </c>
      <c r="X27" s="22" t="n">
        <v>0</v>
      </c>
      <c r="Y27" s="22" t="n">
        <v>0</v>
      </c>
      <c r="Z27" s="22" t="n">
        <v>0</v>
      </c>
      <c r="AA27" s="22">
        <f>SUM(O27:U27)</f>
        <v/>
      </c>
      <c r="AB27" s="22">
        <f>SUM(O27:Z27)</f>
        <v/>
      </c>
      <c r="AC27" s="22" t="n">
        <v>100</v>
      </c>
      <c r="AD27" s="22" t="n">
        <v>100</v>
      </c>
      <c r="AE27" s="22" t="n">
        <v>100</v>
      </c>
      <c r="AF27" s="22" t="n">
        <v>100</v>
      </c>
      <c r="AG27" s="22" t="n">
        <v>100</v>
      </c>
      <c r="AH27" s="22" t="n">
        <v>100</v>
      </c>
      <c r="AI27" s="10">
        <f>SUM(AC27:AH27)</f>
        <v/>
      </c>
      <c r="AJ27" s="22">
        <f>SUM(AC27:AH27)+AI27</f>
        <v/>
      </c>
      <c r="AK27" s="11">
        <f>IF(N27&lt;&gt;0,(AB27-N27)/ABS(N27),0)</f>
        <v/>
      </c>
      <c r="AL27" s="11">
        <f>IF(AB27&lt;&gt;0,(AJ27-AB27)/ABS(AB27),0)</f>
        <v/>
      </c>
    </row>
    <row r="28" ht="13" customHeight="1">
      <c r="A28" s="21" t="inlineStr">
        <is>
          <t xml:space="preserve">    Nursery Equipment</t>
        </is>
      </c>
      <c r="B28" s="22" t="n">
        <v>0</v>
      </c>
      <c r="C28" s="22" t="n">
        <v>3.99</v>
      </c>
      <c r="D28" s="22" t="n">
        <v>201.16</v>
      </c>
      <c r="E28" s="22" t="n">
        <v>91.98</v>
      </c>
      <c r="F28" s="22" t="n">
        <v>114.68</v>
      </c>
      <c r="G28" s="22" t="n">
        <v>25</v>
      </c>
      <c r="H28" s="22" t="n">
        <v>28.7</v>
      </c>
      <c r="I28" s="22" t="n">
        <v>396.21</v>
      </c>
      <c r="J28" s="22" t="n">
        <v>169.37</v>
      </c>
      <c r="K28" s="22" t="n">
        <v>48.97</v>
      </c>
      <c r="L28" s="22" t="n">
        <v>35.92</v>
      </c>
      <c r="M28" s="22" t="n">
        <v>151.68</v>
      </c>
      <c r="N28" s="22">
        <f>SUM(B28:M28)</f>
        <v/>
      </c>
      <c r="O28" s="22" t="n">
        <v>13.98</v>
      </c>
      <c r="P28" s="22" t="n">
        <v>79.02</v>
      </c>
      <c r="Q28" s="22" t="n">
        <v>33.43</v>
      </c>
      <c r="R28" s="22" t="n">
        <v>46</v>
      </c>
      <c r="S28" s="22" t="n">
        <v>25.88</v>
      </c>
      <c r="T28" s="22" t="n">
        <v>47.97</v>
      </c>
      <c r="U28" s="22" t="n">
        <v>0</v>
      </c>
      <c r="AA28" s="22">
        <f>SUM(O28:U28)</f>
        <v/>
      </c>
      <c r="AB28" s="22">
        <f>SUM(O28:Z28)</f>
        <v/>
      </c>
      <c r="AC28" s="22" t="n">
        <v>50</v>
      </c>
      <c r="AD28" s="22" t="n">
        <v>50</v>
      </c>
      <c r="AE28" s="22" t="n">
        <v>50</v>
      </c>
      <c r="AF28" s="22" t="n">
        <v>50</v>
      </c>
      <c r="AG28" s="22" t="n">
        <v>50</v>
      </c>
      <c r="AH28" s="22" t="n">
        <v>50</v>
      </c>
      <c r="AI28" s="10">
        <f>SUM(AC28:AH28)</f>
        <v/>
      </c>
      <c r="AJ28" s="22">
        <f>SUM(AC28:AH28)+AI28</f>
        <v/>
      </c>
      <c r="AK28" s="11">
        <f>IF(N28&lt;&gt;0,(AB28-N28)/ABS(N28),0)</f>
        <v/>
      </c>
      <c r="AL28" s="11">
        <f>IF(AB28&lt;&gt;0,(AJ28-AB28)/ABS(AB28),0)</f>
        <v/>
      </c>
    </row>
    <row r="29" ht="13" customHeight="1">
      <c r="A29" s="21" t="inlineStr">
        <is>
          <t xml:space="preserve">    Nursery Consumables</t>
        </is>
      </c>
      <c r="N29" s="22">
        <f>SUM(B29:M29)</f>
        <v/>
      </c>
      <c r="O29" s="22" t="n">
        <v>120.47</v>
      </c>
      <c r="P29" s="22" t="n">
        <v>153.08</v>
      </c>
      <c r="Q29" s="22" t="n">
        <v>198.65</v>
      </c>
      <c r="R29" s="22" t="n">
        <v>181.3</v>
      </c>
      <c r="S29" s="22" t="n">
        <v>115.66</v>
      </c>
      <c r="T29" s="22" t="n">
        <v>241.42</v>
      </c>
      <c r="U29" s="22" t="n">
        <v>125.04</v>
      </c>
      <c r="V29" s="22" t="n">
        <v>93.09664000000004</v>
      </c>
      <c r="W29" s="22" t="n">
        <v>95.46368000000002</v>
      </c>
      <c r="X29" s="22" t="n">
        <v>109.9696</v>
      </c>
      <c r="Y29" s="22" t="n">
        <v>112.60704</v>
      </c>
      <c r="Z29" s="22" t="n">
        <v>112.57792</v>
      </c>
      <c r="AA29" s="22">
        <f>SUM(O29:U29)</f>
        <v/>
      </c>
      <c r="AB29" s="22">
        <f>SUM(O29:Z29)</f>
        <v/>
      </c>
      <c r="AC29" s="22" t="n">
        <v>116.1001088</v>
      </c>
      <c r="AD29" s="22" t="n">
        <v>125.2639648</v>
      </c>
      <c r="AE29" s="22" t="n">
        <v>153.5190592000001</v>
      </c>
      <c r="AF29" s="22" t="n">
        <v>144.3575328000001</v>
      </c>
      <c r="AG29" s="22" t="n">
        <v>136.7289664</v>
      </c>
      <c r="AH29" s="22" t="n">
        <v>152.2812928</v>
      </c>
      <c r="AI29" s="10">
        <f>SUM(AC29:AH29)</f>
        <v/>
      </c>
      <c r="AJ29" s="22">
        <f>SUM(AC29:AH29)+AI29</f>
        <v/>
      </c>
      <c r="AK29" s="11">
        <f>IF(N29&lt;&gt;0,(AB29-N29)/ABS(N29),0)</f>
        <v/>
      </c>
      <c r="AL29" s="11">
        <f>IF(AB29&lt;&gt;0,(AJ29-AB29)/ABS(AB29),0)</f>
        <v/>
      </c>
    </row>
    <row r="30" ht="13" customHeight="1">
      <c r="A30" s="23" t="inlineStr">
        <is>
          <t>Total Childcare Costs</t>
        </is>
      </c>
      <c r="B30" s="24">
        <f>B24+B25+B26+B27+B28+B29</f>
        <v/>
      </c>
      <c r="C30" s="24">
        <f>C24+C25+C26+C27+C28+C29</f>
        <v/>
      </c>
      <c r="D30" s="24">
        <f>D24+D25+D26+D27+D28+D29</f>
        <v/>
      </c>
      <c r="E30" s="24">
        <f>E24+E25+E26+E27+E28+E29</f>
        <v/>
      </c>
      <c r="F30" s="24">
        <f>F24+F25+F26+F27+F28+F29</f>
        <v/>
      </c>
      <c r="G30" s="24">
        <f>G24+G25+G26+G27+G28+G29</f>
        <v/>
      </c>
      <c r="H30" s="24">
        <f>H24+H25+H26+H27+H28+H29</f>
        <v/>
      </c>
      <c r="I30" s="24">
        <f>I24+I25+I26+I27+I28+I29</f>
        <v/>
      </c>
      <c r="J30" s="24">
        <f>J24+J25+J26+J27+J28+J29</f>
        <v/>
      </c>
      <c r="K30" s="24">
        <f>K24+K25+K26+K27+K28+K29</f>
        <v/>
      </c>
      <c r="L30" s="24">
        <f>L24+L25+L26+L27+L28+L29</f>
        <v/>
      </c>
      <c r="M30" s="24">
        <f>M24+M25+M26+M27+M28+M29</f>
        <v/>
      </c>
      <c r="N30" s="24">
        <f>N24+N25+N26+N27+N28+N29</f>
        <v/>
      </c>
      <c r="O30" s="24">
        <f>O24+O25+O26+O27+O28+O29</f>
        <v/>
      </c>
      <c r="P30" s="24">
        <f>P24+P25+P26+P27+P28+P29</f>
        <v/>
      </c>
      <c r="Q30" s="24">
        <f>Q24+Q25+Q26+Q27+Q28+Q29</f>
        <v/>
      </c>
      <c r="R30" s="24">
        <f>R24+R25+R26+R27+R28+R29</f>
        <v/>
      </c>
      <c r="S30" s="24">
        <f>S24+S25+S26+S27+S28+S29</f>
        <v/>
      </c>
      <c r="T30" s="24">
        <f>T24+T25+T26+T27+T28+T29</f>
        <v/>
      </c>
      <c r="U30" s="24">
        <f>U24+U25+U26+U27+U28+U29</f>
        <v/>
      </c>
      <c r="V30" s="24">
        <f>V24+V25+V26+V27+V28+V29</f>
        <v/>
      </c>
      <c r="W30" s="24">
        <f>W24+W25+W26+W27+W28+W29</f>
        <v/>
      </c>
      <c r="X30" s="24">
        <f>X24+X25+X26+X27+X28+X29</f>
        <v/>
      </c>
      <c r="Y30" s="24">
        <f>Y24+Y25+Y26+Y27+Y28+Y29</f>
        <v/>
      </c>
      <c r="Z30" s="24">
        <f>Z24+Z25+Z26+Z27+Z28+Z29</f>
        <v/>
      </c>
      <c r="AA30" s="24">
        <f>AA24+AA25+AA26+AA27+AA28+AA29</f>
        <v/>
      </c>
      <c r="AB30" s="24">
        <f>AB24+AB25+AB26+AB27+AB28+AB29</f>
        <v/>
      </c>
      <c r="AC30" s="24">
        <f>AC24+AC25+AC26+AC27+AC28+AC29</f>
        <v/>
      </c>
      <c r="AD30" s="24">
        <f>AD24+AD25+AD26+AD27+AD28+AD29</f>
        <v/>
      </c>
      <c r="AE30" s="24">
        <f>AE24+AE25+AE26+AE27+AE28+AE29</f>
        <v/>
      </c>
      <c r="AF30" s="24">
        <f>AF24+AF25+AF26+AF27+AF28+AF29</f>
        <v/>
      </c>
      <c r="AG30" s="24">
        <f>AG24+AG25+AG26+AG27+AG28+AG29</f>
        <v/>
      </c>
      <c r="AH30" s="24">
        <f>AH24+AH25+AH26+AH27+AH28+AH29</f>
        <v/>
      </c>
      <c r="AI30" s="24">
        <f>AI24+AI25+AI26+AI27+AI28+AI29</f>
        <v/>
      </c>
      <c r="AJ30" s="24">
        <f>AJ24+AJ25+AJ26+AJ27+AJ28+AJ29</f>
        <v/>
      </c>
      <c r="AK30" s="11">
        <f>IF(N30&lt;&gt;0,(AB30-N30)/ABS(N30),0)</f>
        <v/>
      </c>
      <c r="AL30" s="11">
        <f>IF(AB30&lt;&gt;0,(AJ30-AB30)/ABS(AB30),0)</f>
        <v/>
      </c>
    </row>
    <row r="31" ht="5" customHeight="1"/>
    <row r="32" ht="13" customHeight="1">
      <c r="A32" s="14" t="inlineStr">
        <is>
          <t>Premises &amp; Admin</t>
        </is>
      </c>
    </row>
    <row r="33" ht="13" customHeight="1">
      <c r="A33" s="25" t="inlineStr">
        <is>
          <t xml:space="preserve">    Rent</t>
        </is>
      </c>
      <c r="B33" s="26" t="n">
        <v>541.67</v>
      </c>
      <c r="C33" s="26" t="n">
        <v>541.67</v>
      </c>
      <c r="D33" s="26" t="n">
        <v>541.67</v>
      </c>
      <c r="E33" s="26" t="n">
        <v>541.67</v>
      </c>
      <c r="F33" s="26" t="n">
        <v>541.67</v>
      </c>
      <c r="G33" s="26" t="n">
        <v>541.67</v>
      </c>
      <c r="H33" s="26" t="n">
        <v>541.67</v>
      </c>
      <c r="I33" s="26" t="n">
        <v>541.67</v>
      </c>
      <c r="J33" s="26" t="n">
        <v>541.66</v>
      </c>
      <c r="K33" s="26" t="n">
        <v>541.67</v>
      </c>
      <c r="L33" s="26" t="n">
        <v>541.67</v>
      </c>
      <c r="M33" s="26" t="n">
        <v>541.66</v>
      </c>
      <c r="N33" s="26">
        <f>SUM(B33:M33)</f>
        <v/>
      </c>
      <c r="O33" s="26" t="n">
        <v>0</v>
      </c>
      <c r="P33" s="26" t="n">
        <v>0</v>
      </c>
      <c r="Q33" s="26" t="n">
        <v>-0.009999999999990905</v>
      </c>
      <c r="R33" s="26" t="n">
        <v>0</v>
      </c>
      <c r="S33" s="26" t="n">
        <v>0</v>
      </c>
      <c r="T33" s="26" t="n">
        <v>0</v>
      </c>
      <c r="U33" s="26" t="n">
        <v>0</v>
      </c>
      <c r="AA33" s="26">
        <f>SUM(O33:U33)</f>
        <v/>
      </c>
      <c r="AB33" s="26">
        <f>SUM(O33:Z33)</f>
        <v/>
      </c>
      <c r="AC33" s="26" t="n">
        <v>0</v>
      </c>
      <c r="AD33" s="26" t="n">
        <v>0</v>
      </c>
      <c r="AE33" s="26" t="n">
        <v>0</v>
      </c>
      <c r="AF33" s="26" t="n">
        <v>0</v>
      </c>
      <c r="AG33" s="26" t="n">
        <v>0</v>
      </c>
      <c r="AH33" s="26" t="n">
        <v>0</v>
      </c>
      <c r="AI33" s="10">
        <f>SUM(AC33:AH33)</f>
        <v/>
      </c>
      <c r="AJ33" s="26">
        <f>SUM(AC33:AH33)+AI33</f>
        <v/>
      </c>
      <c r="AK33" s="11">
        <f>IF(N33&lt;&gt;0,(AB33-N33)/ABS(N33),0)</f>
        <v/>
      </c>
      <c r="AL33" s="11">
        <f>IF(AB33&lt;&gt;0,(AJ33-AB33)/ABS(AB33),0)</f>
        <v/>
      </c>
    </row>
    <row r="34" ht="13" customHeight="1">
      <c r="A34" s="25" t="inlineStr">
        <is>
          <t xml:space="preserve">    Business Rates</t>
        </is>
      </c>
      <c r="B34" s="26" t="n">
        <v>426.23</v>
      </c>
      <c r="C34" s="26" t="n">
        <v>426.23</v>
      </c>
      <c r="D34" s="26" t="n">
        <v>426.23</v>
      </c>
      <c r="E34" s="26" t="n">
        <v>426.23</v>
      </c>
      <c r="F34" s="26" t="n">
        <v>426.23</v>
      </c>
      <c r="G34" s="26" t="n">
        <v>426.23</v>
      </c>
      <c r="H34" s="26" t="n">
        <v>426.23</v>
      </c>
      <c r="I34" s="26" t="n">
        <v>426.23</v>
      </c>
      <c r="J34" s="26" t="n">
        <v>426.23</v>
      </c>
      <c r="K34" s="26" t="n">
        <v>426.23</v>
      </c>
      <c r="L34" s="26" t="n">
        <v>426.23</v>
      </c>
      <c r="M34" s="26" t="n">
        <v>426.23</v>
      </c>
      <c r="N34" s="26">
        <f>SUM(B34:M34)</f>
        <v/>
      </c>
      <c r="O34" s="26" t="n">
        <v>426.23</v>
      </c>
      <c r="P34" s="26" t="n">
        <v>426.23</v>
      </c>
      <c r="Q34" s="26" t="n">
        <v>426.22</v>
      </c>
      <c r="R34" s="26" t="n">
        <v>447.54</v>
      </c>
      <c r="S34" s="26" t="n">
        <v>447.54</v>
      </c>
      <c r="T34" s="26" t="n">
        <v>447.54</v>
      </c>
      <c r="U34" s="26" t="n">
        <v>447.54</v>
      </c>
      <c r="AA34" s="26">
        <f>SUM(O34:U34)</f>
        <v/>
      </c>
      <c r="AB34" s="26">
        <f>SUM(O34:Z34)</f>
        <v/>
      </c>
      <c r="AC34" s="26" t="n">
        <v>0</v>
      </c>
      <c r="AD34" s="26" t="n">
        <v>0</v>
      </c>
      <c r="AE34" s="26" t="n">
        <v>0</v>
      </c>
      <c r="AF34" s="26" t="n">
        <v>0</v>
      </c>
      <c r="AG34" s="26" t="n">
        <v>0</v>
      </c>
      <c r="AH34" s="26" t="n">
        <v>0</v>
      </c>
      <c r="AI34" s="10">
        <f>SUM(AC34:AH34)</f>
        <v/>
      </c>
      <c r="AJ34" s="26">
        <f>SUM(AC34:AH34)+AI34</f>
        <v/>
      </c>
      <c r="AK34" s="11">
        <f>IF(N34&lt;&gt;0,(AB34-N34)/ABS(N34),0)</f>
        <v/>
      </c>
      <c r="AL34" s="11">
        <f>IF(AB34&lt;&gt;0,(AJ34-AB34)/ABS(AB34),0)</f>
        <v/>
      </c>
    </row>
    <row r="35" ht="13" customHeight="1">
      <c r="A35" s="25" t="inlineStr">
        <is>
          <t xml:space="preserve">    Utilities</t>
        </is>
      </c>
      <c r="B35" s="26" t="n">
        <v>1144.51</v>
      </c>
      <c r="C35" s="26" t="n">
        <v>1876.52</v>
      </c>
      <c r="D35" s="26" t="n">
        <v>3731.16</v>
      </c>
      <c r="E35" s="26" t="n">
        <v>2446.87</v>
      </c>
      <c r="F35" s="26" t="n">
        <v>-507.1600000000001</v>
      </c>
      <c r="G35" s="26" t="n">
        <v>852.76</v>
      </c>
      <c r="H35" s="26" t="n">
        <v>771.11</v>
      </c>
      <c r="I35" s="26" t="n">
        <v>2306.56</v>
      </c>
      <c r="J35" s="26" t="n">
        <v>853.0600000000001</v>
      </c>
      <c r="K35" s="26" t="n">
        <v>2101.48</v>
      </c>
      <c r="L35" s="26" t="n">
        <v>2463.12</v>
      </c>
      <c r="M35" s="26" t="n">
        <v>3402.53</v>
      </c>
      <c r="N35" s="26">
        <f>SUM(B35:M35)</f>
        <v/>
      </c>
      <c r="O35" s="26" t="n">
        <v>2109.25</v>
      </c>
      <c r="P35" s="26" t="n">
        <v>2316.27</v>
      </c>
      <c r="Q35" s="26" t="n">
        <v>1417.04</v>
      </c>
      <c r="R35" s="26" t="n">
        <v>1804.14</v>
      </c>
      <c r="S35" s="26" t="n">
        <v>1026.04</v>
      </c>
      <c r="T35" s="26" t="n">
        <v>1890.08</v>
      </c>
      <c r="U35" s="26" t="n">
        <v>1648.84</v>
      </c>
      <c r="AA35" s="26">
        <f>SUM(O35:U35)</f>
        <v/>
      </c>
      <c r="AB35" s="26">
        <f>SUM(O35:Z35)</f>
        <v/>
      </c>
      <c r="AC35" s="26" t="n">
        <v>0</v>
      </c>
      <c r="AD35" s="26" t="n">
        <v>0</v>
      </c>
      <c r="AE35" s="26" t="n">
        <v>0</v>
      </c>
      <c r="AF35" s="26" t="n">
        <v>0</v>
      </c>
      <c r="AG35" s="26" t="n">
        <v>0</v>
      </c>
      <c r="AH35" s="26" t="n">
        <v>0</v>
      </c>
      <c r="AI35" s="10">
        <f>SUM(AC35:AH35)</f>
        <v/>
      </c>
      <c r="AJ35" s="26">
        <f>SUM(AC35:AH35)+AI35</f>
        <v/>
      </c>
      <c r="AK35" s="11">
        <f>IF(N35&lt;&gt;0,(AB35-N35)/ABS(N35),0)</f>
        <v/>
      </c>
      <c r="AL35" s="11">
        <f>IF(AB35&lt;&gt;0,(AJ35-AB35)/ABS(AB35),0)</f>
        <v/>
      </c>
    </row>
    <row r="36" ht="13" customHeight="1">
      <c r="A36" s="25" t="inlineStr">
        <is>
          <t xml:space="preserve">    Repairs &amp; Maintenance</t>
        </is>
      </c>
      <c r="B36" s="26" t="n">
        <v>0</v>
      </c>
      <c r="C36" s="26" t="n">
        <v>14.36</v>
      </c>
      <c r="D36" s="26" t="n">
        <v>327.5</v>
      </c>
      <c r="E36" s="26" t="n">
        <v>305.35</v>
      </c>
      <c r="F36" s="26" t="n">
        <v>370.59</v>
      </c>
      <c r="G36" s="26" t="n">
        <v>26.58</v>
      </c>
      <c r="H36" s="26" t="n">
        <v>0</v>
      </c>
      <c r="I36" s="26" t="n">
        <v>32.82</v>
      </c>
      <c r="J36" s="26" t="n">
        <v>0</v>
      </c>
      <c r="K36" s="26" t="n">
        <v>0</v>
      </c>
      <c r="L36" s="26" t="n">
        <v>27.8</v>
      </c>
      <c r="M36" s="26" t="n">
        <v>268.7</v>
      </c>
      <c r="N36" s="26">
        <f>SUM(B36:M36)</f>
        <v/>
      </c>
      <c r="O36" s="26" t="n">
        <v>0</v>
      </c>
      <c r="P36" s="26" t="n">
        <v>90.59999999999999</v>
      </c>
      <c r="Q36" s="26" t="n">
        <v>0</v>
      </c>
      <c r="R36" s="26" t="n">
        <v>279</v>
      </c>
      <c r="S36" s="26" t="n">
        <v>0</v>
      </c>
      <c r="T36" s="26" t="n">
        <v>0</v>
      </c>
      <c r="U36" s="26" t="n">
        <v>369.46</v>
      </c>
      <c r="AA36" s="26">
        <f>SUM(O36:U36)</f>
        <v/>
      </c>
      <c r="AB36" s="26">
        <f>SUM(O36:Z36)</f>
        <v/>
      </c>
      <c r="AC36" s="26" t="n">
        <v>0</v>
      </c>
      <c r="AD36" s="26" t="n">
        <v>0</v>
      </c>
      <c r="AE36" s="26" t="n">
        <v>0</v>
      </c>
      <c r="AF36" s="26" t="n">
        <v>0</v>
      </c>
      <c r="AG36" s="26" t="n">
        <v>0</v>
      </c>
      <c r="AH36" s="26" t="n">
        <v>0</v>
      </c>
      <c r="AI36" s="10">
        <f>SUM(AC36:AH36)</f>
        <v/>
      </c>
      <c r="AJ36" s="26">
        <f>SUM(AC36:AH36)+AI36</f>
        <v/>
      </c>
      <c r="AK36" s="11">
        <f>IF(N36&lt;&gt;0,(AB36-N36)/ABS(N36),0)</f>
        <v/>
      </c>
      <c r="AL36" s="11">
        <f>IF(AB36&lt;&gt;0,(AJ36-AB36)/ABS(AB36),0)</f>
        <v/>
      </c>
    </row>
    <row r="37" ht="13" customHeight="1">
      <c r="A37" s="25" t="inlineStr">
        <is>
          <t xml:space="preserve">    Cleaning</t>
        </is>
      </c>
      <c r="B37" s="26" t="n">
        <v>341.18</v>
      </c>
      <c r="C37" s="26" t="n">
        <v>0</v>
      </c>
      <c r="D37" s="26" t="n">
        <v>495.47</v>
      </c>
      <c r="E37" s="26" t="n">
        <v>147.98</v>
      </c>
      <c r="F37" s="26" t="n">
        <v>216.21</v>
      </c>
      <c r="G37" s="26" t="n">
        <v>0</v>
      </c>
      <c r="H37" s="26" t="n">
        <v>42.92</v>
      </c>
      <c r="I37" s="26" t="n">
        <v>219.35</v>
      </c>
      <c r="J37" s="26" t="n">
        <v>417.65</v>
      </c>
      <c r="K37" s="26" t="n">
        <v>206.69</v>
      </c>
      <c r="L37" s="26" t="n">
        <v>0</v>
      </c>
      <c r="M37" s="26" t="n">
        <v>146.16</v>
      </c>
      <c r="N37" s="26">
        <f>SUM(B37:M37)</f>
        <v/>
      </c>
      <c r="O37" s="26" t="n">
        <v>0</v>
      </c>
      <c r="P37" s="26" t="n">
        <v>670.87</v>
      </c>
      <c r="Q37" s="26" t="n">
        <v>178.99</v>
      </c>
      <c r="R37" s="26" t="n">
        <v>6.98</v>
      </c>
      <c r="S37" s="26" t="n">
        <v>0</v>
      </c>
      <c r="T37" s="26" t="n">
        <v>239.77</v>
      </c>
      <c r="U37" s="26" t="n">
        <v>277.39</v>
      </c>
      <c r="AA37" s="26">
        <f>SUM(O37:U37)</f>
        <v/>
      </c>
      <c r="AB37" s="26">
        <f>SUM(O37:Z37)</f>
        <v/>
      </c>
      <c r="AC37" s="26" t="n">
        <v>200</v>
      </c>
      <c r="AD37" s="26" t="n">
        <v>200</v>
      </c>
      <c r="AE37" s="26" t="n">
        <v>200</v>
      </c>
      <c r="AF37" s="26" t="n">
        <v>200</v>
      </c>
      <c r="AG37" s="26" t="n">
        <v>200</v>
      </c>
      <c r="AH37" s="26" t="n">
        <v>200</v>
      </c>
      <c r="AI37" s="10">
        <f>SUM(AC37:AH37)</f>
        <v/>
      </c>
      <c r="AJ37" s="26">
        <f>SUM(AC37:AH37)+AI37</f>
        <v/>
      </c>
      <c r="AK37" s="11">
        <f>IF(N37&lt;&gt;0,(AB37-N37)/ABS(N37),0)</f>
        <v/>
      </c>
      <c r="AL37" s="11">
        <f>IF(AB37&lt;&gt;0,(AJ37-AB37)/ABS(AB37),0)</f>
        <v/>
      </c>
    </row>
    <row r="38" ht="13" customHeight="1">
      <c r="A38" s="25" t="inlineStr">
        <is>
          <t xml:space="preserve">    Waste Disposal</t>
        </is>
      </c>
      <c r="B38" s="26" t="n">
        <v>346.68</v>
      </c>
      <c r="C38" s="26" t="n">
        <v>537.6600000000001</v>
      </c>
      <c r="D38" s="26" t="n">
        <v>397.6799999999999</v>
      </c>
      <c r="E38" s="26" t="n">
        <v>356.33</v>
      </c>
      <c r="F38" s="26" t="n">
        <v>380.74</v>
      </c>
      <c r="G38" s="26" t="n">
        <v>446.01</v>
      </c>
      <c r="H38" s="26" t="n">
        <v>380.74</v>
      </c>
      <c r="I38" s="26" t="n">
        <v>551.72</v>
      </c>
      <c r="J38" s="26" t="n">
        <v>434.15</v>
      </c>
      <c r="K38" s="26" t="n">
        <v>431.14</v>
      </c>
      <c r="L38" s="26" t="n">
        <v>389.72</v>
      </c>
      <c r="M38" s="26" t="n">
        <v>443.13</v>
      </c>
      <c r="N38" s="26">
        <f>SUM(B38:M38)</f>
        <v/>
      </c>
      <c r="O38" s="26" t="n">
        <v>389.73</v>
      </c>
      <c r="P38" s="26" t="n">
        <v>389.73</v>
      </c>
      <c r="Q38" s="26" t="n">
        <v>478.53</v>
      </c>
      <c r="R38" s="26" t="n">
        <v>548.1700000000001</v>
      </c>
      <c r="S38" s="26" t="n">
        <v>467.13</v>
      </c>
      <c r="T38" s="26" t="n">
        <v>281.67</v>
      </c>
      <c r="U38" s="26" t="n">
        <v>571.89</v>
      </c>
      <c r="AA38" s="26">
        <f>SUM(O38:U38)</f>
        <v/>
      </c>
      <c r="AB38" s="26">
        <f>SUM(O38:Z38)</f>
        <v/>
      </c>
      <c r="AC38" s="26" t="n">
        <v>426</v>
      </c>
      <c r="AD38" s="26" t="n">
        <v>426</v>
      </c>
      <c r="AE38" s="26" t="n">
        <v>426</v>
      </c>
      <c r="AF38" s="26" t="n">
        <v>426</v>
      </c>
      <c r="AG38" s="26" t="n">
        <v>426</v>
      </c>
      <c r="AH38" s="26" t="n">
        <v>426</v>
      </c>
      <c r="AI38" s="10">
        <f>SUM(AC38:AH38)</f>
        <v/>
      </c>
      <c r="AJ38" s="26">
        <f>SUM(AC38:AH38)+AI38</f>
        <v/>
      </c>
      <c r="AK38" s="11">
        <f>IF(N38&lt;&gt;0,(AB38-N38)/ABS(N38),0)</f>
        <v/>
      </c>
      <c r="AL38" s="11">
        <f>IF(AB38&lt;&gt;0,(AJ38-AB38)/ABS(AB38),0)</f>
        <v/>
      </c>
    </row>
    <row r="39" ht="13" customHeight="1">
      <c r="A39" s="25" t="inlineStr">
        <is>
          <t xml:space="preserve">    Postage/Printing/Stationery</t>
        </is>
      </c>
      <c r="B39" s="26" t="n">
        <v>27.13</v>
      </c>
      <c r="C39" s="26" t="n">
        <v>39.52</v>
      </c>
      <c r="D39" s="26" t="n">
        <v>37.15</v>
      </c>
      <c r="E39" s="26" t="n">
        <v>84.5</v>
      </c>
      <c r="F39" s="26" t="n">
        <v>28.99</v>
      </c>
      <c r="G39" s="26" t="n">
        <v>32.1</v>
      </c>
      <c r="H39" s="26" t="n">
        <v>23.58</v>
      </c>
      <c r="I39" s="26" t="n">
        <v>0</v>
      </c>
      <c r="J39" s="26" t="n">
        <v>166.43</v>
      </c>
      <c r="K39" s="26" t="n">
        <v>695.5</v>
      </c>
      <c r="L39" s="26" t="n">
        <v>0</v>
      </c>
      <c r="M39" s="26" t="n">
        <v>-413.13</v>
      </c>
      <c r="N39" s="26">
        <f>SUM(B39:M39)</f>
        <v/>
      </c>
      <c r="O39" s="26" t="n">
        <v>0</v>
      </c>
      <c r="P39" s="26" t="n">
        <v>20.39</v>
      </c>
      <c r="Q39" s="26" t="n">
        <v>0</v>
      </c>
      <c r="R39" s="26" t="n">
        <v>0</v>
      </c>
      <c r="S39" s="26" t="n">
        <v>0</v>
      </c>
      <c r="T39" s="26" t="n">
        <v>132.04</v>
      </c>
      <c r="U39" s="26" t="n">
        <v>78.31999999999999</v>
      </c>
      <c r="AA39" s="26">
        <f>SUM(O39:U39)</f>
        <v/>
      </c>
      <c r="AB39" s="26">
        <f>SUM(O39:Z39)</f>
        <v/>
      </c>
      <c r="AC39" s="26" t="n">
        <v>0</v>
      </c>
      <c r="AD39" s="26" t="n">
        <v>0</v>
      </c>
      <c r="AE39" s="26" t="n">
        <v>0</v>
      </c>
      <c r="AF39" s="26" t="n">
        <v>0</v>
      </c>
      <c r="AG39" s="26" t="n">
        <v>0</v>
      </c>
      <c r="AH39" s="26" t="n">
        <v>0</v>
      </c>
      <c r="AI39" s="10">
        <f>SUM(AC39:AH39)</f>
        <v/>
      </c>
      <c r="AJ39" s="26">
        <f>SUM(AC39:AH39)+AI39</f>
        <v/>
      </c>
      <c r="AK39" s="11">
        <f>IF(N39&lt;&gt;0,(AB39-N39)/ABS(N39),0)</f>
        <v/>
      </c>
      <c r="AL39" s="11">
        <f>IF(AB39&lt;&gt;0,(AJ39-AB39)/ABS(AB39),0)</f>
        <v/>
      </c>
    </row>
    <row r="40" ht="13" customHeight="1">
      <c r="A40" s="25" t="inlineStr">
        <is>
          <t xml:space="preserve">    Telephone</t>
        </is>
      </c>
      <c r="B40" s="26" t="n">
        <v>0</v>
      </c>
      <c r="C40" s="26" t="n">
        <v>0</v>
      </c>
      <c r="D40" s="26" t="n">
        <v>0</v>
      </c>
      <c r="E40" s="26" t="n">
        <v>0</v>
      </c>
      <c r="F40" s="26" t="n">
        <v>0</v>
      </c>
      <c r="G40" s="26" t="n">
        <v>0</v>
      </c>
      <c r="H40" s="26" t="n">
        <v>0</v>
      </c>
      <c r="I40" s="26" t="n">
        <v>0</v>
      </c>
      <c r="J40" s="26" t="n">
        <v>20</v>
      </c>
      <c r="K40" s="26" t="n">
        <v>0</v>
      </c>
      <c r="L40" s="26" t="n">
        <v>0</v>
      </c>
      <c r="M40" s="26" t="n">
        <v>0</v>
      </c>
      <c r="N40" s="26">
        <f>SUM(B40:M40)</f>
        <v/>
      </c>
      <c r="O40" s="26" t="n">
        <v>32</v>
      </c>
      <c r="P40" s="26" t="n">
        <v>73.3</v>
      </c>
      <c r="Q40" s="26" t="n">
        <v>0</v>
      </c>
      <c r="R40" s="26" t="n">
        <v>20</v>
      </c>
      <c r="S40" s="26" t="n">
        <v>0</v>
      </c>
      <c r="T40" s="26" t="n">
        <v>4.95</v>
      </c>
      <c r="U40" s="26" t="n">
        <v>28</v>
      </c>
      <c r="AA40" s="26">
        <f>SUM(O40:U40)</f>
        <v/>
      </c>
      <c r="AB40" s="26">
        <f>SUM(O40:Z40)</f>
        <v/>
      </c>
      <c r="AC40" s="26" t="n">
        <v>0</v>
      </c>
      <c r="AD40" s="26" t="n">
        <v>0</v>
      </c>
      <c r="AE40" s="26" t="n">
        <v>0</v>
      </c>
      <c r="AF40" s="26" t="n">
        <v>0</v>
      </c>
      <c r="AG40" s="26" t="n">
        <v>0</v>
      </c>
      <c r="AH40" s="26" t="n">
        <v>0</v>
      </c>
      <c r="AI40" s="10">
        <f>SUM(AC40:AH40)</f>
        <v/>
      </c>
      <c r="AJ40" s="26">
        <f>SUM(AC40:AH40)+AI40</f>
        <v/>
      </c>
      <c r="AK40" s="11">
        <f>IF(N40&lt;&gt;0,(AB40-N40)/ABS(N40),0)</f>
        <v/>
      </c>
      <c r="AL40" s="11">
        <f>IF(AB40&lt;&gt;0,(AJ40-AB40)/ABS(AB40),0)</f>
        <v/>
      </c>
    </row>
    <row r="41" ht="13" customHeight="1">
      <c r="A41" s="25" t="inlineStr">
        <is>
          <t xml:space="preserve">    Marketing</t>
        </is>
      </c>
      <c r="B41" s="26" t="n">
        <v>0</v>
      </c>
      <c r="C41" s="26" t="n">
        <v>0</v>
      </c>
      <c r="D41" s="26" t="n">
        <v>0</v>
      </c>
      <c r="E41" s="26" t="n">
        <v>0</v>
      </c>
      <c r="F41" s="26" t="n">
        <v>0</v>
      </c>
      <c r="G41" s="26" t="n">
        <v>0</v>
      </c>
      <c r="H41" s="26" t="n">
        <v>0</v>
      </c>
      <c r="I41" s="26" t="n">
        <v>0</v>
      </c>
      <c r="J41" s="26" t="n">
        <v>0</v>
      </c>
      <c r="K41" s="26" t="n">
        <v>0</v>
      </c>
      <c r="L41" s="26" t="n">
        <v>0</v>
      </c>
      <c r="M41" s="26" t="n">
        <v>0</v>
      </c>
      <c r="N41" s="26">
        <f>SUM(B41:M41)</f>
        <v/>
      </c>
      <c r="O41" s="26" t="n">
        <v>0</v>
      </c>
      <c r="P41" s="26" t="n">
        <v>0</v>
      </c>
      <c r="Q41" s="26" t="n">
        <v>0</v>
      </c>
      <c r="R41" s="26" t="n">
        <v>0</v>
      </c>
      <c r="S41" s="26" t="n">
        <v>0</v>
      </c>
      <c r="T41" s="26" t="n">
        <v>0</v>
      </c>
      <c r="U41" s="26" t="n">
        <v>0</v>
      </c>
      <c r="V41" s="26" t="n">
        <v>0</v>
      </c>
      <c r="W41" s="26" t="n">
        <v>0</v>
      </c>
      <c r="X41" s="26" t="n">
        <v>0</v>
      </c>
      <c r="Y41" s="26" t="n">
        <v>0</v>
      </c>
      <c r="Z41" s="26" t="n">
        <v>0</v>
      </c>
      <c r="AA41" s="26">
        <f>SUM(O41:U41)</f>
        <v/>
      </c>
      <c r="AB41" s="26">
        <f>SUM(O41:Z41)</f>
        <v/>
      </c>
      <c r="AC41" s="26" t="n">
        <v>100</v>
      </c>
      <c r="AD41" s="26" t="n">
        <v>100</v>
      </c>
      <c r="AE41" s="26" t="n">
        <v>100</v>
      </c>
      <c r="AF41" s="26" t="n">
        <v>100</v>
      </c>
      <c r="AG41" s="26" t="n">
        <v>100</v>
      </c>
      <c r="AH41" s="26" t="n">
        <v>100</v>
      </c>
      <c r="AI41" s="10">
        <f>SUM(AC41:AH41)</f>
        <v/>
      </c>
      <c r="AJ41" s="26">
        <f>SUM(AC41:AH41)+AI41</f>
        <v/>
      </c>
      <c r="AK41" s="11">
        <f>IF(N41&lt;&gt;0,(AB41-N41)/ABS(N41),0)</f>
        <v/>
      </c>
      <c r="AL41" s="11">
        <f>IF(AB41&lt;&gt;0,(AJ41-AB41)/ABS(AB41),0)</f>
        <v/>
      </c>
    </row>
    <row r="42" ht="13" customHeight="1">
      <c r="A42" s="27" t="inlineStr">
        <is>
          <t>Total Premises &amp; Admin</t>
        </is>
      </c>
      <c r="B42" s="28">
        <f>B33+B34+B35+B36+B37+B38+B39+B40+B41</f>
        <v/>
      </c>
      <c r="C42" s="28">
        <f>C33+C34+C35+C36+C37+C38+C39+C40+C41</f>
        <v/>
      </c>
      <c r="D42" s="28">
        <f>D33+D34+D35+D36+D37+D38+D39+D40+D41</f>
        <v/>
      </c>
      <c r="E42" s="28">
        <f>E33+E34+E35+E36+E37+E38+E39+E40+E41</f>
        <v/>
      </c>
      <c r="F42" s="28">
        <f>F33+F34+F35+F36+F37+F38+F39+F40+F41</f>
        <v/>
      </c>
      <c r="G42" s="28">
        <f>G33+G34+G35+G36+G37+G38+G39+G40+G41</f>
        <v/>
      </c>
      <c r="H42" s="28">
        <f>H33+H34+H35+H36+H37+H38+H39+H40+H41</f>
        <v/>
      </c>
      <c r="I42" s="28">
        <f>I33+I34+I35+I36+I37+I38+I39+I40+I41</f>
        <v/>
      </c>
      <c r="J42" s="28">
        <f>J33+J34+J35+J36+J37+J38+J39+J40+J41</f>
        <v/>
      </c>
      <c r="K42" s="28">
        <f>K33+K34+K35+K36+K37+K38+K39+K40+K41</f>
        <v/>
      </c>
      <c r="L42" s="28">
        <f>L33+L34+L35+L36+L37+L38+L39+L40+L41</f>
        <v/>
      </c>
      <c r="M42" s="28">
        <f>M33+M34+M35+M36+M37+M38+M39+M40+M41</f>
        <v/>
      </c>
      <c r="N42" s="28">
        <f>N33+N34+N35+N36+N37+N38+N39+N40+N41</f>
        <v/>
      </c>
      <c r="O42" s="28">
        <f>O33+O34+O35+O36+O37+O38+O39+O40+O41</f>
        <v/>
      </c>
      <c r="P42" s="28">
        <f>P33+P34+P35+P36+P37+P38+P39+P40+P41</f>
        <v/>
      </c>
      <c r="Q42" s="28">
        <f>Q33+Q34+Q35+Q36+Q37+Q38+Q39+Q40+Q41</f>
        <v/>
      </c>
      <c r="R42" s="28">
        <f>R33+R34+R35+R36+R37+R38+R39+R40+R41</f>
        <v/>
      </c>
      <c r="S42" s="28">
        <f>S33+S34+S35+S36+S37+S38+S39+S40+S41</f>
        <v/>
      </c>
      <c r="T42" s="28">
        <f>T33+T34+T35+T36+T37+T38+T39+T40+T41</f>
        <v/>
      </c>
      <c r="U42" s="28">
        <f>U33+U34+U35+U36+U37+U38+U39+U40+U41</f>
        <v/>
      </c>
      <c r="V42" s="28">
        <f>V33+V34+V35+V36+V37+V38+V39+V40+V41</f>
        <v/>
      </c>
      <c r="W42" s="28">
        <f>W33+W34+W35+W36+W37+W38+W39+W40+W41</f>
        <v/>
      </c>
      <c r="X42" s="28">
        <f>X33+X34+X35+X36+X37+X38+X39+X40+X41</f>
        <v/>
      </c>
      <c r="Y42" s="28">
        <f>Y33+Y34+Y35+Y36+Y37+Y38+Y39+Y40+Y41</f>
        <v/>
      </c>
      <c r="Z42" s="28">
        <f>Z33+Z34+Z35+Z36+Z37+Z38+Z39+Z40+Z41</f>
        <v/>
      </c>
      <c r="AA42" s="28">
        <f>AA33+AA34+AA35+AA36+AA37+AA38+AA39+AA40+AA41</f>
        <v/>
      </c>
      <c r="AB42" s="28">
        <f>AB33+AB34+AB35+AB36+AB37+AB38+AB39+AB40+AB41</f>
        <v/>
      </c>
      <c r="AC42" s="28">
        <f>AC33+AC34+AC35+AC36+AC37+AC38+AC39+AC40+AC41</f>
        <v/>
      </c>
      <c r="AD42" s="28">
        <f>AD33+AD34+AD35+AD36+AD37+AD38+AD39+AD40+AD41</f>
        <v/>
      </c>
      <c r="AE42" s="28">
        <f>AE33+AE34+AE35+AE36+AE37+AE38+AE39+AE40+AE41</f>
        <v/>
      </c>
      <c r="AF42" s="28">
        <f>AF33+AF34+AF35+AF36+AF37+AF38+AF39+AF40+AF41</f>
        <v/>
      </c>
      <c r="AG42" s="28">
        <f>AG33+AG34+AG35+AG36+AG37+AG38+AG39+AG40+AG41</f>
        <v/>
      </c>
      <c r="AH42" s="28">
        <f>AH33+AH34+AH35+AH36+AH37+AH38+AH39+AH40+AH41</f>
        <v/>
      </c>
      <c r="AI42" s="28">
        <f>AI33+AI34+AI35+AI36+AI37+AI38+AI39+AI40+AI41</f>
        <v/>
      </c>
      <c r="AJ42" s="28">
        <f>AJ33+AJ34+AJ35+AJ36+AJ37+AJ38+AJ39+AJ40+AJ41</f>
        <v/>
      </c>
      <c r="AK42" s="11">
        <f>IF(N42&lt;&gt;0,(AB42-N42)/ABS(N42),0)</f>
        <v/>
      </c>
      <c r="AL42" s="11">
        <f>IF(AB42&lt;&gt;0,(AJ42-AB42)/ABS(AB42),0)</f>
        <v/>
      </c>
    </row>
    <row r="43" ht="5" customHeight="1"/>
    <row r="44" ht="13" customHeight="1">
      <c r="A44" s="29" t="inlineStr">
        <is>
          <t>Total Direct Costs</t>
        </is>
      </c>
      <c r="AK44" s="11">
        <f>IF(N44&lt;&gt;0,(AB44-N44)/ABS(N44),0)</f>
        <v/>
      </c>
      <c r="AL44" s="11">
        <f>IF(AB44&lt;&gt;0,(AJ44-AB44)/ABS(AB44),0)</f>
        <v/>
      </c>
    </row>
    <row r="45" ht="5" customHeight="1"/>
    <row r="46" ht="15" customHeight="1">
      <c r="A46" s="30" t="inlineStr">
        <is>
          <t>CONTRIBUTION</t>
        </is>
      </c>
      <c r="B46" s="31">
        <f>B7-B44</f>
        <v/>
      </c>
      <c r="C46" s="31">
        <f>C7-C44</f>
        <v/>
      </c>
      <c r="D46" s="31">
        <f>D7-D44</f>
        <v/>
      </c>
      <c r="E46" s="31">
        <f>E7-E44</f>
        <v/>
      </c>
      <c r="F46" s="31">
        <f>F7-F44</f>
        <v/>
      </c>
      <c r="G46" s="31">
        <f>G7-G44</f>
        <v/>
      </c>
      <c r="H46" s="31">
        <f>H7-H44</f>
        <v/>
      </c>
      <c r="I46" s="31">
        <f>I7-I44</f>
        <v/>
      </c>
      <c r="J46" s="31">
        <f>J7-J44</f>
        <v/>
      </c>
      <c r="K46" s="31">
        <f>K7-K44</f>
        <v/>
      </c>
      <c r="L46" s="31">
        <f>L7-L44</f>
        <v/>
      </c>
      <c r="M46" s="31">
        <f>M7-M44</f>
        <v/>
      </c>
      <c r="N46" s="31">
        <f>N7-N44</f>
        <v/>
      </c>
      <c r="O46" s="31">
        <f>O7-O44</f>
        <v/>
      </c>
      <c r="P46" s="31">
        <f>P7-P44</f>
        <v/>
      </c>
      <c r="Q46" s="31">
        <f>Q7-Q44</f>
        <v/>
      </c>
      <c r="R46" s="31">
        <f>R7-R44</f>
        <v/>
      </c>
      <c r="S46" s="31">
        <f>S7-S44</f>
        <v/>
      </c>
      <c r="T46" s="31">
        <f>T7-T44</f>
        <v/>
      </c>
      <c r="U46" s="31">
        <f>U7-U44</f>
        <v/>
      </c>
      <c r="V46" s="31">
        <f>V7-V44</f>
        <v/>
      </c>
      <c r="W46" s="31">
        <f>W7-W44</f>
        <v/>
      </c>
      <c r="X46" s="31">
        <f>X7-X44</f>
        <v/>
      </c>
      <c r="Y46" s="31">
        <f>Y7-Y44</f>
        <v/>
      </c>
      <c r="Z46" s="31">
        <f>Z7-Z44</f>
        <v/>
      </c>
      <c r="AA46" s="31">
        <f>AA7-AA44</f>
        <v/>
      </c>
      <c r="AB46" s="31">
        <f>AB7-AB44</f>
        <v/>
      </c>
      <c r="AC46" s="31">
        <f>AC7-AC44</f>
        <v/>
      </c>
      <c r="AD46" s="31">
        <f>AD7-AD44</f>
        <v/>
      </c>
      <c r="AE46" s="31">
        <f>AE7-AE44</f>
        <v/>
      </c>
      <c r="AF46" s="31">
        <f>AF7-AF44</f>
        <v/>
      </c>
      <c r="AG46" s="31">
        <f>AG7-AG44</f>
        <v/>
      </c>
      <c r="AH46" s="31">
        <f>AH7-AH44</f>
        <v/>
      </c>
      <c r="AI46" s="31">
        <f>AI7-AI44</f>
        <v/>
      </c>
      <c r="AJ46" s="31">
        <f>AJ7-AJ44</f>
        <v/>
      </c>
      <c r="AK46" s="11">
        <f>IF(N46&lt;&gt;0,(AB46-N46)/ABS(N46),0)</f>
        <v/>
      </c>
      <c r="AL46" s="11">
        <f>IF(AB46&lt;&gt;0,(AJ46-AB46)/ABS(AB46),0)</f>
        <v/>
      </c>
    </row>
  </sheetData>
  <mergeCells count="8">
    <mergeCell ref="A10:AL10"/>
    <mergeCell ref="B1:N1"/>
    <mergeCell ref="A23:AL23"/>
    <mergeCell ref="A32:AL32"/>
    <mergeCell ref="AC1:AJ1"/>
    <mergeCell ref="A9:AL9"/>
    <mergeCell ref="A3:AL3"/>
    <mergeCell ref="O1:AB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L4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9.5" customWidth="1" min="27" max="27"/>
    <col width="9.5" customWidth="1" min="28" max="28"/>
    <col width="9.5" customWidth="1" min="29" max="29"/>
    <col width="9.5" customWidth="1" min="30" max="30"/>
    <col width="9.5" customWidth="1" min="31" max="31"/>
    <col width="9.5" customWidth="1" min="32" max="32"/>
    <col width="9.5" customWidth="1" min="33" max="33"/>
    <col width="9.5" customWidth="1" min="34" max="34"/>
    <col width="9.5" customWidth="1" min="35" max="35"/>
    <col width="11" customWidth="1" min="36" max="36"/>
    <col width="10" customWidth="1" min="37" max="37"/>
    <col width="10" customWidth="1" min="38" max="38"/>
  </cols>
  <sheetData>
    <row r="1" ht="18" customHeight="1">
      <c r="A1" s="1" t="inlineStr">
        <is>
          <t>Merrydale</t>
        </is>
      </c>
      <c r="B1" s="2" t="inlineStr">
        <is>
          <t>Actuals 2025</t>
        </is>
      </c>
      <c r="O1" s="2" t="inlineStr">
        <is>
          <t>2026 Actual / Forecast</t>
        </is>
      </c>
      <c r="AC1" s="2" t="inlineStr">
        <is>
          <t>2027 Forecast</t>
        </is>
      </c>
      <c r="AK1" s="3" t="inlineStr">
        <is>
          <t>YoY</t>
        </is>
      </c>
      <c r="AL1" s="3" t="inlineStr">
        <is>
          <t>YoY</t>
        </is>
      </c>
    </row>
    <row r="2" ht="22" customHeight="1">
      <c r="B2" s="4" t="inlineStr">
        <is>
          <t>Jan</t>
        </is>
      </c>
      <c r="C2" s="4" t="inlineStr">
        <is>
          <t>Feb</t>
        </is>
      </c>
      <c r="D2" s="4" t="inlineStr">
        <is>
          <t>Mar</t>
        </is>
      </c>
      <c r="E2" s="4" t="inlineStr">
        <is>
          <t>Apr</t>
        </is>
      </c>
      <c r="F2" s="4" t="inlineStr">
        <is>
          <t>May</t>
        </is>
      </c>
      <c r="G2" s="4" t="inlineStr">
        <is>
          <t>Jun</t>
        </is>
      </c>
      <c r="H2" s="4" t="inlineStr">
        <is>
          <t>Jul</t>
        </is>
      </c>
      <c r="I2" s="4" t="inlineStr">
        <is>
          <t>Aug</t>
        </is>
      </c>
      <c r="J2" s="4" t="inlineStr">
        <is>
          <t>Sep</t>
        </is>
      </c>
      <c r="K2" s="4" t="inlineStr">
        <is>
          <t>Oct</t>
        </is>
      </c>
      <c r="L2" s="4" t="inlineStr">
        <is>
          <t>Nov</t>
        </is>
      </c>
      <c r="M2" s="4" t="inlineStr">
        <is>
          <t>Dec</t>
        </is>
      </c>
      <c r="N2" s="5" t="inlineStr">
        <is>
          <t>FY2025
Total</t>
        </is>
      </c>
      <c r="O2" s="4" t="inlineStr">
        <is>
          <t>Jan</t>
        </is>
      </c>
      <c r="P2" s="4" t="inlineStr">
        <is>
          <t>Feb</t>
        </is>
      </c>
      <c r="Q2" s="4" t="inlineStr">
        <is>
          <t>Mar</t>
        </is>
      </c>
      <c r="R2" s="4" t="inlineStr">
        <is>
          <t>Apr</t>
        </is>
      </c>
      <c r="S2" s="4" t="inlineStr">
        <is>
          <t>May</t>
        </is>
      </c>
      <c r="T2" s="4" t="inlineStr">
        <is>
          <t>Jun</t>
        </is>
      </c>
      <c r="U2" s="4" t="inlineStr">
        <is>
          <t>Jul</t>
        </is>
      </c>
      <c r="V2" s="4" t="inlineStr">
        <is>
          <t>Aug</t>
        </is>
      </c>
      <c r="W2" s="4" t="inlineStr">
        <is>
          <t>Sep</t>
        </is>
      </c>
      <c r="X2" s="4" t="inlineStr">
        <is>
          <t>Oct</t>
        </is>
      </c>
      <c r="Y2" s="4" t="inlineStr">
        <is>
          <t>Nov</t>
        </is>
      </c>
      <c r="Z2" s="4" t="inlineStr">
        <is>
          <t>Dec</t>
        </is>
      </c>
      <c r="AA2" s="4" t="inlineStr">
        <is>
          <t>YTD</t>
        </is>
      </c>
      <c r="AB2" s="5" t="inlineStr">
        <is>
          <t>FY2026
Outlook</t>
        </is>
      </c>
      <c r="AC2" s="4" t="inlineStr">
        <is>
          <t>Jan</t>
        </is>
      </c>
      <c r="AD2" s="4" t="inlineStr">
        <is>
          <t>Feb</t>
        </is>
      </c>
      <c r="AE2" s="4" t="inlineStr">
        <is>
          <t>Mar</t>
        </is>
      </c>
      <c r="AF2" s="4" t="inlineStr">
        <is>
          <t>Apr</t>
        </is>
      </c>
      <c r="AG2" s="4" t="inlineStr">
        <is>
          <t>May</t>
        </is>
      </c>
      <c r="AH2" s="4" t="inlineStr">
        <is>
          <t>Jun</t>
        </is>
      </c>
      <c r="AI2" s="6" t="inlineStr">
        <is>
          <t>Jul-Dec
Proj.</t>
        </is>
      </c>
      <c r="AJ2" s="4" t="inlineStr">
        <is>
          <t>FY2027</t>
        </is>
      </c>
      <c r="AK2" s="6" t="inlineStr">
        <is>
          <t>25→26
%</t>
        </is>
      </c>
      <c r="AL2" s="6" t="inlineStr">
        <is>
          <t>26→27
%</t>
        </is>
      </c>
    </row>
    <row r="3" ht="15" customHeight="1">
      <c r="A3" s="7" t="inlineStr">
        <is>
          <t>INCOME</t>
        </is>
      </c>
    </row>
    <row r="4" ht="13" customHeight="1">
      <c r="A4" s="8" t="inlineStr">
        <is>
          <t xml:space="preserve">    Fee Income Regular</t>
        </is>
      </c>
      <c r="B4" s="9" t="n">
        <v>71748.46000000001</v>
      </c>
      <c r="C4" s="9" t="n">
        <v>62355.58</v>
      </c>
      <c r="D4" s="9" t="n">
        <v>73377.48</v>
      </c>
      <c r="E4" s="9" t="n">
        <v>84905.42</v>
      </c>
      <c r="F4" s="9" t="n">
        <v>78933.88</v>
      </c>
      <c r="G4" s="9" t="n">
        <v>76038.8</v>
      </c>
      <c r="H4" s="9" t="n">
        <v>94722.25999999999</v>
      </c>
      <c r="I4" s="9" t="n">
        <v>81393.89</v>
      </c>
      <c r="J4" s="9" t="n">
        <v>67283.53999999999</v>
      </c>
      <c r="K4" s="9" t="n">
        <v>63773.81</v>
      </c>
      <c r="L4" s="9" t="n">
        <v>55368.1</v>
      </c>
      <c r="M4" s="9" t="n">
        <v>74284.68999999999</v>
      </c>
      <c r="N4" s="9">
        <f>SUM(B4:M4)</f>
        <v/>
      </c>
      <c r="O4" s="9" t="n">
        <v>58533.16</v>
      </c>
      <c r="P4" s="9" t="n">
        <v>52500.16</v>
      </c>
      <c r="Q4" s="9" t="n">
        <v>60298.97000000001</v>
      </c>
      <c r="R4" s="9" t="n">
        <v>61812.59999999999</v>
      </c>
      <c r="S4" s="9" t="n">
        <v>52015.74000000001</v>
      </c>
      <c r="T4" s="9" t="n">
        <v>55797.24</v>
      </c>
      <c r="U4" s="9" t="n">
        <v>74838.92999999999</v>
      </c>
      <c r="AA4" s="9">
        <f>SUM(O4:U4)</f>
        <v/>
      </c>
      <c r="AB4" s="9">
        <f>SUM(O4:Z4)</f>
        <v/>
      </c>
      <c r="AC4" s="9" t="n">
        <v>79907.42999999999</v>
      </c>
      <c r="AD4" s="9" t="n">
        <v>74377.98</v>
      </c>
      <c r="AE4" s="9" t="n">
        <v>90136.03999999999</v>
      </c>
      <c r="AF4" s="9" t="n">
        <v>81715.39</v>
      </c>
      <c r="AG4" s="9" t="n">
        <v>85494.06</v>
      </c>
      <c r="AH4" s="9" t="n">
        <v>91076.72</v>
      </c>
      <c r="AI4" s="10">
        <f>SUM(AC4:AH4)</f>
        <v/>
      </c>
      <c r="AJ4" s="9">
        <f>SUM(AC4:AH4)+AI4</f>
        <v/>
      </c>
      <c r="AK4" s="11">
        <f>IF(N4&lt;&gt;0,(AB4-N4)/ABS(N4),0)</f>
        <v/>
      </c>
      <c r="AL4" s="11">
        <f>IF(AB4&lt;&gt;0,(AJ4-AB4)/ABS(AB4),0)</f>
        <v/>
      </c>
    </row>
    <row r="5" ht="13" customHeight="1">
      <c r="A5" s="8" t="inlineStr">
        <is>
          <t xml:space="preserve">    EEEF Embedded</t>
        </is>
      </c>
      <c r="B5" s="9" t="n">
        <v>27056.38</v>
      </c>
      <c r="C5" s="9" t="n">
        <v>27056.38</v>
      </c>
      <c r="D5" s="9" t="n">
        <v>27641.21</v>
      </c>
      <c r="E5" s="9" t="n">
        <v>20062.71</v>
      </c>
      <c r="F5" s="9" t="n">
        <v>20062.71</v>
      </c>
      <c r="G5" s="9" t="n">
        <v>20062.71</v>
      </c>
      <c r="H5" s="9" t="n">
        <v>53755.95</v>
      </c>
      <c r="I5" s="9" t="n">
        <v>0</v>
      </c>
      <c r="J5" s="9" t="n">
        <v>24868.19</v>
      </c>
      <c r="K5" s="9" t="n">
        <v>24868.19</v>
      </c>
      <c r="L5" s="9" t="n">
        <v>53954.23</v>
      </c>
      <c r="M5" s="9" t="n">
        <v>54512.01</v>
      </c>
      <c r="N5" s="9">
        <f>SUM(B5:M5)</f>
        <v/>
      </c>
      <c r="O5" s="9" t="n">
        <v>38841.31</v>
      </c>
      <c r="P5" s="9" t="n">
        <v>38841.31</v>
      </c>
      <c r="Q5" s="9" t="n">
        <v>40377.93</v>
      </c>
      <c r="R5" s="9" t="n">
        <v>32949.32</v>
      </c>
      <c r="S5" s="9" t="n">
        <v>32949.32</v>
      </c>
      <c r="T5" s="9" t="n">
        <v>33336.41</v>
      </c>
      <c r="U5" s="9" t="n">
        <v>33078.35</v>
      </c>
      <c r="AA5" s="9">
        <f>SUM(O5:U5)</f>
        <v/>
      </c>
      <c r="AB5" s="9">
        <f>SUM(O5:Z5)</f>
        <v/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10">
        <f>SUM(AC5:AH5)</f>
        <v/>
      </c>
      <c r="AJ5" s="9">
        <f>SUM(AC5:AH5)+AI5</f>
        <v/>
      </c>
      <c r="AK5" s="11">
        <f>IF(N5&lt;&gt;0,(AB5-N5)/ABS(N5),0)</f>
        <v/>
      </c>
      <c r="AL5" s="11">
        <f>IF(AB5&lt;&gt;0,(AJ5-AB5)/ABS(AB5),0)</f>
        <v/>
      </c>
    </row>
    <row r="6" ht="13" customHeight="1">
      <c r="A6" s="8" t="inlineStr">
        <is>
          <t xml:space="preserve">    Other Income</t>
        </is>
      </c>
      <c r="B6" s="9" t="n">
        <v>250</v>
      </c>
      <c r="C6" s="9" t="n">
        <v>150</v>
      </c>
      <c r="D6" s="9" t="n">
        <v>400</v>
      </c>
      <c r="E6" s="9" t="n">
        <v>559.14</v>
      </c>
      <c r="F6" s="9" t="n">
        <v>300</v>
      </c>
      <c r="G6" s="9" t="n">
        <v>300</v>
      </c>
      <c r="H6" s="9" t="n">
        <v>150</v>
      </c>
      <c r="I6" s="9" t="n">
        <v>5287.55</v>
      </c>
      <c r="J6" s="9" t="n">
        <v>150</v>
      </c>
      <c r="K6" s="9" t="n">
        <v>150</v>
      </c>
      <c r="L6" s="9" t="n">
        <v>0</v>
      </c>
      <c r="M6" s="9" t="n">
        <v>300</v>
      </c>
      <c r="N6" s="9">
        <f>SUM(B6:M6)</f>
        <v/>
      </c>
      <c r="O6" s="9" t="n">
        <v>150</v>
      </c>
      <c r="P6" s="9" t="n">
        <v>0</v>
      </c>
      <c r="Q6" s="9" t="n">
        <v>300</v>
      </c>
      <c r="R6" s="9" t="n">
        <v>150</v>
      </c>
      <c r="S6" s="9" t="n">
        <v>0</v>
      </c>
      <c r="T6" s="9" t="n">
        <v>300</v>
      </c>
      <c r="U6" s="9" t="n">
        <v>150</v>
      </c>
      <c r="AA6" s="9">
        <f>SUM(O6:U6)</f>
        <v/>
      </c>
      <c r="AB6" s="9">
        <f>SUM(O6:Z6)</f>
        <v/>
      </c>
      <c r="AC6" s="9" t="n">
        <v>0</v>
      </c>
      <c r="AD6" s="9" t="n">
        <v>0</v>
      </c>
      <c r="AE6" s="9" t="n">
        <v>0</v>
      </c>
      <c r="AF6" s="9" t="n">
        <v>0</v>
      </c>
      <c r="AG6" s="9" t="n">
        <v>0</v>
      </c>
      <c r="AH6" s="9" t="n">
        <v>0</v>
      </c>
      <c r="AI6" s="10">
        <f>SUM(AC6:AH6)</f>
        <v/>
      </c>
      <c r="AJ6" s="9">
        <f>SUM(AC6:AH6)+AI6</f>
        <v/>
      </c>
      <c r="AK6" s="11">
        <f>IF(N6&lt;&gt;0,(AB6-N6)/ABS(N6),0)</f>
        <v/>
      </c>
      <c r="AL6" s="11">
        <f>IF(AB6&lt;&gt;0,(AJ6-AB6)/ABS(AB6),0)</f>
        <v/>
      </c>
    </row>
    <row r="7" ht="13" customHeight="1">
      <c r="A7" s="12" t="inlineStr">
        <is>
          <t>Total Income</t>
        </is>
      </c>
      <c r="B7" s="13">
        <f>B4+B5+B6</f>
        <v/>
      </c>
      <c r="C7" s="13">
        <f>C4+C5+C6</f>
        <v/>
      </c>
      <c r="D7" s="13">
        <f>D4+D5+D6</f>
        <v/>
      </c>
      <c r="E7" s="13">
        <f>E4+E5+E6</f>
        <v/>
      </c>
      <c r="F7" s="13">
        <f>F4+F5+F6</f>
        <v/>
      </c>
      <c r="G7" s="13">
        <f>G4+G5+G6</f>
        <v/>
      </c>
      <c r="H7" s="13">
        <f>H4+H5+H6</f>
        <v/>
      </c>
      <c r="I7" s="13">
        <f>I4+I5+I6</f>
        <v/>
      </c>
      <c r="J7" s="13">
        <f>J4+J5+J6</f>
        <v/>
      </c>
      <c r="K7" s="13">
        <f>K4+K5+K6</f>
        <v/>
      </c>
      <c r="L7" s="13">
        <f>L4+L5+L6</f>
        <v/>
      </c>
      <c r="M7" s="13">
        <f>M4+M5+M6</f>
        <v/>
      </c>
      <c r="N7" s="13">
        <f>N4+N5+N6</f>
        <v/>
      </c>
      <c r="O7" s="13">
        <f>O4+O5+O6</f>
        <v/>
      </c>
      <c r="P7" s="13">
        <f>P4+P5+P6</f>
        <v/>
      </c>
      <c r="Q7" s="13">
        <f>Q4+Q5+Q6</f>
        <v/>
      </c>
      <c r="R7" s="13">
        <f>R4+R5+R6</f>
        <v/>
      </c>
      <c r="S7" s="13">
        <f>S4+S5+S6</f>
        <v/>
      </c>
      <c r="T7" s="13">
        <f>T4+T5+T6</f>
        <v/>
      </c>
      <c r="U7" s="13">
        <f>U4+U5+U6</f>
        <v/>
      </c>
      <c r="V7" s="13">
        <f>V4+V5+V6</f>
        <v/>
      </c>
      <c r="W7" s="13">
        <f>W4+W5+W6</f>
        <v/>
      </c>
      <c r="X7" s="13">
        <f>X4+X5+X6</f>
        <v/>
      </c>
      <c r="Y7" s="13">
        <f>Y4+Y5+Y6</f>
        <v/>
      </c>
      <c r="Z7" s="13">
        <f>Z4+Z5+Z6</f>
        <v/>
      </c>
      <c r="AA7" s="13">
        <f>AA4+AA5+AA6</f>
        <v/>
      </c>
      <c r="AB7" s="13">
        <f>AB4+AB5+AB6</f>
        <v/>
      </c>
      <c r="AC7" s="13">
        <f>AC4+AC5+AC6</f>
        <v/>
      </c>
      <c r="AD7" s="13">
        <f>AD4+AD5+AD6</f>
        <v/>
      </c>
      <c r="AE7" s="13">
        <f>AE4+AE5+AE6</f>
        <v/>
      </c>
      <c r="AF7" s="13">
        <f>AF4+AF5+AF6</f>
        <v/>
      </c>
      <c r="AG7" s="13">
        <f>AG4+AG5+AG6</f>
        <v/>
      </c>
      <c r="AH7" s="13">
        <f>AH4+AH5+AH6</f>
        <v/>
      </c>
      <c r="AI7" s="13">
        <f>AI4+AI5+AI6</f>
        <v/>
      </c>
      <c r="AJ7" s="13">
        <f>AJ4+AJ5+AJ6</f>
        <v/>
      </c>
      <c r="AK7" s="11">
        <f>IF(N7&lt;&gt;0,(AB7-N7)/ABS(N7),0)</f>
        <v/>
      </c>
      <c r="AL7" s="11">
        <f>IF(AB7&lt;&gt;0,(AJ7-AB7)/ABS(AB7),0)</f>
        <v/>
      </c>
    </row>
    <row r="8" ht="5" customHeight="1"/>
    <row r="9" ht="15" customHeight="1">
      <c r="A9" s="7" t="inlineStr">
        <is>
          <t>DIRECT COSTS</t>
        </is>
      </c>
    </row>
    <row r="10" ht="13" customHeight="1">
      <c r="A10" s="14" t="inlineStr">
        <is>
          <t>Personnel</t>
        </is>
      </c>
    </row>
    <row r="11" ht="13" customHeight="1">
      <c r="A11" s="15" t="inlineStr">
        <is>
          <t xml:space="preserve">    Nursery Salaries</t>
        </is>
      </c>
      <c r="B11" s="16" t="n">
        <v>31604.86</v>
      </c>
      <c r="C11" s="16" t="n">
        <v>32120.62</v>
      </c>
      <c r="D11" s="16" t="n">
        <v>33783.29</v>
      </c>
      <c r="E11" s="16" t="n">
        <v>39088.61</v>
      </c>
      <c r="F11" s="16" t="n">
        <v>35853.61</v>
      </c>
      <c r="G11" s="16" t="n">
        <v>32713.57</v>
      </c>
      <c r="H11" s="16" t="n">
        <v>38084.64</v>
      </c>
      <c r="I11" s="16" t="n">
        <v>39688.59</v>
      </c>
      <c r="J11" s="16" t="n">
        <v>39229.98</v>
      </c>
      <c r="K11" s="16" t="n">
        <v>38640.36</v>
      </c>
      <c r="L11" s="16" t="n">
        <v>31254.13</v>
      </c>
      <c r="M11" s="16" t="n">
        <v>33683.63</v>
      </c>
      <c r="N11" s="16">
        <f>SUM(B11:M11)</f>
        <v/>
      </c>
      <c r="O11" s="16" t="n">
        <v>31828.8</v>
      </c>
      <c r="P11" s="16" t="n">
        <v>33935.64</v>
      </c>
      <c r="Q11" s="16" t="n">
        <v>36037.77</v>
      </c>
      <c r="R11" s="16" t="n">
        <v>34623.48</v>
      </c>
      <c r="S11" s="16" t="n">
        <v>37995.21</v>
      </c>
      <c r="T11" s="16" t="n">
        <v>37118.77</v>
      </c>
      <c r="U11" s="16" t="n">
        <v>38831.14</v>
      </c>
      <c r="AA11" s="16">
        <f>SUM(O11:U11)</f>
        <v/>
      </c>
      <c r="AB11" s="16">
        <f>SUM(O11:Z11)</f>
        <v/>
      </c>
      <c r="AC11" s="16" t="n">
        <v>38831.14</v>
      </c>
      <c r="AD11" s="16" t="n">
        <v>38831.14</v>
      </c>
      <c r="AE11" s="16" t="n">
        <v>38831.14</v>
      </c>
      <c r="AF11" s="16" t="n">
        <v>38831.14</v>
      </c>
      <c r="AG11" s="16" t="n">
        <v>38831.14</v>
      </c>
      <c r="AH11" s="16" t="n">
        <v>38831.14</v>
      </c>
      <c r="AI11" s="10">
        <f>SUM(AC11:AH11)</f>
        <v/>
      </c>
      <c r="AJ11" s="16">
        <f>SUM(AC11:AH11)+AI11</f>
        <v/>
      </c>
      <c r="AK11" s="11">
        <f>IF(N11&lt;&gt;0,(AB11-N11)/ABS(N11),0)</f>
        <v/>
      </c>
      <c r="AL11" s="11">
        <f>IF(AB11&lt;&gt;0,(AJ11-AB11)/ABS(AB11),0)</f>
        <v/>
      </c>
    </row>
    <row r="12" ht="13" customHeight="1">
      <c r="A12" s="15" t="inlineStr">
        <is>
          <t xml:space="preserve">    Nursery NI</t>
        </is>
      </c>
      <c r="B12" s="16" t="n">
        <v>2507.7</v>
      </c>
      <c r="C12" s="16" t="n">
        <v>2502.98</v>
      </c>
      <c r="D12" s="16" t="n">
        <v>2767.29</v>
      </c>
      <c r="E12" s="16" t="n">
        <v>4489.64</v>
      </c>
      <c r="F12" s="16" t="n">
        <v>3897.7</v>
      </c>
      <c r="G12" s="16" t="n">
        <v>3435.72</v>
      </c>
      <c r="H12" s="16" t="n">
        <v>3882.52</v>
      </c>
      <c r="I12" s="16" t="n">
        <v>3661.25</v>
      </c>
      <c r="J12" s="16" t="n">
        <v>3574.09</v>
      </c>
      <c r="K12" s="16" t="n">
        <v>3581.38</v>
      </c>
      <c r="L12" s="16" t="n">
        <v>2779.53</v>
      </c>
      <c r="M12" s="16" t="n">
        <v>3180.07</v>
      </c>
      <c r="N12" s="16">
        <f>SUM(B12:M12)</f>
        <v/>
      </c>
      <c r="O12" s="16" t="n">
        <v>2814.7</v>
      </c>
      <c r="P12" s="16" t="n">
        <v>2809.23</v>
      </c>
      <c r="Q12" s="16" t="n">
        <v>3029.45</v>
      </c>
      <c r="R12" s="16" t="n">
        <v>2929.49</v>
      </c>
      <c r="S12" s="16" t="n">
        <v>3346.09</v>
      </c>
      <c r="T12" s="16" t="n">
        <v>3339.3</v>
      </c>
      <c r="U12" s="16" t="n">
        <v>3476.28</v>
      </c>
      <c r="AA12" s="16">
        <f>SUM(O12:U12)</f>
        <v/>
      </c>
      <c r="AB12" s="16">
        <f>SUM(O12:Z12)</f>
        <v/>
      </c>
      <c r="AC12" s="16" t="n">
        <v>3476.28</v>
      </c>
      <c r="AD12" s="16" t="n">
        <v>3476.28</v>
      </c>
      <c r="AE12" s="16" t="n">
        <v>3476.28</v>
      </c>
      <c r="AF12" s="16" t="n">
        <v>3476.28</v>
      </c>
      <c r="AG12" s="16" t="n">
        <v>3476.28</v>
      </c>
      <c r="AH12" s="16" t="n">
        <v>3476.28</v>
      </c>
      <c r="AI12" s="10">
        <f>SUM(AC12:AH12)</f>
        <v/>
      </c>
      <c r="AJ12" s="16">
        <f>SUM(AC12:AH12)+AI12</f>
        <v/>
      </c>
      <c r="AK12" s="11">
        <f>IF(N12&lt;&gt;0,(AB12-N12)/ABS(N12),0)</f>
        <v/>
      </c>
      <c r="AL12" s="11">
        <f>IF(AB12&lt;&gt;0,(AJ12-AB12)/ABS(AB12),0)</f>
        <v/>
      </c>
    </row>
    <row r="13" ht="13" customHeight="1">
      <c r="A13" s="15" t="inlineStr">
        <is>
          <t xml:space="preserve">    Nursery Pension</t>
        </is>
      </c>
      <c r="B13" s="16" t="n">
        <v>578.26</v>
      </c>
      <c r="C13" s="16" t="n">
        <v>576.6</v>
      </c>
      <c r="D13" s="16" t="n">
        <v>553.41</v>
      </c>
      <c r="E13" s="16" t="n">
        <v>642.37</v>
      </c>
      <c r="F13" s="16" t="n">
        <v>614.2</v>
      </c>
      <c r="G13" s="16" t="n">
        <v>527.5599999999999</v>
      </c>
      <c r="H13" s="16" t="n">
        <v>611.47</v>
      </c>
      <c r="I13" s="16" t="n">
        <v>558.66</v>
      </c>
      <c r="J13" s="16" t="n">
        <v>482.76</v>
      </c>
      <c r="K13" s="16" t="n">
        <v>259.94</v>
      </c>
      <c r="L13" s="16" t="n">
        <v>246.15</v>
      </c>
      <c r="M13" s="16" t="n">
        <v>444.9</v>
      </c>
      <c r="N13" s="16">
        <f>SUM(B13:M13)</f>
        <v/>
      </c>
      <c r="O13" s="16" t="n">
        <v>382.29</v>
      </c>
      <c r="P13" s="16" t="n">
        <v>365.94</v>
      </c>
      <c r="Q13" s="16" t="n">
        <v>332.41</v>
      </c>
      <c r="R13" s="16" t="n">
        <v>422.05</v>
      </c>
      <c r="S13" s="16" t="n">
        <v>453.76</v>
      </c>
      <c r="T13" s="16" t="n">
        <v>473.26</v>
      </c>
      <c r="U13" s="16" t="n">
        <v>523.85</v>
      </c>
      <c r="AA13" s="16">
        <f>SUM(O13:U13)</f>
        <v/>
      </c>
      <c r="AB13" s="16">
        <f>SUM(O13:Z13)</f>
        <v/>
      </c>
      <c r="AC13" s="16" t="n">
        <v>523.85</v>
      </c>
      <c r="AD13" s="16" t="n">
        <v>523.85</v>
      </c>
      <c r="AE13" s="16" t="n">
        <v>523.85</v>
      </c>
      <c r="AF13" s="16" t="n">
        <v>523.85</v>
      </c>
      <c r="AG13" s="16" t="n">
        <v>523.85</v>
      </c>
      <c r="AH13" s="16" t="n">
        <v>523.85</v>
      </c>
      <c r="AI13" s="10">
        <f>SUM(AC13:AH13)</f>
        <v/>
      </c>
      <c r="AJ13" s="16">
        <f>SUM(AC13:AH13)+AI13</f>
        <v/>
      </c>
      <c r="AK13" s="11">
        <f>IF(N13&lt;&gt;0,(AB13-N13)/ABS(N13),0)</f>
        <v/>
      </c>
      <c r="AL13" s="11">
        <f>IF(AB13&lt;&gt;0,(AJ13-AB13)/ABS(AB13),0)</f>
        <v/>
      </c>
    </row>
    <row r="14" ht="13" customHeight="1">
      <c r="A14" s="15" t="inlineStr">
        <is>
          <t xml:space="preserve">    Uniform</t>
        </is>
      </c>
      <c r="B14" s="16" t="n">
        <v>108.42</v>
      </c>
      <c r="C14" s="16" t="n">
        <v>232.56</v>
      </c>
      <c r="D14" s="16" t="n">
        <v>0</v>
      </c>
      <c r="E14" s="16" t="n">
        <v>98.81999999999999</v>
      </c>
      <c r="F14" s="16" t="n">
        <v>126.27</v>
      </c>
      <c r="G14" s="16" t="n">
        <v>106.73</v>
      </c>
      <c r="H14" s="16" t="n">
        <v>101.82</v>
      </c>
      <c r="I14" s="16" t="n">
        <v>0</v>
      </c>
      <c r="J14" s="16" t="n">
        <v>119.88</v>
      </c>
      <c r="K14" s="16" t="n">
        <v>408.72</v>
      </c>
      <c r="L14" s="16" t="n">
        <v>115.32</v>
      </c>
      <c r="M14" s="16" t="n">
        <v>114.6</v>
      </c>
      <c r="N14" s="16">
        <f>SUM(B14:M14)</f>
        <v/>
      </c>
      <c r="O14" s="16" t="n">
        <v>0</v>
      </c>
      <c r="P14" s="16" t="n">
        <v>148.85</v>
      </c>
      <c r="Q14" s="16" t="n">
        <v>239.4</v>
      </c>
      <c r="R14" s="16" t="n">
        <v>133.86</v>
      </c>
      <c r="S14" s="16" t="n">
        <v>0</v>
      </c>
      <c r="T14" s="16" t="n">
        <v>133.8</v>
      </c>
      <c r="U14" s="16" t="n">
        <v>34.7</v>
      </c>
      <c r="AA14" s="16">
        <f>SUM(O14:U14)</f>
        <v/>
      </c>
      <c r="AB14" s="16">
        <f>SUM(O14:Z14)</f>
        <v/>
      </c>
      <c r="AC14" s="16" t="n">
        <v>88</v>
      </c>
      <c r="AD14" s="16" t="n">
        <v>88</v>
      </c>
      <c r="AE14" s="16" t="n">
        <v>88</v>
      </c>
      <c r="AF14" s="16" t="n">
        <v>88</v>
      </c>
      <c r="AG14" s="16" t="n">
        <v>88</v>
      </c>
      <c r="AH14" s="16" t="n">
        <v>88</v>
      </c>
      <c r="AI14" s="10">
        <f>SUM(AC14:AH14)</f>
        <v/>
      </c>
      <c r="AJ14" s="16">
        <f>SUM(AC14:AH14)+AI14</f>
        <v/>
      </c>
      <c r="AK14" s="11">
        <f>IF(N14&lt;&gt;0,(AB14-N14)/ABS(N14),0)</f>
        <v/>
      </c>
      <c r="AL14" s="11">
        <f>IF(AB14&lt;&gt;0,(AJ14-AB14)/ABS(AB14),0)</f>
        <v/>
      </c>
    </row>
    <row r="15" ht="13" customHeight="1">
      <c r="A15" s="15" t="inlineStr">
        <is>
          <t xml:space="preserve">    Training</t>
        </is>
      </c>
      <c r="B15" s="16" t="n">
        <v>68.22</v>
      </c>
      <c r="C15" s="16" t="n">
        <v>50</v>
      </c>
      <c r="D15" s="16" t="n">
        <v>0</v>
      </c>
      <c r="E15" s="16" t="n">
        <v>0</v>
      </c>
      <c r="F15" s="16" t="n">
        <v>31.2</v>
      </c>
      <c r="G15" s="16" t="n">
        <v>11.35</v>
      </c>
      <c r="H15" s="16" t="n">
        <v>37.2</v>
      </c>
      <c r="I15" s="16" t="n">
        <v>0</v>
      </c>
      <c r="J15" s="16" t="n">
        <v>114</v>
      </c>
      <c r="K15" s="16" t="n">
        <v>0</v>
      </c>
      <c r="L15" s="16" t="n">
        <v>114</v>
      </c>
      <c r="M15" s="16" t="n">
        <v>-11.28999999999996</v>
      </c>
      <c r="N15" s="16">
        <f>SUM(B15:M15)</f>
        <v/>
      </c>
      <c r="O15" s="16" t="n">
        <v>150</v>
      </c>
      <c r="P15" s="16" t="n">
        <v>0</v>
      </c>
      <c r="Q15" s="16" t="n">
        <v>0</v>
      </c>
      <c r="R15" s="16" t="n">
        <v>750</v>
      </c>
      <c r="S15" s="16" t="n">
        <v>0</v>
      </c>
      <c r="T15" s="16" t="n">
        <v>60</v>
      </c>
      <c r="U15" s="16" t="n">
        <v>361.26</v>
      </c>
      <c r="AA15" s="16">
        <f>SUM(O15:U15)</f>
        <v/>
      </c>
      <c r="AB15" s="16">
        <f>SUM(O15:Z15)</f>
        <v/>
      </c>
      <c r="AC15" s="16" t="n">
        <v>50</v>
      </c>
      <c r="AD15" s="16" t="n">
        <v>50</v>
      </c>
      <c r="AE15" s="16" t="n">
        <v>50</v>
      </c>
      <c r="AF15" s="16" t="n">
        <v>50</v>
      </c>
      <c r="AG15" s="16" t="n">
        <v>50</v>
      </c>
      <c r="AH15" s="16" t="n">
        <v>50</v>
      </c>
      <c r="AI15" s="10">
        <f>SUM(AC15:AH15)</f>
        <v/>
      </c>
      <c r="AJ15" s="16">
        <f>SUM(AC15:AH15)+AI15</f>
        <v/>
      </c>
      <c r="AK15" s="11">
        <f>IF(N15&lt;&gt;0,(AB15-N15)/ABS(N15),0)</f>
        <v/>
      </c>
      <c r="AL15" s="11">
        <f>IF(AB15&lt;&gt;0,(AJ15-AB15)/ABS(AB15),0)</f>
        <v/>
      </c>
    </row>
    <row r="16" ht="13" customHeight="1">
      <c r="A16" s="15" t="inlineStr">
        <is>
          <t xml:space="preserve">    Staff Welfare</t>
        </is>
      </c>
      <c r="B16" s="16" t="n">
        <v>304.95</v>
      </c>
      <c r="C16" s="16" t="n">
        <v>264.71</v>
      </c>
      <c r="D16" s="16" t="n">
        <v>188.52</v>
      </c>
      <c r="E16" s="16" t="n">
        <v>236.83</v>
      </c>
      <c r="F16" s="16" t="n">
        <v>480.61</v>
      </c>
      <c r="G16" s="16" t="n">
        <v>227.41</v>
      </c>
      <c r="H16" s="16" t="n">
        <v>311.65</v>
      </c>
      <c r="I16" s="16" t="n">
        <v>17.06</v>
      </c>
      <c r="J16" s="16" t="n">
        <v>76.78999999999999</v>
      </c>
      <c r="K16" s="16" t="n">
        <v>131.31</v>
      </c>
      <c r="L16" s="16" t="n">
        <v>263.85</v>
      </c>
      <c r="M16" s="16" t="n">
        <v>64.3</v>
      </c>
      <c r="N16" s="16">
        <f>SUM(B16:M16)</f>
        <v/>
      </c>
      <c r="O16" s="16" t="n">
        <v>364.02</v>
      </c>
      <c r="P16" s="16" t="n">
        <v>154.27</v>
      </c>
      <c r="Q16" s="16" t="n">
        <v>156.87</v>
      </c>
      <c r="R16" s="16" t="n">
        <v>236.43</v>
      </c>
      <c r="S16" s="16" t="n">
        <v>152.97</v>
      </c>
      <c r="T16" s="16" t="n">
        <v>284.9</v>
      </c>
      <c r="U16" s="16" t="n">
        <v>149.53</v>
      </c>
      <c r="AA16" s="16">
        <f>SUM(O16:U16)</f>
        <v/>
      </c>
      <c r="AB16" s="16">
        <f>SUM(O16:Z16)</f>
        <v/>
      </c>
      <c r="AC16" s="16" t="n">
        <v>180</v>
      </c>
      <c r="AD16" s="16" t="n">
        <v>180</v>
      </c>
      <c r="AE16" s="16" t="n">
        <v>180</v>
      </c>
      <c r="AF16" s="16" t="n">
        <v>180</v>
      </c>
      <c r="AG16" s="16" t="n">
        <v>180</v>
      </c>
      <c r="AH16" s="16" t="n">
        <v>180</v>
      </c>
      <c r="AI16" s="10">
        <f>SUM(AC16:AH16)</f>
        <v/>
      </c>
      <c r="AJ16" s="16">
        <f>SUM(AC16:AH16)+AI16</f>
        <v/>
      </c>
      <c r="AK16" s="11">
        <f>IF(N16&lt;&gt;0,(AB16-N16)/ABS(N16),0)</f>
        <v/>
      </c>
      <c r="AL16" s="11">
        <f>IF(AB16&lt;&gt;0,(AJ16-AB16)/ABS(AB16),0)</f>
        <v/>
      </c>
    </row>
    <row r="17" ht="13" customHeight="1">
      <c r="A17" s="15" t="inlineStr">
        <is>
          <t xml:space="preserve">    Recruitment</t>
        </is>
      </c>
      <c r="B17" s="16" t="n">
        <v>0</v>
      </c>
      <c r="C17" s="16" t="n">
        <v>0</v>
      </c>
      <c r="D17" s="16" t="n">
        <v>0</v>
      </c>
      <c r="E17" s="16" t="n">
        <v>0</v>
      </c>
      <c r="F17" s="16" t="n">
        <v>3352.38</v>
      </c>
      <c r="G17" s="16" t="n">
        <v>0</v>
      </c>
      <c r="H17" s="16" t="n">
        <v>0</v>
      </c>
      <c r="I17" s="16" t="n">
        <v>0</v>
      </c>
      <c r="J17" s="16" t="n">
        <v>0</v>
      </c>
      <c r="K17" s="16" t="n">
        <v>0</v>
      </c>
      <c r="L17" s="16" t="n">
        <v>0</v>
      </c>
      <c r="M17" s="16" t="n">
        <v>0</v>
      </c>
      <c r="N17" s="16">
        <f>SUM(B17:M17)</f>
        <v/>
      </c>
      <c r="O17" s="16" t="n">
        <v>0</v>
      </c>
      <c r="P17" s="16" t="n">
        <v>3528.1</v>
      </c>
      <c r="Q17" s="16" t="n">
        <v>0</v>
      </c>
      <c r="R17" s="16" t="n">
        <v>0</v>
      </c>
      <c r="S17" s="16" t="n">
        <v>0</v>
      </c>
      <c r="T17" s="16" t="n">
        <v>0</v>
      </c>
      <c r="U17" s="16" t="n">
        <v>0</v>
      </c>
      <c r="AA17" s="16">
        <f>SUM(O17:U17)</f>
        <v/>
      </c>
      <c r="AB17" s="16">
        <f>SUM(O17:Z17)</f>
        <v/>
      </c>
      <c r="AC17" s="16" t="n">
        <v>0</v>
      </c>
      <c r="AD17" s="16" t="n">
        <v>0</v>
      </c>
      <c r="AE17" s="16" t="n">
        <v>0</v>
      </c>
      <c r="AF17" s="16" t="n">
        <v>0</v>
      </c>
      <c r="AG17" s="16" t="n">
        <v>0</v>
      </c>
      <c r="AH17" s="16" t="n">
        <v>0</v>
      </c>
      <c r="AI17" s="10">
        <f>SUM(AC17:AH17)</f>
        <v/>
      </c>
      <c r="AJ17" s="16">
        <f>SUM(AC17:AH17)+AI17</f>
        <v/>
      </c>
      <c r="AK17" s="11">
        <f>IF(N17&lt;&gt;0,(AB17-N17)/ABS(N17),0)</f>
        <v/>
      </c>
      <c r="AL17" s="11">
        <f>IF(AB17&lt;&gt;0,(AJ17-AB17)/ABS(AB17),0)</f>
        <v/>
      </c>
    </row>
    <row r="18" ht="13" customHeight="1">
      <c r="A18" s="15" t="inlineStr">
        <is>
          <t xml:space="preserve">    Rewards &amp; Recognition</t>
        </is>
      </c>
      <c r="B18" s="16" t="n">
        <v>0</v>
      </c>
      <c r="C18" s="16" t="n">
        <v>0</v>
      </c>
      <c r="D18" s="16" t="n">
        <v>0</v>
      </c>
      <c r="E18" s="16" t="n">
        <v>0</v>
      </c>
      <c r="F18" s="16" t="n">
        <v>0</v>
      </c>
      <c r="G18" s="16" t="n">
        <v>0</v>
      </c>
      <c r="H18" s="16" t="n">
        <v>8.109999999999999</v>
      </c>
      <c r="I18" s="16" t="n">
        <v>0</v>
      </c>
      <c r="J18" s="16" t="n">
        <v>23.49</v>
      </c>
      <c r="K18" s="16" t="n">
        <v>6.28</v>
      </c>
      <c r="L18" s="16" t="n">
        <v>0</v>
      </c>
      <c r="M18" s="16" t="n">
        <v>95.38</v>
      </c>
      <c r="N18" s="16">
        <f>SUM(B18:M18)</f>
        <v/>
      </c>
      <c r="O18" s="16" t="n">
        <v>45.76</v>
      </c>
      <c r="P18" s="16" t="n">
        <v>81.02</v>
      </c>
      <c r="Q18" s="16" t="n">
        <v>37.24</v>
      </c>
      <c r="R18" s="16" t="n">
        <v>94.41</v>
      </c>
      <c r="S18" s="16" t="n">
        <v>80.88</v>
      </c>
      <c r="T18" s="16" t="n">
        <v>56.6</v>
      </c>
      <c r="U18" s="16" t="n">
        <v>122.2</v>
      </c>
      <c r="AA18" s="16">
        <f>SUM(O18:U18)</f>
        <v/>
      </c>
      <c r="AB18" s="16">
        <f>SUM(O18:Z18)</f>
        <v/>
      </c>
      <c r="AC18" s="16" t="n">
        <v>75</v>
      </c>
      <c r="AD18" s="16" t="n">
        <v>75</v>
      </c>
      <c r="AE18" s="16" t="n">
        <v>75</v>
      </c>
      <c r="AF18" s="16" t="n">
        <v>75</v>
      </c>
      <c r="AG18" s="16" t="n">
        <v>75</v>
      </c>
      <c r="AH18" s="16" t="n">
        <v>75</v>
      </c>
      <c r="AI18" s="10">
        <f>SUM(AC18:AH18)</f>
        <v/>
      </c>
      <c r="AJ18" s="16">
        <f>SUM(AC18:AH18)+AI18</f>
        <v/>
      </c>
      <c r="AK18" s="11">
        <f>IF(N18&lt;&gt;0,(AB18-N18)/ABS(N18),0)</f>
        <v/>
      </c>
      <c r="AL18" s="11">
        <f>IF(AB18&lt;&gt;0,(AJ18-AB18)/ABS(AB18),0)</f>
        <v/>
      </c>
    </row>
    <row r="19" ht="13" customHeight="1">
      <c r="A19" s="15" t="inlineStr">
        <is>
          <t xml:space="preserve">    Temps</t>
        </is>
      </c>
      <c r="B19" s="16" t="n">
        <v>0</v>
      </c>
      <c r="C19" s="16" t="n">
        <v>0</v>
      </c>
      <c r="D19" s="16" t="n">
        <v>0</v>
      </c>
      <c r="E19" s="16" t="n">
        <v>0</v>
      </c>
      <c r="F19" s="16" t="n">
        <v>226.03</v>
      </c>
      <c r="G19" s="16" t="n">
        <v>0</v>
      </c>
      <c r="H19" s="16" t="n">
        <v>249.41</v>
      </c>
      <c r="I19" s="16" t="n">
        <v>0</v>
      </c>
      <c r="J19" s="16" t="n">
        <v>0</v>
      </c>
      <c r="K19" s="16" t="n">
        <v>4590.68</v>
      </c>
      <c r="L19" s="16" t="n">
        <v>3008.5</v>
      </c>
      <c r="M19" s="16" t="n">
        <v>0</v>
      </c>
      <c r="N19" s="16">
        <f>SUM(B19:M19)</f>
        <v/>
      </c>
      <c r="O19" s="16" t="n">
        <v>1286.01</v>
      </c>
      <c r="P19" s="16" t="n">
        <v>0</v>
      </c>
      <c r="Q19" s="16" t="n">
        <v>0</v>
      </c>
      <c r="R19" s="16" t="n">
        <v>0</v>
      </c>
      <c r="S19" s="16" t="n">
        <v>0</v>
      </c>
      <c r="T19" s="16" t="n">
        <v>0</v>
      </c>
      <c r="U19" s="16" t="n">
        <v>0</v>
      </c>
      <c r="AA19" s="16">
        <f>SUM(O19:U19)</f>
        <v/>
      </c>
      <c r="AB19" s="16">
        <f>SUM(O19:Z19)</f>
        <v/>
      </c>
      <c r="AC19" s="16" t="n">
        <v>0</v>
      </c>
      <c r="AD19" s="16" t="n">
        <v>0</v>
      </c>
      <c r="AE19" s="16" t="n">
        <v>0</v>
      </c>
      <c r="AF19" s="16" t="n">
        <v>0</v>
      </c>
      <c r="AG19" s="16" t="n">
        <v>0</v>
      </c>
      <c r="AH19" s="16" t="n">
        <v>0</v>
      </c>
      <c r="AI19" s="10">
        <f>SUM(AC19:AH19)</f>
        <v/>
      </c>
      <c r="AJ19" s="16">
        <f>SUM(AC19:AH19)+AI19</f>
        <v/>
      </c>
      <c r="AK19" s="11">
        <f>IF(N19&lt;&gt;0,(AB19-N19)/ABS(N19),0)</f>
        <v/>
      </c>
      <c r="AL19" s="11">
        <f>IF(AB19&lt;&gt;0,(AJ19-AB19)/ABS(AB19),0)</f>
        <v/>
      </c>
    </row>
    <row r="20" ht="13" customHeight="1">
      <c r="A20" s="17" t="inlineStr">
        <is>
          <t>Total Personnel</t>
        </is>
      </c>
      <c r="B20" s="18">
        <f>B11+B12+B13+B14+B15+B16+B17+B18+B19</f>
        <v/>
      </c>
      <c r="C20" s="18">
        <f>C11+C12+C13+C14+C15+C16+C17+C18+C19</f>
        <v/>
      </c>
      <c r="D20" s="18">
        <f>D11+D12+D13+D14+D15+D16+D17+D18+D19</f>
        <v/>
      </c>
      <c r="E20" s="18">
        <f>E11+E12+E13+E14+E15+E16+E17+E18+E19</f>
        <v/>
      </c>
      <c r="F20" s="18">
        <f>F11+F12+F13+F14+F15+F16+F17+F18+F19</f>
        <v/>
      </c>
      <c r="G20" s="18">
        <f>G11+G12+G13+G14+G15+G16+G17+G18+G19</f>
        <v/>
      </c>
      <c r="H20" s="18">
        <f>H11+H12+H13+H14+H15+H16+H17+H18+H19</f>
        <v/>
      </c>
      <c r="I20" s="18">
        <f>I11+I12+I13+I14+I15+I16+I17+I18+I19</f>
        <v/>
      </c>
      <c r="J20" s="18">
        <f>J11+J12+J13+J14+J15+J16+J17+J18+J19</f>
        <v/>
      </c>
      <c r="K20" s="18">
        <f>K11+K12+K13+K14+K15+K16+K17+K18+K19</f>
        <v/>
      </c>
      <c r="L20" s="18">
        <f>L11+L12+L13+L14+L15+L16+L17+L18+L19</f>
        <v/>
      </c>
      <c r="M20" s="18">
        <f>M11+M12+M13+M14+M15+M16+M17+M18+M19</f>
        <v/>
      </c>
      <c r="N20" s="18">
        <f>N11+N12+N13+N14+N15+N16+N17+N18+N19</f>
        <v/>
      </c>
      <c r="O20" s="18">
        <f>O11+O12+O13+O14+O15+O16+O17+O18+O19</f>
        <v/>
      </c>
      <c r="P20" s="18">
        <f>P11+P12+P13+P14+P15+P16+P17+P18+P19</f>
        <v/>
      </c>
      <c r="Q20" s="18">
        <f>Q11+Q12+Q13+Q14+Q15+Q16+Q17+Q18+Q19</f>
        <v/>
      </c>
      <c r="R20" s="18">
        <f>R11+R12+R13+R14+R15+R16+R17+R18+R19</f>
        <v/>
      </c>
      <c r="S20" s="18">
        <f>S11+S12+S13+S14+S15+S16+S17+S18+S19</f>
        <v/>
      </c>
      <c r="T20" s="18">
        <f>T11+T12+T13+T14+T15+T16+T17+T18+T19</f>
        <v/>
      </c>
      <c r="U20" s="18">
        <f>U11+U12+U13+U14+U15+U16+U17+U18+U19</f>
        <v/>
      </c>
      <c r="V20" s="18">
        <f>V11+V12+V13+V14+V15+V16+V17+V18+V19</f>
        <v/>
      </c>
      <c r="W20" s="18">
        <f>W11+W12+W13+W14+W15+W16+W17+W18+W19</f>
        <v/>
      </c>
      <c r="X20" s="18">
        <f>X11+X12+X13+X14+X15+X16+X17+X18+X19</f>
        <v/>
      </c>
      <c r="Y20" s="18">
        <f>Y11+Y12+Y13+Y14+Y15+Y16+Y17+Y18+Y19</f>
        <v/>
      </c>
      <c r="Z20" s="18">
        <f>Z11+Z12+Z13+Z14+Z15+Z16+Z17+Z18+Z19</f>
        <v/>
      </c>
      <c r="AA20" s="18">
        <f>AA11+AA12+AA13+AA14+AA15+AA16+AA17+AA18+AA19</f>
        <v/>
      </c>
      <c r="AB20" s="18">
        <f>AB11+AB12+AB13+AB14+AB15+AB16+AB17+AB18+AB19</f>
        <v/>
      </c>
      <c r="AC20" s="18">
        <f>AC11+AC12+AC13+AC14+AC15+AC16+AC17+AC18+AC19</f>
        <v/>
      </c>
      <c r="AD20" s="18">
        <f>AD11+AD12+AD13+AD14+AD15+AD16+AD17+AD18+AD19</f>
        <v/>
      </c>
      <c r="AE20" s="18">
        <f>AE11+AE12+AE13+AE14+AE15+AE16+AE17+AE18+AE19</f>
        <v/>
      </c>
      <c r="AF20" s="18">
        <f>AF11+AF12+AF13+AF14+AF15+AF16+AF17+AF18+AF19</f>
        <v/>
      </c>
      <c r="AG20" s="18">
        <f>AG11+AG12+AG13+AG14+AG15+AG16+AG17+AG18+AG19</f>
        <v/>
      </c>
      <c r="AH20" s="18">
        <f>AH11+AH12+AH13+AH14+AH15+AH16+AH17+AH18+AH19</f>
        <v/>
      </c>
      <c r="AI20" s="18">
        <f>AI11+AI12+AI13+AI14+AI15+AI16+AI17+AI18+AI19</f>
        <v/>
      </c>
      <c r="AJ20" s="18">
        <f>AJ11+AJ12+AJ13+AJ14+AJ15+AJ16+AJ17+AJ18+AJ19</f>
        <v/>
      </c>
      <c r="AK20" s="11">
        <f>IF(N20&lt;&gt;0,(AB20-N20)/ABS(N20),0)</f>
        <v/>
      </c>
      <c r="AL20" s="11">
        <f>IF(AB20&lt;&gt;0,(AJ20-AB20)/ABS(AB20),0)</f>
        <v/>
      </c>
    </row>
    <row r="21" ht="13" customHeight="1">
      <c r="A21" s="19" t="inlineStr">
        <is>
          <t xml:space="preserve">    Sal:Rev</t>
        </is>
      </c>
      <c r="B21" s="20">
        <f>IF(B7&gt;0,B20/B7,0)</f>
        <v/>
      </c>
      <c r="C21" s="20">
        <f>IF(C7&gt;0,C20/C7,0)</f>
        <v/>
      </c>
      <c r="D21" s="20">
        <f>IF(D7&gt;0,D20/D7,0)</f>
        <v/>
      </c>
      <c r="E21" s="20">
        <f>IF(E7&gt;0,E20/E7,0)</f>
        <v/>
      </c>
      <c r="F21" s="20">
        <f>IF(F7&gt;0,F20/F7,0)</f>
        <v/>
      </c>
      <c r="G21" s="20">
        <f>IF(G7&gt;0,G20/G7,0)</f>
        <v/>
      </c>
      <c r="H21" s="20">
        <f>IF(H7&gt;0,H20/H7,0)</f>
        <v/>
      </c>
      <c r="I21" s="20">
        <f>IF(I7&gt;0,I20/I7,0)</f>
        <v/>
      </c>
      <c r="J21" s="20">
        <f>IF(J7&gt;0,J20/J7,0)</f>
        <v/>
      </c>
      <c r="K21" s="20">
        <f>IF(K7&gt;0,K20/K7,0)</f>
        <v/>
      </c>
      <c r="L21" s="20">
        <f>IF(L7&gt;0,L20/L7,0)</f>
        <v/>
      </c>
      <c r="M21" s="20">
        <f>IF(M7&gt;0,M20/M7,0)</f>
        <v/>
      </c>
      <c r="N21" s="20">
        <f>IF(N7&gt;0,N20/N7,0)</f>
        <v/>
      </c>
      <c r="O21" s="20">
        <f>IF(O7&gt;0,O20/O7,0)</f>
        <v/>
      </c>
      <c r="P21" s="20">
        <f>IF(P7&gt;0,P20/P7,0)</f>
        <v/>
      </c>
      <c r="Q21" s="20">
        <f>IF(Q7&gt;0,Q20/Q7,0)</f>
        <v/>
      </c>
      <c r="R21" s="20">
        <f>IF(R7&gt;0,R20/R7,0)</f>
        <v/>
      </c>
      <c r="S21" s="20">
        <f>IF(S7&gt;0,S20/S7,0)</f>
        <v/>
      </c>
      <c r="T21" s="20">
        <f>IF(T7&gt;0,T20/T7,0)</f>
        <v/>
      </c>
      <c r="U21" s="20">
        <f>IF(U7&gt;0,U20/U7,0)</f>
        <v/>
      </c>
      <c r="V21" s="20">
        <f>IF(V7&gt;0,V20/V7,0)</f>
        <v/>
      </c>
      <c r="W21" s="20">
        <f>IF(W7&gt;0,W20/W7,0)</f>
        <v/>
      </c>
      <c r="X21" s="20">
        <f>IF(X7&gt;0,X20/X7,0)</f>
        <v/>
      </c>
      <c r="Y21" s="20">
        <f>IF(Y7&gt;0,Y20/Y7,0)</f>
        <v/>
      </c>
      <c r="Z21" s="20">
        <f>IF(Z7&gt;0,Z20/Z7,0)</f>
        <v/>
      </c>
      <c r="AA21" s="20">
        <f>IF(AA7&gt;0,AA20/AA7,0)</f>
        <v/>
      </c>
      <c r="AB21" s="20">
        <f>IF(AB7&gt;0,AB20/AB7,0)</f>
        <v/>
      </c>
      <c r="AC21" s="20">
        <f>IF(AC7&gt;0,AC20/AC7,0)</f>
        <v/>
      </c>
      <c r="AD21" s="20">
        <f>IF(AD7&gt;0,AD20/AD7,0)</f>
        <v/>
      </c>
      <c r="AE21" s="20">
        <f>IF(AE7&gt;0,AE20/AE7,0)</f>
        <v/>
      </c>
      <c r="AF21" s="20">
        <f>IF(AF7&gt;0,AF20/AF7,0)</f>
        <v/>
      </c>
      <c r="AG21" s="20">
        <f>IF(AG7&gt;0,AG20/AG7,0)</f>
        <v/>
      </c>
      <c r="AH21" s="20">
        <f>IF(AH7&gt;0,AH20/AH7,0)</f>
        <v/>
      </c>
      <c r="AI21" s="20">
        <f>IF(AI7&gt;0,AI20/AI7,0)</f>
        <v/>
      </c>
      <c r="AJ21" s="20">
        <f>IF(AJ7&gt;0,AJ20/AJ7,0)</f>
        <v/>
      </c>
    </row>
    <row r="22" ht="5" customHeight="1"/>
    <row r="23" ht="13" customHeight="1">
      <c r="A23" s="14" t="inlineStr">
        <is>
          <t>Childcare</t>
        </is>
      </c>
    </row>
    <row r="24" ht="13" customHeight="1">
      <c r="A24" s="21" t="inlineStr">
        <is>
          <t xml:space="preserve">    Catering Costs</t>
        </is>
      </c>
      <c r="N24" s="22">
        <f>SUM(B24:M24)</f>
        <v/>
      </c>
      <c r="O24" s="22" t="n">
        <v>1461.98</v>
      </c>
      <c r="P24" s="22" t="n">
        <v>1803.02</v>
      </c>
      <c r="Q24" s="22" t="n">
        <v>1441.43</v>
      </c>
      <c r="R24" s="22" t="n">
        <v>1269.6</v>
      </c>
      <c r="S24" s="22" t="n">
        <v>1831.11</v>
      </c>
      <c r="T24" s="22" t="n">
        <v>2098.22</v>
      </c>
      <c r="U24" s="22" t="n">
        <v>2298.43</v>
      </c>
      <c r="V24" s="22" t="n">
        <v>2129.4</v>
      </c>
      <c r="W24" s="22" t="n">
        <v>2291.7024</v>
      </c>
      <c r="X24" s="22" t="n">
        <v>2456.7816</v>
      </c>
      <c r="Y24" s="22" t="n">
        <v>2477.3112</v>
      </c>
      <c r="Z24" s="22" t="n">
        <v>2420.9016</v>
      </c>
      <c r="AA24" s="22">
        <f>SUM(O24:U24)</f>
        <v/>
      </c>
      <c r="AB24" s="22">
        <f>SUM(O24:Z24)</f>
        <v/>
      </c>
      <c r="AC24" s="22" t="n">
        <v>2493.111816</v>
      </c>
      <c r="AD24" s="22" t="n">
        <v>2320.592976</v>
      </c>
      <c r="AE24" s="22" t="n">
        <v>2812.244447999999</v>
      </c>
      <c r="AF24" s="22" t="n">
        <v>2549.520168</v>
      </c>
      <c r="AG24" s="22" t="n">
        <v>2667.414672</v>
      </c>
      <c r="AH24" s="22" t="n">
        <v>2841.593664</v>
      </c>
      <c r="AI24" s="10">
        <f>SUM(AC24:AH24)</f>
        <v/>
      </c>
      <c r="AJ24" s="22">
        <f>SUM(AC24:AH24)+AI24</f>
        <v/>
      </c>
      <c r="AK24" s="11">
        <f>IF(N24&lt;&gt;0,(AB24-N24)/ABS(N24),0)</f>
        <v/>
      </c>
      <c r="AL24" s="11">
        <f>IF(AB24&lt;&gt;0,(AJ24-AB24)/ABS(AB24),0)</f>
        <v/>
      </c>
    </row>
    <row r="25" ht="13" customHeight="1">
      <c r="A25" s="21" t="inlineStr">
        <is>
          <t xml:space="preserve">    Toys and Games</t>
        </is>
      </c>
      <c r="B25" s="22" t="n">
        <v>150.47</v>
      </c>
      <c r="C25" s="22" t="n">
        <v>158.38</v>
      </c>
      <c r="D25" s="22" t="n">
        <v>149.6</v>
      </c>
      <c r="E25" s="22" t="n">
        <v>525.9299999999999</v>
      </c>
      <c r="F25" s="22" t="n">
        <v>276.46</v>
      </c>
      <c r="G25" s="22" t="n">
        <v>459.8100000000001</v>
      </c>
      <c r="H25" s="22" t="n">
        <v>618.96</v>
      </c>
      <c r="I25" s="22" t="n">
        <v>0</v>
      </c>
      <c r="J25" s="22" t="n">
        <v>157.63</v>
      </c>
      <c r="K25" s="22" t="n">
        <v>157.78</v>
      </c>
      <c r="L25" s="22" t="n">
        <v>433.98</v>
      </c>
      <c r="M25" s="22" t="n">
        <v>160.93</v>
      </c>
      <c r="N25" s="22">
        <f>SUM(B25:M25)</f>
        <v/>
      </c>
      <c r="O25" s="22" t="n">
        <v>322.01</v>
      </c>
      <c r="P25" s="22" t="n">
        <v>20.41</v>
      </c>
      <c r="Q25" s="22" t="n">
        <v>909.8</v>
      </c>
      <c r="R25" s="22" t="n">
        <v>451.0299999999999</v>
      </c>
      <c r="S25" s="22" t="n">
        <v>117.11</v>
      </c>
      <c r="T25" s="22" t="n">
        <v>27.56</v>
      </c>
      <c r="U25" s="22" t="n">
        <v>155.11</v>
      </c>
      <c r="AA25" s="22">
        <f>SUM(O25:U25)</f>
        <v/>
      </c>
      <c r="AB25" s="22">
        <f>SUM(O25:Z25)</f>
        <v/>
      </c>
      <c r="AC25" s="22" t="n">
        <v>50</v>
      </c>
      <c r="AD25" s="22" t="n">
        <v>50</v>
      </c>
      <c r="AE25" s="22" t="n">
        <v>50</v>
      </c>
      <c r="AF25" s="22" t="n">
        <v>50</v>
      </c>
      <c r="AG25" s="22" t="n">
        <v>50</v>
      </c>
      <c r="AH25" s="22" t="n">
        <v>50</v>
      </c>
      <c r="AI25" s="10">
        <f>SUM(AC25:AH25)</f>
        <v/>
      </c>
      <c r="AJ25" s="22">
        <f>SUM(AC25:AH25)+AI25</f>
        <v/>
      </c>
      <c r="AK25" s="11">
        <f>IF(N25&lt;&gt;0,(AB25-N25)/ABS(N25),0)</f>
        <v/>
      </c>
      <c r="AL25" s="11">
        <f>IF(AB25&lt;&gt;0,(AJ25-AB25)/ABS(AB25),0)</f>
        <v/>
      </c>
    </row>
    <row r="26" ht="13" customHeight="1">
      <c r="A26" s="21" t="inlineStr">
        <is>
          <t xml:space="preserve">    Art Materials</t>
        </is>
      </c>
      <c r="N26" s="22">
        <f>SUM(B26:M26)</f>
        <v/>
      </c>
      <c r="O26" s="22" t="n">
        <v>13.68</v>
      </c>
      <c r="P26" s="22" t="n">
        <v>256.29</v>
      </c>
      <c r="Q26" s="22" t="n">
        <v>62.83</v>
      </c>
      <c r="R26" s="22" t="n">
        <v>37.49</v>
      </c>
      <c r="S26" s="22" t="n">
        <v>11.09</v>
      </c>
      <c r="T26" s="22" t="n">
        <v>150.56</v>
      </c>
      <c r="U26" s="22" t="n">
        <v>175.69</v>
      </c>
      <c r="V26" s="22" t="n">
        <v>283.9200000000001</v>
      </c>
      <c r="W26" s="22" t="n">
        <v>305.5603200000001</v>
      </c>
      <c r="X26" s="22" t="n">
        <v>327.5708800000001</v>
      </c>
      <c r="Y26" s="22" t="n">
        <v>330.3081600000001</v>
      </c>
      <c r="Z26" s="22" t="n">
        <v>322.7868800000001</v>
      </c>
      <c r="AA26" s="22">
        <f>SUM(O26:U26)</f>
        <v/>
      </c>
      <c r="AB26" s="22">
        <f>SUM(O26:Z26)</f>
        <v/>
      </c>
      <c r="AC26" s="22" t="n">
        <v>332.4149088000001</v>
      </c>
      <c r="AD26" s="22" t="n">
        <v>309.4123968000001</v>
      </c>
      <c r="AE26" s="22" t="n">
        <v>374.9659264000001</v>
      </c>
      <c r="AF26" s="22" t="n">
        <v>339.9360224000001</v>
      </c>
      <c r="AG26" s="22" t="n">
        <v>355.6552896000001</v>
      </c>
      <c r="AH26" s="22" t="n">
        <v>378.8791552000001</v>
      </c>
      <c r="AI26" s="10">
        <f>SUM(AC26:AH26)</f>
        <v/>
      </c>
      <c r="AJ26" s="22">
        <f>SUM(AC26:AH26)+AI26</f>
        <v/>
      </c>
      <c r="AK26" s="11">
        <f>IF(N26&lt;&gt;0,(AB26-N26)/ABS(N26),0)</f>
        <v/>
      </c>
      <c r="AL26" s="11">
        <f>IF(AB26&lt;&gt;0,(AJ26-AB26)/ABS(AB26),0)</f>
        <v/>
      </c>
    </row>
    <row r="27" ht="13" customHeight="1">
      <c r="A27" s="21" t="inlineStr">
        <is>
          <t xml:space="preserve">    Nursery Stationery</t>
        </is>
      </c>
      <c r="B27" s="22" t="n">
        <v>28.68</v>
      </c>
      <c r="C27" s="22" t="n">
        <v>99.43000000000001</v>
      </c>
      <c r="D27" s="22" t="n">
        <v>62.8</v>
      </c>
      <c r="E27" s="22" t="n">
        <v>18.53</v>
      </c>
      <c r="F27" s="22" t="n">
        <v>58.69</v>
      </c>
      <c r="G27" s="22" t="n">
        <v>7.64</v>
      </c>
      <c r="H27" s="22" t="n">
        <v>76.06</v>
      </c>
      <c r="I27" s="22" t="n">
        <v>48.85</v>
      </c>
      <c r="J27" s="22" t="n">
        <v>0</v>
      </c>
      <c r="K27" s="22" t="n">
        <v>112.19</v>
      </c>
      <c r="L27" s="22" t="n">
        <v>108.87</v>
      </c>
      <c r="M27" s="22" t="n">
        <v>0</v>
      </c>
      <c r="N27" s="22">
        <f>SUM(B27:M27)</f>
        <v/>
      </c>
      <c r="O27" s="22" t="n">
        <v>58.06</v>
      </c>
      <c r="P27" s="22" t="n">
        <v>58.6</v>
      </c>
      <c r="Q27" s="22" t="n">
        <v>46.33</v>
      </c>
      <c r="R27" s="22" t="n">
        <v>12.97</v>
      </c>
      <c r="S27" s="22" t="n">
        <v>120.18</v>
      </c>
      <c r="T27" s="22" t="n">
        <v>22.92</v>
      </c>
      <c r="U27" s="22" t="n">
        <v>43.05</v>
      </c>
      <c r="AA27" s="22">
        <f>SUM(O27:U27)</f>
        <v/>
      </c>
      <c r="AB27" s="22">
        <f>SUM(O27:Z27)</f>
        <v/>
      </c>
      <c r="AC27" s="22" t="n">
        <v>90</v>
      </c>
      <c r="AD27" s="22" t="n">
        <v>90</v>
      </c>
      <c r="AE27" s="22" t="n">
        <v>90</v>
      </c>
      <c r="AF27" s="22" t="n">
        <v>90</v>
      </c>
      <c r="AG27" s="22" t="n">
        <v>90</v>
      </c>
      <c r="AH27" s="22" t="n">
        <v>90</v>
      </c>
      <c r="AI27" s="10">
        <f>SUM(AC27:AH27)</f>
        <v/>
      </c>
      <c r="AJ27" s="22">
        <f>SUM(AC27:AH27)+AI27</f>
        <v/>
      </c>
      <c r="AK27" s="11">
        <f>IF(N27&lt;&gt;0,(AB27-N27)/ABS(N27),0)</f>
        <v/>
      </c>
      <c r="AL27" s="11">
        <f>IF(AB27&lt;&gt;0,(AJ27-AB27)/ABS(AB27),0)</f>
        <v/>
      </c>
    </row>
    <row r="28" ht="13" customHeight="1">
      <c r="A28" s="21" t="inlineStr">
        <is>
          <t xml:space="preserve">    Nursery Equipment</t>
        </is>
      </c>
      <c r="B28" s="22" t="n">
        <v>160.7</v>
      </c>
      <c r="C28" s="22" t="n">
        <v>123.84</v>
      </c>
      <c r="D28" s="22" t="n">
        <v>222.23</v>
      </c>
      <c r="E28" s="22" t="n">
        <v>28.49</v>
      </c>
      <c r="F28" s="22" t="n">
        <v>71.57000000000001</v>
      </c>
      <c r="G28" s="22" t="n">
        <v>71.31999999999999</v>
      </c>
      <c r="H28" s="22" t="n">
        <v>80.70999999999999</v>
      </c>
      <c r="I28" s="22" t="n">
        <v>3.95</v>
      </c>
      <c r="J28" s="22" t="n">
        <v>12.98</v>
      </c>
      <c r="K28" s="22" t="n">
        <v>267.22</v>
      </c>
      <c r="L28" s="22" t="n">
        <v>151.94</v>
      </c>
      <c r="M28" s="22" t="n">
        <v>10.99</v>
      </c>
      <c r="N28" s="22">
        <f>SUM(B28:M28)</f>
        <v/>
      </c>
      <c r="O28" s="22" t="n">
        <v>84.18000000000001</v>
      </c>
      <c r="P28" s="22" t="n">
        <v>56.22</v>
      </c>
      <c r="Q28" s="22" t="n">
        <v>65.83</v>
      </c>
      <c r="R28" s="22" t="n">
        <v>102.29</v>
      </c>
      <c r="S28" s="22" t="n">
        <v>259.6</v>
      </c>
      <c r="T28" s="22" t="n">
        <v>44.01</v>
      </c>
      <c r="U28" s="22" t="n">
        <v>53.56</v>
      </c>
      <c r="AA28" s="22">
        <f>SUM(O28:U28)</f>
        <v/>
      </c>
      <c r="AB28" s="22">
        <f>SUM(O28:Z28)</f>
        <v/>
      </c>
      <c r="AC28" s="22" t="n">
        <v>50</v>
      </c>
      <c r="AD28" s="22" t="n">
        <v>50</v>
      </c>
      <c r="AE28" s="22" t="n">
        <v>50</v>
      </c>
      <c r="AF28" s="22" t="n">
        <v>50</v>
      </c>
      <c r="AG28" s="22" t="n">
        <v>50</v>
      </c>
      <c r="AH28" s="22" t="n">
        <v>50</v>
      </c>
      <c r="AI28" s="10">
        <f>SUM(AC28:AH28)</f>
        <v/>
      </c>
      <c r="AJ28" s="22">
        <f>SUM(AC28:AH28)+AI28</f>
        <v/>
      </c>
      <c r="AK28" s="11">
        <f>IF(N28&lt;&gt;0,(AB28-N28)/ABS(N28),0)</f>
        <v/>
      </c>
      <c r="AL28" s="11">
        <f>IF(AB28&lt;&gt;0,(AJ28-AB28)/ABS(AB28),0)</f>
        <v/>
      </c>
    </row>
    <row r="29" ht="13" customHeight="1">
      <c r="A29" s="21" t="inlineStr">
        <is>
          <t xml:space="preserve">    Nursery Consumables</t>
        </is>
      </c>
      <c r="N29" s="22">
        <f>SUM(B29:M29)</f>
        <v/>
      </c>
      <c r="O29" s="22" t="n">
        <v>511.53</v>
      </c>
      <c r="P29" s="22" t="n">
        <v>341.6</v>
      </c>
      <c r="Q29" s="22" t="n">
        <v>320.13</v>
      </c>
      <c r="R29" s="22" t="n">
        <v>615.91</v>
      </c>
      <c r="S29" s="22" t="n">
        <v>581.7900000000001</v>
      </c>
      <c r="T29" s="22" t="n">
        <v>474.05</v>
      </c>
      <c r="U29" s="22" t="n">
        <v>146.24</v>
      </c>
      <c r="V29" s="22" t="n">
        <v>354.9</v>
      </c>
      <c r="W29" s="22" t="n">
        <v>381.9504000000001</v>
      </c>
      <c r="X29" s="22" t="n">
        <v>409.4636</v>
      </c>
      <c r="Y29" s="22" t="n">
        <v>412.8852000000001</v>
      </c>
      <c r="Z29" s="22" t="n">
        <v>403.4836</v>
      </c>
      <c r="AA29" s="22">
        <f>SUM(O29:U29)</f>
        <v/>
      </c>
      <c r="AB29" s="22">
        <f>SUM(O29:Z29)</f>
        <v/>
      </c>
      <c r="AC29" s="22" t="n">
        <v>415.518636</v>
      </c>
      <c r="AD29" s="22" t="n">
        <v>386.765496</v>
      </c>
      <c r="AE29" s="22" t="n">
        <v>468.707408</v>
      </c>
      <c r="AF29" s="22" t="n">
        <v>424.9200280000001</v>
      </c>
      <c r="AG29" s="22" t="n">
        <v>444.569112</v>
      </c>
      <c r="AH29" s="22" t="n">
        <v>473.5989440000001</v>
      </c>
      <c r="AI29" s="10">
        <f>SUM(AC29:AH29)</f>
        <v/>
      </c>
      <c r="AJ29" s="22">
        <f>SUM(AC29:AH29)+AI29</f>
        <v/>
      </c>
      <c r="AK29" s="11">
        <f>IF(N29&lt;&gt;0,(AB29-N29)/ABS(N29),0)</f>
        <v/>
      </c>
      <c r="AL29" s="11">
        <f>IF(AB29&lt;&gt;0,(AJ29-AB29)/ABS(AB29),0)</f>
        <v/>
      </c>
    </row>
    <row r="30" ht="13" customHeight="1">
      <c r="A30" s="23" t="inlineStr">
        <is>
          <t>Total Childcare Costs</t>
        </is>
      </c>
      <c r="B30" s="24">
        <f>B24+B25+B26+B27+B28+B29</f>
        <v/>
      </c>
      <c r="C30" s="24">
        <f>C24+C25+C26+C27+C28+C29</f>
        <v/>
      </c>
      <c r="D30" s="24">
        <f>D24+D25+D26+D27+D28+D29</f>
        <v/>
      </c>
      <c r="E30" s="24">
        <f>E24+E25+E26+E27+E28+E29</f>
        <v/>
      </c>
      <c r="F30" s="24">
        <f>F24+F25+F26+F27+F28+F29</f>
        <v/>
      </c>
      <c r="G30" s="24">
        <f>G24+G25+G26+G27+G28+G29</f>
        <v/>
      </c>
      <c r="H30" s="24">
        <f>H24+H25+H26+H27+H28+H29</f>
        <v/>
      </c>
      <c r="I30" s="24">
        <f>I24+I25+I26+I27+I28+I29</f>
        <v/>
      </c>
      <c r="J30" s="24">
        <f>J24+J25+J26+J27+J28+J29</f>
        <v/>
      </c>
      <c r="K30" s="24">
        <f>K24+K25+K26+K27+K28+K29</f>
        <v/>
      </c>
      <c r="L30" s="24">
        <f>L24+L25+L26+L27+L28+L29</f>
        <v/>
      </c>
      <c r="M30" s="24">
        <f>M24+M25+M26+M27+M28+M29</f>
        <v/>
      </c>
      <c r="N30" s="24">
        <f>N24+N25+N26+N27+N28+N29</f>
        <v/>
      </c>
      <c r="O30" s="24">
        <f>O24+O25+O26+O27+O28+O29</f>
        <v/>
      </c>
      <c r="P30" s="24">
        <f>P24+P25+P26+P27+P28+P29</f>
        <v/>
      </c>
      <c r="Q30" s="24">
        <f>Q24+Q25+Q26+Q27+Q28+Q29</f>
        <v/>
      </c>
      <c r="R30" s="24">
        <f>R24+R25+R26+R27+R28+R29</f>
        <v/>
      </c>
      <c r="S30" s="24">
        <f>S24+S25+S26+S27+S28+S29</f>
        <v/>
      </c>
      <c r="T30" s="24">
        <f>T24+T25+T26+T27+T28+T29</f>
        <v/>
      </c>
      <c r="U30" s="24">
        <f>U24+U25+U26+U27+U28+U29</f>
        <v/>
      </c>
      <c r="V30" s="24">
        <f>V24+V25+V26+V27+V28+V29</f>
        <v/>
      </c>
      <c r="W30" s="24">
        <f>W24+W25+W26+W27+W28+W29</f>
        <v/>
      </c>
      <c r="X30" s="24">
        <f>X24+X25+X26+X27+X28+X29</f>
        <v/>
      </c>
      <c r="Y30" s="24">
        <f>Y24+Y25+Y26+Y27+Y28+Y29</f>
        <v/>
      </c>
      <c r="Z30" s="24">
        <f>Z24+Z25+Z26+Z27+Z28+Z29</f>
        <v/>
      </c>
      <c r="AA30" s="24">
        <f>AA24+AA25+AA26+AA27+AA28+AA29</f>
        <v/>
      </c>
      <c r="AB30" s="24">
        <f>AB24+AB25+AB26+AB27+AB28+AB29</f>
        <v/>
      </c>
      <c r="AC30" s="24">
        <f>AC24+AC25+AC26+AC27+AC28+AC29</f>
        <v/>
      </c>
      <c r="AD30" s="24">
        <f>AD24+AD25+AD26+AD27+AD28+AD29</f>
        <v/>
      </c>
      <c r="AE30" s="24">
        <f>AE24+AE25+AE26+AE27+AE28+AE29</f>
        <v/>
      </c>
      <c r="AF30" s="24">
        <f>AF24+AF25+AF26+AF27+AF28+AF29</f>
        <v/>
      </c>
      <c r="AG30" s="24">
        <f>AG24+AG25+AG26+AG27+AG28+AG29</f>
        <v/>
      </c>
      <c r="AH30" s="24">
        <f>AH24+AH25+AH26+AH27+AH28+AH29</f>
        <v/>
      </c>
      <c r="AI30" s="24">
        <f>AI24+AI25+AI26+AI27+AI28+AI29</f>
        <v/>
      </c>
      <c r="AJ30" s="24">
        <f>AJ24+AJ25+AJ26+AJ27+AJ28+AJ29</f>
        <v/>
      </c>
      <c r="AK30" s="11">
        <f>IF(N30&lt;&gt;0,(AB30-N30)/ABS(N30),0)</f>
        <v/>
      </c>
      <c r="AL30" s="11">
        <f>IF(AB30&lt;&gt;0,(AJ30-AB30)/ABS(AB30),0)</f>
        <v/>
      </c>
    </row>
    <row r="31" ht="5" customHeight="1"/>
    <row r="32" ht="13" customHeight="1">
      <c r="A32" s="14" t="inlineStr">
        <is>
          <t>Premises &amp; Admin</t>
        </is>
      </c>
    </row>
    <row r="33" ht="13" customHeight="1">
      <c r="A33" s="25" t="inlineStr">
        <is>
          <t xml:space="preserve">    Rent</t>
        </is>
      </c>
      <c r="B33" s="26" t="n">
        <v>0</v>
      </c>
      <c r="C33" s="26" t="n">
        <v>0</v>
      </c>
      <c r="D33" s="26" t="n">
        <v>0</v>
      </c>
      <c r="E33" s="26" t="n">
        <v>0</v>
      </c>
      <c r="F33" s="26" t="n">
        <v>0</v>
      </c>
      <c r="G33" s="26" t="n">
        <v>0</v>
      </c>
      <c r="H33" s="26" t="n">
        <v>0</v>
      </c>
      <c r="I33" s="26" t="n">
        <v>0</v>
      </c>
      <c r="J33" s="26" t="n">
        <v>0</v>
      </c>
      <c r="K33" s="26" t="n">
        <v>0</v>
      </c>
      <c r="L33" s="26" t="n">
        <v>0</v>
      </c>
      <c r="M33" s="26" t="n">
        <v>0</v>
      </c>
      <c r="N33" s="26">
        <f>SUM(B33:M33)</f>
        <v/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  <c r="V33" s="26" t="n">
        <v>0</v>
      </c>
      <c r="W33" s="26" t="n">
        <v>0</v>
      </c>
      <c r="X33" s="26" t="n">
        <v>0</v>
      </c>
      <c r="Y33" s="26" t="n">
        <v>0</v>
      </c>
      <c r="Z33" s="26" t="n">
        <v>0</v>
      </c>
      <c r="AA33" s="26">
        <f>SUM(O33:U33)</f>
        <v/>
      </c>
      <c r="AB33" s="26">
        <f>SUM(O33:Z33)</f>
        <v/>
      </c>
      <c r="AC33" s="26" t="n">
        <v>0</v>
      </c>
      <c r="AD33" s="26" t="n">
        <v>0</v>
      </c>
      <c r="AE33" s="26" t="n">
        <v>0</v>
      </c>
      <c r="AF33" s="26" t="n">
        <v>0</v>
      </c>
      <c r="AG33" s="26" t="n">
        <v>0</v>
      </c>
      <c r="AH33" s="26" t="n">
        <v>0</v>
      </c>
      <c r="AI33" s="10">
        <f>SUM(AC33:AH33)</f>
        <v/>
      </c>
      <c r="AJ33" s="26">
        <f>SUM(AC33:AH33)+AI33</f>
        <v/>
      </c>
      <c r="AK33" s="11">
        <f>IF(N33&lt;&gt;0,(AB33-N33)/ABS(N33),0)</f>
        <v/>
      </c>
      <c r="AL33" s="11">
        <f>IF(AB33&lt;&gt;0,(AJ33-AB33)/ABS(AB33),0)</f>
        <v/>
      </c>
    </row>
    <row r="34" ht="13" customHeight="1">
      <c r="A34" s="25" t="inlineStr">
        <is>
          <t xml:space="preserve">    Business Rates</t>
        </is>
      </c>
      <c r="B34" s="26" t="n">
        <v>3094</v>
      </c>
      <c r="C34" s="26" t="n">
        <v>3094</v>
      </c>
      <c r="D34" s="26" t="n">
        <v>3094</v>
      </c>
      <c r="E34" s="26" t="n">
        <v>3145</v>
      </c>
      <c r="F34" s="26" t="n">
        <v>3145</v>
      </c>
      <c r="G34" s="26" t="n">
        <v>3145</v>
      </c>
      <c r="H34" s="26" t="n">
        <v>3145</v>
      </c>
      <c r="I34" s="26" t="n">
        <v>3145</v>
      </c>
      <c r="J34" s="26" t="n">
        <v>3145</v>
      </c>
      <c r="K34" s="26" t="n">
        <v>3145</v>
      </c>
      <c r="L34" s="26" t="n">
        <v>3145</v>
      </c>
      <c r="M34" s="26" t="n">
        <v>3145</v>
      </c>
      <c r="N34" s="26">
        <f>SUM(B34:M34)</f>
        <v/>
      </c>
      <c r="O34" s="26" t="n">
        <v>3145</v>
      </c>
      <c r="P34" s="26" t="n">
        <v>3145</v>
      </c>
      <c r="Q34" s="26" t="n">
        <v>3145</v>
      </c>
      <c r="R34" s="26" t="n">
        <v>3021.67</v>
      </c>
      <c r="S34" s="26" t="n">
        <v>3021.67</v>
      </c>
      <c r="T34" s="26" t="n">
        <v>3021.67</v>
      </c>
      <c r="U34" s="26" t="n">
        <v>3021.67</v>
      </c>
      <c r="AA34" s="26">
        <f>SUM(O34:U34)</f>
        <v/>
      </c>
      <c r="AB34" s="26">
        <f>SUM(O34:Z34)</f>
        <v/>
      </c>
      <c r="AC34" s="26" t="n">
        <v>3022</v>
      </c>
      <c r="AD34" s="26" t="n">
        <v>3022</v>
      </c>
      <c r="AE34" s="26" t="n">
        <v>3022</v>
      </c>
      <c r="AF34" s="26" t="n">
        <v>3022</v>
      </c>
      <c r="AG34" s="26" t="n">
        <v>3022</v>
      </c>
      <c r="AH34" s="26" t="n">
        <v>3022</v>
      </c>
      <c r="AI34" s="10">
        <f>SUM(AC34:AH34)</f>
        <v/>
      </c>
      <c r="AJ34" s="26">
        <f>SUM(AC34:AH34)+AI34</f>
        <v/>
      </c>
      <c r="AK34" s="11">
        <f>IF(N34&lt;&gt;0,(AB34-N34)/ABS(N34),0)</f>
        <v/>
      </c>
      <c r="AL34" s="11">
        <f>IF(AB34&lt;&gt;0,(AJ34-AB34)/ABS(AB34),0)</f>
        <v/>
      </c>
    </row>
    <row r="35" ht="13" customHeight="1">
      <c r="A35" s="25" t="inlineStr">
        <is>
          <t xml:space="preserve">    Utilities</t>
        </is>
      </c>
      <c r="B35" s="26" t="n">
        <v>1090.6</v>
      </c>
      <c r="C35" s="26" t="n">
        <v>72.00000000000045</v>
      </c>
      <c r="D35" s="26" t="n">
        <v>2060.91</v>
      </c>
      <c r="E35" s="26" t="n">
        <v>1227.22</v>
      </c>
      <c r="F35" s="26" t="n">
        <v>800.8800000000001</v>
      </c>
      <c r="G35" s="26" t="n">
        <v>1086.41</v>
      </c>
      <c r="H35" s="26" t="n">
        <v>648.46</v>
      </c>
      <c r="I35" s="26" t="n">
        <v>655.5999999999999</v>
      </c>
      <c r="J35" s="26" t="n">
        <v>1518.48</v>
      </c>
      <c r="K35" s="26" t="n">
        <v>795.6700000000001</v>
      </c>
      <c r="L35" s="26" t="n">
        <v>740.5999999999999</v>
      </c>
      <c r="M35" s="26" t="n">
        <v>1205.02</v>
      </c>
      <c r="N35" s="26">
        <f>SUM(B35:M35)</f>
        <v/>
      </c>
      <c r="O35" s="26" t="n">
        <v>985.79</v>
      </c>
      <c r="P35" s="26" t="n">
        <v>1036.83</v>
      </c>
      <c r="Q35" s="26" t="n">
        <v>1302.1</v>
      </c>
      <c r="R35" s="26" t="n">
        <v>1010.56</v>
      </c>
      <c r="S35" s="26" t="n">
        <v>808.67</v>
      </c>
      <c r="T35" s="26" t="n">
        <v>470.01</v>
      </c>
      <c r="U35" s="26" t="n">
        <v>732.4000000000001</v>
      </c>
      <c r="AA35" s="26">
        <f>SUM(O35:U35)</f>
        <v/>
      </c>
      <c r="AB35" s="26">
        <f>SUM(O35:Z35)</f>
        <v/>
      </c>
      <c r="AC35" s="26" t="n">
        <v>996</v>
      </c>
      <c r="AD35" s="26" t="n">
        <v>996</v>
      </c>
      <c r="AE35" s="26" t="n">
        <v>996</v>
      </c>
      <c r="AF35" s="26" t="n">
        <v>996</v>
      </c>
      <c r="AG35" s="26" t="n">
        <v>996</v>
      </c>
      <c r="AH35" s="26" t="n">
        <v>996</v>
      </c>
      <c r="AI35" s="10">
        <f>SUM(AC35:AH35)</f>
        <v/>
      </c>
      <c r="AJ35" s="26">
        <f>SUM(AC35:AH35)+AI35</f>
        <v/>
      </c>
      <c r="AK35" s="11">
        <f>IF(N35&lt;&gt;0,(AB35-N35)/ABS(N35),0)</f>
        <v/>
      </c>
      <c r="AL35" s="11">
        <f>IF(AB35&lt;&gt;0,(AJ35-AB35)/ABS(AB35),0)</f>
        <v/>
      </c>
    </row>
    <row r="36" ht="13" customHeight="1">
      <c r="A36" s="25" t="inlineStr">
        <is>
          <t xml:space="preserve">    Repairs &amp; Maintenance</t>
        </is>
      </c>
      <c r="B36" s="26" t="n">
        <v>222</v>
      </c>
      <c r="C36" s="26" t="n">
        <v>0</v>
      </c>
      <c r="D36" s="26" t="n">
        <v>2295.47</v>
      </c>
      <c r="E36" s="26" t="n">
        <v>59.2</v>
      </c>
      <c r="F36" s="26" t="n">
        <v>102.84</v>
      </c>
      <c r="G36" s="26" t="n">
        <v>156.31</v>
      </c>
      <c r="H36" s="26" t="n">
        <v>269.93</v>
      </c>
      <c r="I36" s="26" t="n">
        <v>7.38</v>
      </c>
      <c r="J36" s="26" t="n">
        <v>10.62</v>
      </c>
      <c r="K36" s="26" t="n">
        <v>114.23</v>
      </c>
      <c r="L36" s="26" t="n">
        <v>36</v>
      </c>
      <c r="M36" s="26" t="n">
        <v>108</v>
      </c>
      <c r="N36" s="26">
        <f>SUM(B36:M36)</f>
        <v/>
      </c>
      <c r="O36" s="26" t="n">
        <v>0</v>
      </c>
      <c r="P36" s="26" t="n">
        <v>3635.32</v>
      </c>
      <c r="Q36" s="26" t="n">
        <v>1337.4</v>
      </c>
      <c r="R36" s="26" t="n">
        <v>110.18</v>
      </c>
      <c r="S36" s="26" t="n">
        <v>120.98</v>
      </c>
      <c r="T36" s="26" t="n">
        <v>0</v>
      </c>
      <c r="U36" s="26" t="n">
        <v>917.1200000000001</v>
      </c>
      <c r="AA36" s="26">
        <f>SUM(O36:U36)</f>
        <v/>
      </c>
      <c r="AB36" s="26">
        <f>SUM(O36:Z36)</f>
        <v/>
      </c>
      <c r="AC36" s="26" t="n">
        <v>0</v>
      </c>
      <c r="AD36" s="26" t="n">
        <v>0</v>
      </c>
      <c r="AE36" s="26" t="n">
        <v>0</v>
      </c>
      <c r="AF36" s="26" t="n">
        <v>0</v>
      </c>
      <c r="AG36" s="26" t="n">
        <v>0</v>
      </c>
      <c r="AH36" s="26" t="n">
        <v>0</v>
      </c>
      <c r="AI36" s="10">
        <f>SUM(AC36:AH36)</f>
        <v/>
      </c>
      <c r="AJ36" s="26">
        <f>SUM(AC36:AH36)+AI36</f>
        <v/>
      </c>
      <c r="AK36" s="11">
        <f>IF(N36&lt;&gt;0,(AB36-N36)/ABS(N36),0)</f>
        <v/>
      </c>
      <c r="AL36" s="11">
        <f>IF(AB36&lt;&gt;0,(AJ36-AB36)/ABS(AB36),0)</f>
        <v/>
      </c>
    </row>
    <row r="37" ht="13" customHeight="1">
      <c r="A37" s="25" t="inlineStr">
        <is>
          <t xml:space="preserve">    Cleaning</t>
        </is>
      </c>
      <c r="B37" s="26" t="n">
        <v>910.8999999999999</v>
      </c>
      <c r="C37" s="26" t="n">
        <v>436.73</v>
      </c>
      <c r="D37" s="26" t="n">
        <v>608.49</v>
      </c>
      <c r="E37" s="26" t="n">
        <v>631.55</v>
      </c>
      <c r="F37" s="26" t="n">
        <v>660.9300000000001</v>
      </c>
      <c r="G37" s="26" t="n">
        <v>1356.2</v>
      </c>
      <c r="H37" s="26" t="n">
        <v>461</v>
      </c>
      <c r="I37" s="26" t="n">
        <v>439.54</v>
      </c>
      <c r="J37" s="26" t="n">
        <v>1191.48</v>
      </c>
      <c r="K37" s="26" t="n">
        <v>462.57</v>
      </c>
      <c r="L37" s="26" t="n">
        <v>228.42</v>
      </c>
      <c r="M37" s="26" t="n">
        <v>464.64</v>
      </c>
      <c r="N37" s="26">
        <f>SUM(B37:M37)</f>
        <v/>
      </c>
      <c r="O37" s="26" t="n">
        <v>354.19</v>
      </c>
      <c r="P37" s="26" t="n">
        <v>49.12</v>
      </c>
      <c r="Q37" s="26" t="n">
        <v>456.79</v>
      </c>
      <c r="R37" s="26" t="n">
        <v>280.03</v>
      </c>
      <c r="S37" s="26" t="n">
        <v>401.15</v>
      </c>
      <c r="T37" s="26" t="n">
        <v>459.4</v>
      </c>
      <c r="U37" s="26" t="n">
        <v>5.63</v>
      </c>
      <c r="AA37" s="26">
        <f>SUM(O37:U37)</f>
        <v/>
      </c>
      <c r="AB37" s="26">
        <f>SUM(O37:Z37)</f>
        <v/>
      </c>
      <c r="AC37" s="26" t="n">
        <v>333</v>
      </c>
      <c r="AD37" s="26" t="n">
        <v>333</v>
      </c>
      <c r="AE37" s="26" t="n">
        <v>333</v>
      </c>
      <c r="AF37" s="26" t="n">
        <v>333</v>
      </c>
      <c r="AG37" s="26" t="n">
        <v>333</v>
      </c>
      <c r="AH37" s="26" t="n">
        <v>333</v>
      </c>
      <c r="AI37" s="10">
        <f>SUM(AC37:AH37)</f>
        <v/>
      </c>
      <c r="AJ37" s="26">
        <f>SUM(AC37:AH37)+AI37</f>
        <v/>
      </c>
      <c r="AK37" s="11">
        <f>IF(N37&lt;&gt;0,(AB37-N37)/ABS(N37),0)</f>
        <v/>
      </c>
      <c r="AL37" s="11">
        <f>IF(AB37&lt;&gt;0,(AJ37-AB37)/ABS(AB37),0)</f>
        <v/>
      </c>
    </row>
    <row r="38" ht="13" customHeight="1">
      <c r="A38" s="25" t="inlineStr">
        <is>
          <t xml:space="preserve">    Waste Disposal</t>
        </is>
      </c>
      <c r="B38" s="26" t="n">
        <v>377.59</v>
      </c>
      <c r="C38" s="26" t="n">
        <v>583.16</v>
      </c>
      <c r="D38" s="26" t="n">
        <v>730.2299999999999</v>
      </c>
      <c r="E38" s="26" t="n">
        <v>334.81</v>
      </c>
      <c r="F38" s="26" t="n">
        <v>283.5700000000001</v>
      </c>
      <c r="G38" s="26" t="n">
        <v>414.48</v>
      </c>
      <c r="H38" s="26" t="n">
        <v>361.07</v>
      </c>
      <c r="I38" s="26" t="n">
        <v>449.9</v>
      </c>
      <c r="J38" s="26" t="n">
        <v>780.8099999999999</v>
      </c>
      <c r="K38" s="26" t="n">
        <v>411.19</v>
      </c>
      <c r="L38" s="26" t="n">
        <v>428.31</v>
      </c>
      <c r="M38" s="26" t="n">
        <v>481.72</v>
      </c>
      <c r="N38" s="26">
        <f>SUM(B38:M38)</f>
        <v/>
      </c>
      <c r="O38" s="26" t="n">
        <v>428.3</v>
      </c>
      <c r="P38" s="26" t="n">
        <v>529.11</v>
      </c>
      <c r="Q38" s="26" t="n">
        <v>481.72</v>
      </c>
      <c r="R38" s="26" t="n">
        <v>536.35</v>
      </c>
      <c r="S38" s="26" t="n">
        <v>455.32</v>
      </c>
      <c r="T38" s="26" t="n">
        <v>346.66</v>
      </c>
      <c r="U38" s="26" t="n">
        <v>620.08</v>
      </c>
      <c r="AA38" s="26">
        <f>SUM(O38:U38)</f>
        <v/>
      </c>
      <c r="AB38" s="26">
        <f>SUM(O38:Z38)</f>
        <v/>
      </c>
      <c r="AC38" s="26" t="n">
        <v>474</v>
      </c>
      <c r="AD38" s="26" t="n">
        <v>474</v>
      </c>
      <c r="AE38" s="26" t="n">
        <v>474</v>
      </c>
      <c r="AF38" s="26" t="n">
        <v>474</v>
      </c>
      <c r="AG38" s="26" t="n">
        <v>474</v>
      </c>
      <c r="AH38" s="26" t="n">
        <v>474</v>
      </c>
      <c r="AI38" s="10">
        <f>SUM(AC38:AH38)</f>
        <v/>
      </c>
      <c r="AJ38" s="26">
        <f>SUM(AC38:AH38)+AI38</f>
        <v/>
      </c>
      <c r="AK38" s="11">
        <f>IF(N38&lt;&gt;0,(AB38-N38)/ABS(N38),0)</f>
        <v/>
      </c>
      <c r="AL38" s="11">
        <f>IF(AB38&lt;&gt;0,(AJ38-AB38)/ABS(AB38),0)</f>
        <v/>
      </c>
    </row>
    <row r="39" ht="13" customHeight="1">
      <c r="A39" s="25" t="inlineStr">
        <is>
          <t xml:space="preserve">    Postage/Printing/Stationery</t>
        </is>
      </c>
      <c r="B39" s="26" t="n">
        <v>71.09999999999999</v>
      </c>
      <c r="C39" s="26" t="n">
        <v>84.2</v>
      </c>
      <c r="D39" s="26" t="n">
        <v>53.57</v>
      </c>
      <c r="E39" s="26" t="n">
        <v>40.14</v>
      </c>
      <c r="F39" s="26" t="n">
        <v>67.65000000000001</v>
      </c>
      <c r="G39" s="26" t="n">
        <v>49.08</v>
      </c>
      <c r="H39" s="26" t="n">
        <v>71.48999999999999</v>
      </c>
      <c r="I39" s="26" t="n">
        <v>270.78</v>
      </c>
      <c r="J39" s="26" t="n">
        <v>102.83</v>
      </c>
      <c r="K39" s="26" t="n">
        <v>91.92</v>
      </c>
      <c r="L39" s="26" t="n">
        <v>54.05</v>
      </c>
      <c r="M39" s="26" t="n">
        <v>43.75</v>
      </c>
      <c r="N39" s="26">
        <f>SUM(B39:M39)</f>
        <v/>
      </c>
      <c r="O39" s="26" t="n">
        <v>86.89</v>
      </c>
      <c r="P39" s="26" t="n">
        <v>86.22</v>
      </c>
      <c r="Q39" s="26" t="n">
        <v>84.04000000000001</v>
      </c>
      <c r="R39" s="26" t="n">
        <v>78.89</v>
      </c>
      <c r="S39" s="26" t="n">
        <v>111.28</v>
      </c>
      <c r="T39" s="26" t="n">
        <v>81.90000000000001</v>
      </c>
      <c r="U39" s="26" t="n">
        <v>104.47</v>
      </c>
      <c r="AA39" s="26">
        <f>SUM(O39:U39)</f>
        <v/>
      </c>
      <c r="AB39" s="26">
        <f>SUM(O39:Z39)</f>
        <v/>
      </c>
      <c r="AC39" s="26" t="n">
        <v>0</v>
      </c>
      <c r="AD39" s="26" t="n">
        <v>0</v>
      </c>
      <c r="AE39" s="26" t="n">
        <v>0</v>
      </c>
      <c r="AF39" s="26" t="n">
        <v>0</v>
      </c>
      <c r="AG39" s="26" t="n">
        <v>0</v>
      </c>
      <c r="AH39" s="26" t="n">
        <v>0</v>
      </c>
      <c r="AI39" s="10">
        <f>SUM(AC39:AH39)</f>
        <v/>
      </c>
      <c r="AJ39" s="26">
        <f>SUM(AC39:AH39)+AI39</f>
        <v/>
      </c>
      <c r="AK39" s="11">
        <f>IF(N39&lt;&gt;0,(AB39-N39)/ABS(N39),0)</f>
        <v/>
      </c>
      <c r="AL39" s="11">
        <f>IF(AB39&lt;&gt;0,(AJ39-AB39)/ABS(AB39),0)</f>
        <v/>
      </c>
    </row>
    <row r="40" ht="13" customHeight="1">
      <c r="A40" s="25" t="inlineStr">
        <is>
          <t xml:space="preserve">    Telephone</t>
        </is>
      </c>
      <c r="B40" s="26" t="n">
        <v>0</v>
      </c>
      <c r="C40" s="26" t="n">
        <v>0</v>
      </c>
      <c r="D40" s="26" t="n">
        <v>0</v>
      </c>
      <c r="E40" s="26" t="n">
        <v>0</v>
      </c>
      <c r="F40" s="26" t="n">
        <v>0</v>
      </c>
      <c r="G40" s="26" t="n">
        <v>0</v>
      </c>
      <c r="H40" s="26" t="n">
        <v>0</v>
      </c>
      <c r="I40" s="26" t="n">
        <v>0</v>
      </c>
      <c r="J40" s="26" t="n">
        <v>0</v>
      </c>
      <c r="K40" s="26" t="n">
        <v>0</v>
      </c>
      <c r="L40" s="26" t="n">
        <v>0</v>
      </c>
      <c r="M40" s="26" t="n">
        <v>0</v>
      </c>
      <c r="N40" s="26">
        <f>SUM(B40:M40)</f>
        <v/>
      </c>
      <c r="O40" s="26" t="n">
        <v>382</v>
      </c>
      <c r="P40" s="26" t="n">
        <v>485</v>
      </c>
      <c r="Q40" s="26" t="n">
        <v>290</v>
      </c>
      <c r="R40" s="26" t="n">
        <v>252</v>
      </c>
      <c r="S40" s="26" t="n">
        <v>174</v>
      </c>
      <c r="T40" s="26" t="n">
        <v>0</v>
      </c>
      <c r="U40" s="26" t="n">
        <v>0</v>
      </c>
      <c r="AA40" s="26">
        <f>SUM(O40:U40)</f>
        <v/>
      </c>
      <c r="AB40" s="26">
        <f>SUM(O40:Z40)</f>
        <v/>
      </c>
      <c r="AC40" s="26" t="n">
        <v>0</v>
      </c>
      <c r="AD40" s="26" t="n">
        <v>0</v>
      </c>
      <c r="AE40" s="26" t="n">
        <v>0</v>
      </c>
      <c r="AF40" s="26" t="n">
        <v>0</v>
      </c>
      <c r="AG40" s="26" t="n">
        <v>0</v>
      </c>
      <c r="AH40" s="26" t="n">
        <v>0</v>
      </c>
      <c r="AI40" s="10">
        <f>SUM(AC40:AH40)</f>
        <v/>
      </c>
      <c r="AJ40" s="26">
        <f>SUM(AC40:AH40)+AI40</f>
        <v/>
      </c>
      <c r="AK40" s="11">
        <f>IF(N40&lt;&gt;0,(AB40-N40)/ABS(N40),0)</f>
        <v/>
      </c>
      <c r="AL40" s="11">
        <f>IF(AB40&lt;&gt;0,(AJ40-AB40)/ABS(AB40),0)</f>
        <v/>
      </c>
    </row>
    <row r="41" ht="13" customHeight="1">
      <c r="A41" s="25" t="inlineStr">
        <is>
          <t xml:space="preserve">    Marketing</t>
        </is>
      </c>
      <c r="B41" s="26" t="n">
        <v>0</v>
      </c>
      <c r="C41" s="26" t="n">
        <v>0</v>
      </c>
      <c r="D41" s="26" t="n">
        <v>270.44</v>
      </c>
      <c r="E41" s="26" t="n">
        <v>0</v>
      </c>
      <c r="F41" s="26" t="n">
        <v>0</v>
      </c>
      <c r="G41" s="26" t="n">
        <v>265</v>
      </c>
      <c r="H41" s="26" t="n">
        <v>0</v>
      </c>
      <c r="I41" s="26" t="n">
        <v>45</v>
      </c>
      <c r="J41" s="26" t="n">
        <v>41.25</v>
      </c>
      <c r="K41" s="26" t="n">
        <v>0</v>
      </c>
      <c r="L41" s="26" t="n">
        <v>0</v>
      </c>
      <c r="M41" s="26" t="n">
        <v>0</v>
      </c>
      <c r="N41" s="26">
        <f>SUM(B41:M41)</f>
        <v/>
      </c>
      <c r="O41" s="26" t="n">
        <v>174</v>
      </c>
      <c r="P41" s="26" t="n">
        <v>0</v>
      </c>
      <c r="Q41" s="26" t="n">
        <v>0</v>
      </c>
      <c r="R41" s="26" t="n">
        <v>171</v>
      </c>
      <c r="S41" s="26" t="n">
        <v>0</v>
      </c>
      <c r="T41" s="26" t="n">
        <v>220</v>
      </c>
      <c r="U41" s="26" t="n">
        <v>13.5</v>
      </c>
      <c r="AA41" s="26">
        <f>SUM(O41:U41)</f>
        <v/>
      </c>
      <c r="AB41" s="26">
        <f>SUM(O41:Z41)</f>
        <v/>
      </c>
      <c r="AC41" s="26" t="n">
        <v>100</v>
      </c>
      <c r="AD41" s="26" t="n">
        <v>100</v>
      </c>
      <c r="AE41" s="26" t="n">
        <v>100</v>
      </c>
      <c r="AF41" s="26" t="n">
        <v>100</v>
      </c>
      <c r="AG41" s="26" t="n">
        <v>100</v>
      </c>
      <c r="AH41" s="26" t="n">
        <v>100</v>
      </c>
      <c r="AI41" s="10">
        <f>SUM(AC41:AH41)</f>
        <v/>
      </c>
      <c r="AJ41" s="26">
        <f>SUM(AC41:AH41)+AI41</f>
        <v/>
      </c>
      <c r="AK41" s="11">
        <f>IF(N41&lt;&gt;0,(AB41-N41)/ABS(N41),0)</f>
        <v/>
      </c>
      <c r="AL41" s="11">
        <f>IF(AB41&lt;&gt;0,(AJ41-AB41)/ABS(AB41),0)</f>
        <v/>
      </c>
    </row>
    <row r="42" ht="13" customHeight="1">
      <c r="A42" s="27" t="inlineStr">
        <is>
          <t>Total Premises &amp; Admin</t>
        </is>
      </c>
      <c r="B42" s="28">
        <f>B33+B34+B35+B36+B37+B38+B39+B40+B41</f>
        <v/>
      </c>
      <c r="C42" s="28">
        <f>C33+C34+C35+C36+C37+C38+C39+C40+C41</f>
        <v/>
      </c>
      <c r="D42" s="28">
        <f>D33+D34+D35+D36+D37+D38+D39+D40+D41</f>
        <v/>
      </c>
      <c r="E42" s="28">
        <f>E33+E34+E35+E36+E37+E38+E39+E40+E41</f>
        <v/>
      </c>
      <c r="F42" s="28">
        <f>F33+F34+F35+F36+F37+F38+F39+F40+F41</f>
        <v/>
      </c>
      <c r="G42" s="28">
        <f>G33+G34+G35+G36+G37+G38+G39+G40+G41</f>
        <v/>
      </c>
      <c r="H42" s="28">
        <f>H33+H34+H35+H36+H37+H38+H39+H40+H41</f>
        <v/>
      </c>
      <c r="I42" s="28">
        <f>I33+I34+I35+I36+I37+I38+I39+I40+I41</f>
        <v/>
      </c>
      <c r="J42" s="28">
        <f>J33+J34+J35+J36+J37+J38+J39+J40+J41</f>
        <v/>
      </c>
      <c r="K42" s="28">
        <f>K33+K34+K35+K36+K37+K38+K39+K40+K41</f>
        <v/>
      </c>
      <c r="L42" s="28">
        <f>L33+L34+L35+L36+L37+L38+L39+L40+L41</f>
        <v/>
      </c>
      <c r="M42" s="28">
        <f>M33+M34+M35+M36+M37+M38+M39+M40+M41</f>
        <v/>
      </c>
      <c r="N42" s="28">
        <f>N33+N34+N35+N36+N37+N38+N39+N40+N41</f>
        <v/>
      </c>
      <c r="O42" s="28">
        <f>O33+O34+O35+O36+O37+O38+O39+O40+O41</f>
        <v/>
      </c>
      <c r="P42" s="28">
        <f>P33+P34+P35+P36+P37+P38+P39+P40+P41</f>
        <v/>
      </c>
      <c r="Q42" s="28">
        <f>Q33+Q34+Q35+Q36+Q37+Q38+Q39+Q40+Q41</f>
        <v/>
      </c>
      <c r="R42" s="28">
        <f>R33+R34+R35+R36+R37+R38+R39+R40+R41</f>
        <v/>
      </c>
      <c r="S42" s="28">
        <f>S33+S34+S35+S36+S37+S38+S39+S40+S41</f>
        <v/>
      </c>
      <c r="T42" s="28">
        <f>T33+T34+T35+T36+T37+T38+T39+T40+T41</f>
        <v/>
      </c>
      <c r="U42" s="28">
        <f>U33+U34+U35+U36+U37+U38+U39+U40+U41</f>
        <v/>
      </c>
      <c r="V42" s="28">
        <f>V33+V34+V35+V36+V37+V38+V39+V40+V41</f>
        <v/>
      </c>
      <c r="W42" s="28">
        <f>W33+W34+W35+W36+W37+W38+W39+W40+W41</f>
        <v/>
      </c>
      <c r="X42" s="28">
        <f>X33+X34+X35+X36+X37+X38+X39+X40+X41</f>
        <v/>
      </c>
      <c r="Y42" s="28">
        <f>Y33+Y34+Y35+Y36+Y37+Y38+Y39+Y40+Y41</f>
        <v/>
      </c>
      <c r="Z42" s="28">
        <f>Z33+Z34+Z35+Z36+Z37+Z38+Z39+Z40+Z41</f>
        <v/>
      </c>
      <c r="AA42" s="28">
        <f>AA33+AA34+AA35+AA36+AA37+AA38+AA39+AA40+AA41</f>
        <v/>
      </c>
      <c r="AB42" s="28">
        <f>AB33+AB34+AB35+AB36+AB37+AB38+AB39+AB40+AB41</f>
        <v/>
      </c>
      <c r="AC42" s="28">
        <f>AC33+AC34+AC35+AC36+AC37+AC38+AC39+AC40+AC41</f>
        <v/>
      </c>
      <c r="AD42" s="28">
        <f>AD33+AD34+AD35+AD36+AD37+AD38+AD39+AD40+AD41</f>
        <v/>
      </c>
      <c r="AE42" s="28">
        <f>AE33+AE34+AE35+AE36+AE37+AE38+AE39+AE40+AE41</f>
        <v/>
      </c>
      <c r="AF42" s="28">
        <f>AF33+AF34+AF35+AF36+AF37+AF38+AF39+AF40+AF41</f>
        <v/>
      </c>
      <c r="AG42" s="28">
        <f>AG33+AG34+AG35+AG36+AG37+AG38+AG39+AG40+AG41</f>
        <v/>
      </c>
      <c r="AH42" s="28">
        <f>AH33+AH34+AH35+AH36+AH37+AH38+AH39+AH40+AH41</f>
        <v/>
      </c>
      <c r="AI42" s="28">
        <f>AI33+AI34+AI35+AI36+AI37+AI38+AI39+AI40+AI41</f>
        <v/>
      </c>
      <c r="AJ42" s="28">
        <f>AJ33+AJ34+AJ35+AJ36+AJ37+AJ38+AJ39+AJ40+AJ41</f>
        <v/>
      </c>
      <c r="AK42" s="11">
        <f>IF(N42&lt;&gt;0,(AB42-N42)/ABS(N42),0)</f>
        <v/>
      </c>
      <c r="AL42" s="11">
        <f>IF(AB42&lt;&gt;0,(AJ42-AB42)/ABS(AB42),0)</f>
        <v/>
      </c>
    </row>
    <row r="43" ht="5" customHeight="1"/>
    <row r="44" ht="13" customHeight="1">
      <c r="A44" s="29" t="inlineStr">
        <is>
          <t>Total Direct Costs</t>
        </is>
      </c>
      <c r="AK44" s="11">
        <f>IF(N44&lt;&gt;0,(AB44-N44)/ABS(N44),0)</f>
        <v/>
      </c>
      <c r="AL44" s="11">
        <f>IF(AB44&lt;&gt;0,(AJ44-AB44)/ABS(AB44),0)</f>
        <v/>
      </c>
    </row>
    <row r="45" ht="5" customHeight="1"/>
    <row r="46" ht="15" customHeight="1">
      <c r="A46" s="30" t="inlineStr">
        <is>
          <t>CONTRIBUTION</t>
        </is>
      </c>
      <c r="B46" s="31">
        <f>B7-B44</f>
        <v/>
      </c>
      <c r="C46" s="31">
        <f>C7-C44</f>
        <v/>
      </c>
      <c r="D46" s="31">
        <f>D7-D44</f>
        <v/>
      </c>
      <c r="E46" s="31">
        <f>E7-E44</f>
        <v/>
      </c>
      <c r="F46" s="31">
        <f>F7-F44</f>
        <v/>
      </c>
      <c r="G46" s="31">
        <f>G7-G44</f>
        <v/>
      </c>
      <c r="H46" s="31">
        <f>H7-H44</f>
        <v/>
      </c>
      <c r="I46" s="31">
        <f>I7-I44</f>
        <v/>
      </c>
      <c r="J46" s="31">
        <f>J7-J44</f>
        <v/>
      </c>
      <c r="K46" s="31">
        <f>K7-K44</f>
        <v/>
      </c>
      <c r="L46" s="31">
        <f>L7-L44</f>
        <v/>
      </c>
      <c r="M46" s="31">
        <f>M7-M44</f>
        <v/>
      </c>
      <c r="N46" s="31">
        <f>N7-N44</f>
        <v/>
      </c>
      <c r="O46" s="31">
        <f>O7-O44</f>
        <v/>
      </c>
      <c r="P46" s="31">
        <f>P7-P44</f>
        <v/>
      </c>
      <c r="Q46" s="31">
        <f>Q7-Q44</f>
        <v/>
      </c>
      <c r="R46" s="31">
        <f>R7-R44</f>
        <v/>
      </c>
      <c r="S46" s="31">
        <f>S7-S44</f>
        <v/>
      </c>
      <c r="T46" s="31">
        <f>T7-T44</f>
        <v/>
      </c>
      <c r="U46" s="31">
        <f>U7-U44</f>
        <v/>
      </c>
      <c r="V46" s="31">
        <f>V7-V44</f>
        <v/>
      </c>
      <c r="W46" s="31">
        <f>W7-W44</f>
        <v/>
      </c>
      <c r="X46" s="31">
        <f>X7-X44</f>
        <v/>
      </c>
      <c r="Y46" s="31">
        <f>Y7-Y44</f>
        <v/>
      </c>
      <c r="Z46" s="31">
        <f>Z7-Z44</f>
        <v/>
      </c>
      <c r="AA46" s="31">
        <f>AA7-AA44</f>
        <v/>
      </c>
      <c r="AB46" s="31">
        <f>AB7-AB44</f>
        <v/>
      </c>
      <c r="AC46" s="31">
        <f>AC7-AC44</f>
        <v/>
      </c>
      <c r="AD46" s="31">
        <f>AD7-AD44</f>
        <v/>
      </c>
      <c r="AE46" s="31">
        <f>AE7-AE44</f>
        <v/>
      </c>
      <c r="AF46" s="31">
        <f>AF7-AF44</f>
        <v/>
      </c>
      <c r="AG46" s="31">
        <f>AG7-AG44</f>
        <v/>
      </c>
      <c r="AH46" s="31">
        <f>AH7-AH44</f>
        <v/>
      </c>
      <c r="AI46" s="31">
        <f>AI7-AI44</f>
        <v/>
      </c>
      <c r="AJ46" s="31">
        <f>AJ7-AJ44</f>
        <v/>
      </c>
      <c r="AK46" s="11">
        <f>IF(N46&lt;&gt;0,(AB46-N46)/ABS(N46),0)</f>
        <v/>
      </c>
      <c r="AL46" s="11">
        <f>IF(AB46&lt;&gt;0,(AJ46-AB46)/ABS(AB46),0)</f>
        <v/>
      </c>
    </row>
  </sheetData>
  <mergeCells count="8">
    <mergeCell ref="A10:AL10"/>
    <mergeCell ref="B1:N1"/>
    <mergeCell ref="A23:AL23"/>
    <mergeCell ref="A32:AL32"/>
    <mergeCell ref="AC1:AJ1"/>
    <mergeCell ref="A9:AL9"/>
    <mergeCell ref="A3:AL3"/>
    <mergeCell ref="O1:AB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9.5" customWidth="1" min="27" max="27"/>
    <col width="9.5" customWidth="1" min="28" max="28"/>
    <col width="9.5" customWidth="1" min="29" max="29"/>
    <col width="9.5" customWidth="1" min="30" max="30"/>
    <col width="9.5" customWidth="1" min="31" max="31"/>
    <col width="9.5" customWidth="1" min="32" max="32"/>
    <col width="9.5" customWidth="1" min="33" max="33"/>
    <col width="9.5" customWidth="1" min="34" max="34"/>
    <col width="9.5" customWidth="1" min="35" max="35"/>
    <col width="11" customWidth="1" min="36" max="36"/>
    <col width="10" customWidth="1" min="37" max="37"/>
    <col width="10" customWidth="1" min="38" max="38"/>
  </cols>
  <sheetData>
    <row r="1" ht="18" customHeight="1">
      <c r="A1" s="1" t="inlineStr">
        <is>
          <t>Northumberland</t>
        </is>
      </c>
      <c r="B1" s="2" t="inlineStr">
        <is>
          <t>Actuals 2025</t>
        </is>
      </c>
      <c r="O1" s="2" t="inlineStr">
        <is>
          <t>2026 Actual / Forecast</t>
        </is>
      </c>
      <c r="AC1" s="2" t="inlineStr">
        <is>
          <t>2027 Forecast</t>
        </is>
      </c>
      <c r="AK1" s="3" t="inlineStr">
        <is>
          <t>YoY</t>
        </is>
      </c>
      <c r="AL1" s="3" t="inlineStr">
        <is>
          <t>YoY</t>
        </is>
      </c>
    </row>
    <row r="2" ht="22" customHeight="1">
      <c r="B2" s="4" t="inlineStr">
        <is>
          <t>Jan</t>
        </is>
      </c>
      <c r="C2" s="4" t="inlineStr">
        <is>
          <t>Feb</t>
        </is>
      </c>
      <c r="D2" s="4" t="inlineStr">
        <is>
          <t>Mar</t>
        </is>
      </c>
      <c r="E2" s="4" t="inlineStr">
        <is>
          <t>Apr</t>
        </is>
      </c>
      <c r="F2" s="4" t="inlineStr">
        <is>
          <t>May</t>
        </is>
      </c>
      <c r="G2" s="4" t="inlineStr">
        <is>
          <t>Jun</t>
        </is>
      </c>
      <c r="H2" s="4" t="inlineStr">
        <is>
          <t>Jul</t>
        </is>
      </c>
      <c r="I2" s="4" t="inlineStr">
        <is>
          <t>Aug</t>
        </is>
      </c>
      <c r="J2" s="4" t="inlineStr">
        <is>
          <t>Sep</t>
        </is>
      </c>
      <c r="K2" s="4" t="inlineStr">
        <is>
          <t>Oct</t>
        </is>
      </c>
      <c r="L2" s="4" t="inlineStr">
        <is>
          <t>Nov</t>
        </is>
      </c>
      <c r="M2" s="4" t="inlineStr">
        <is>
          <t>Dec</t>
        </is>
      </c>
      <c r="N2" s="5" t="inlineStr">
        <is>
          <t>FY2025
Total</t>
        </is>
      </c>
      <c r="O2" s="4" t="inlineStr">
        <is>
          <t>Jan</t>
        </is>
      </c>
      <c r="P2" s="4" t="inlineStr">
        <is>
          <t>Feb</t>
        </is>
      </c>
      <c r="Q2" s="4" t="inlineStr">
        <is>
          <t>Mar</t>
        </is>
      </c>
      <c r="R2" s="4" t="inlineStr">
        <is>
          <t>Apr</t>
        </is>
      </c>
      <c r="S2" s="4" t="inlineStr">
        <is>
          <t>May</t>
        </is>
      </c>
      <c r="T2" s="4" t="inlineStr">
        <is>
          <t>Jun</t>
        </is>
      </c>
      <c r="U2" s="4" t="inlineStr">
        <is>
          <t>Jul</t>
        </is>
      </c>
      <c r="V2" s="4" t="inlineStr">
        <is>
          <t>Aug</t>
        </is>
      </c>
      <c r="W2" s="4" t="inlineStr">
        <is>
          <t>Sep</t>
        </is>
      </c>
      <c r="X2" s="4" t="inlineStr">
        <is>
          <t>Oct</t>
        </is>
      </c>
      <c r="Y2" s="4" t="inlineStr">
        <is>
          <t>Nov</t>
        </is>
      </c>
      <c r="Z2" s="4" t="inlineStr">
        <is>
          <t>Dec</t>
        </is>
      </c>
      <c r="AA2" s="4" t="inlineStr">
        <is>
          <t>YTD</t>
        </is>
      </c>
      <c r="AB2" s="5" t="inlineStr">
        <is>
          <t>FY2026
Outlook</t>
        </is>
      </c>
      <c r="AC2" s="4" t="inlineStr">
        <is>
          <t>Jan</t>
        </is>
      </c>
      <c r="AD2" s="4" t="inlineStr">
        <is>
          <t>Feb</t>
        </is>
      </c>
      <c r="AE2" s="4" t="inlineStr">
        <is>
          <t>Mar</t>
        </is>
      </c>
      <c r="AF2" s="4" t="inlineStr">
        <is>
          <t>Apr</t>
        </is>
      </c>
      <c r="AG2" s="4" t="inlineStr">
        <is>
          <t>May</t>
        </is>
      </c>
      <c r="AH2" s="4" t="inlineStr">
        <is>
          <t>Jun</t>
        </is>
      </c>
      <c r="AI2" s="6" t="inlineStr">
        <is>
          <t>Jul-Dec
Proj.</t>
        </is>
      </c>
      <c r="AJ2" s="4" t="inlineStr">
        <is>
          <t>FY2027</t>
        </is>
      </c>
      <c r="AK2" s="6" t="inlineStr">
        <is>
          <t>25→26
%</t>
        </is>
      </c>
      <c r="AL2" s="6" t="inlineStr">
        <is>
          <t>26→27
%</t>
        </is>
      </c>
    </row>
    <row r="3" ht="15" customHeight="1">
      <c r="A3" s="7" t="inlineStr">
        <is>
          <t>INCOME</t>
        </is>
      </c>
    </row>
    <row r="4" ht="13" customHeight="1">
      <c r="A4" s="8" t="inlineStr">
        <is>
          <t xml:space="preserve">    Fee Income Regular</t>
        </is>
      </c>
      <c r="B4" s="9" t="n">
        <v>9069.939999999999</v>
      </c>
      <c r="C4" s="9" t="n">
        <v>18430.57</v>
      </c>
      <c r="D4" s="9" t="n">
        <v>17723.33</v>
      </c>
      <c r="E4" s="9" t="n">
        <v>21760.34</v>
      </c>
      <c r="F4" s="9" t="n">
        <v>17055.59</v>
      </c>
      <c r="G4" s="9" t="n">
        <v>16125.92</v>
      </c>
      <c r="H4" s="9" t="n">
        <v>23858.59</v>
      </c>
      <c r="I4" s="9" t="n">
        <v>22339.21</v>
      </c>
      <c r="J4" s="9" t="n">
        <v>12468.85</v>
      </c>
      <c r="K4" s="9" t="n">
        <v>12041.45</v>
      </c>
      <c r="L4" s="9" t="n">
        <v>10680.4</v>
      </c>
      <c r="M4" s="9" t="n">
        <v>13644.19</v>
      </c>
      <c r="N4" s="9">
        <f>SUM(B4:M4)</f>
        <v/>
      </c>
      <c r="O4" s="9" t="n">
        <v>8949.66</v>
      </c>
      <c r="P4" s="9" t="n">
        <v>9181.280000000001</v>
      </c>
      <c r="Q4" s="9" t="n">
        <v>11609.4</v>
      </c>
      <c r="R4" s="9" t="n">
        <v>13485.1</v>
      </c>
      <c r="S4" s="9" t="n">
        <v>10334.4</v>
      </c>
      <c r="T4" s="9" t="n">
        <v>12530</v>
      </c>
      <c r="U4" s="9" t="n">
        <v>18402.22</v>
      </c>
      <c r="AA4" s="9">
        <f>SUM(O4:U4)</f>
        <v/>
      </c>
      <c r="AB4" s="9">
        <f>SUM(O4:Z4)</f>
        <v/>
      </c>
      <c r="AC4" s="9" t="n">
        <v>34239.39</v>
      </c>
      <c r="AD4" s="9" t="n">
        <v>30110.59</v>
      </c>
      <c r="AE4" s="9" t="n">
        <v>36653.68</v>
      </c>
      <c r="AF4" s="9" t="n">
        <v>33019.73</v>
      </c>
      <c r="AG4" s="9" t="n">
        <v>38452</v>
      </c>
      <c r="AH4" s="9" t="n">
        <v>38834.29</v>
      </c>
      <c r="AI4" s="10">
        <f>SUM(AC4:AH4)</f>
        <v/>
      </c>
      <c r="AJ4" s="9">
        <f>SUM(AC4:AH4)+AI4</f>
        <v/>
      </c>
      <c r="AK4" s="11">
        <f>IF(N4&lt;&gt;0,(AB4-N4)/ABS(N4),0)</f>
        <v/>
      </c>
      <c r="AL4" s="11">
        <f>IF(AB4&lt;&gt;0,(AJ4-AB4)/ABS(AB4),0)</f>
        <v/>
      </c>
    </row>
    <row r="5" ht="13" customHeight="1">
      <c r="A5" s="8" t="inlineStr">
        <is>
          <t xml:space="preserve">    EEEF Embedded</t>
        </is>
      </c>
      <c r="B5" s="9" t="n">
        <v>8345.08</v>
      </c>
      <c r="C5" s="9" t="n">
        <v>5508.8</v>
      </c>
      <c r="D5" s="9" t="n">
        <v>18679.4</v>
      </c>
      <c r="E5" s="9" t="n">
        <v>7516.08</v>
      </c>
      <c r="F5" s="9" t="n">
        <v>7516.08</v>
      </c>
      <c r="G5" s="9" t="n">
        <v>15698.85</v>
      </c>
      <c r="H5" s="9" t="n">
        <v>15698.85</v>
      </c>
      <c r="I5" s="9" t="n">
        <v>0</v>
      </c>
      <c r="J5" s="9" t="n">
        <v>10762.08</v>
      </c>
      <c r="K5" s="9" t="n">
        <v>10762.08</v>
      </c>
      <c r="L5" s="9" t="n">
        <v>12208.56</v>
      </c>
      <c r="M5" s="9" t="n">
        <v>12628.56</v>
      </c>
      <c r="N5" s="9">
        <f>SUM(B5:M5)</f>
        <v/>
      </c>
      <c r="O5" s="9" t="n">
        <v>10719.8</v>
      </c>
      <c r="P5" s="9" t="n">
        <v>13055.3</v>
      </c>
      <c r="Q5" s="9" t="n">
        <v>13055.3</v>
      </c>
      <c r="R5" s="9" t="n">
        <v>8798.4</v>
      </c>
      <c r="S5" s="9" t="n">
        <v>8798.4</v>
      </c>
      <c r="T5" s="9" t="n">
        <v>12706.2</v>
      </c>
      <c r="U5" s="9" t="n">
        <v>10101</v>
      </c>
      <c r="AA5" s="9">
        <f>SUM(O5:U5)</f>
        <v/>
      </c>
      <c r="AB5" s="9">
        <f>SUM(O5:Z5)</f>
        <v/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10">
        <f>SUM(AC5:AH5)</f>
        <v/>
      </c>
      <c r="AJ5" s="9">
        <f>SUM(AC5:AH5)+AI5</f>
        <v/>
      </c>
      <c r="AK5" s="11">
        <f>IF(N5&lt;&gt;0,(AB5-N5)/ABS(N5),0)</f>
        <v/>
      </c>
      <c r="AL5" s="11">
        <f>IF(AB5&lt;&gt;0,(AJ5-AB5)/ABS(AB5),0)</f>
        <v/>
      </c>
    </row>
    <row r="6" ht="13" customHeight="1">
      <c r="A6" s="8" t="inlineStr">
        <is>
          <t xml:space="preserve">    Other Income</t>
        </is>
      </c>
      <c r="B6" s="9" t="n">
        <v>0</v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1570.68</v>
      </c>
      <c r="J6" s="9" t="n">
        <v>0</v>
      </c>
      <c r="K6" s="9" t="n">
        <v>0</v>
      </c>
      <c r="L6" s="9" t="n">
        <v>0</v>
      </c>
      <c r="M6" s="9" t="n">
        <v>0</v>
      </c>
      <c r="N6" s="9">
        <f>SUM(B6:M6)</f>
        <v/>
      </c>
      <c r="O6" s="9" t="n">
        <v>0</v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0</v>
      </c>
      <c r="W6" s="9" t="n">
        <v>0</v>
      </c>
      <c r="X6" s="9" t="n">
        <v>0</v>
      </c>
      <c r="Y6" s="9" t="n">
        <v>0</v>
      </c>
      <c r="Z6" s="9" t="n">
        <v>0</v>
      </c>
      <c r="AA6" s="9">
        <f>SUM(O6:U6)</f>
        <v/>
      </c>
      <c r="AB6" s="9">
        <f>SUM(O6:Z6)</f>
        <v/>
      </c>
      <c r="AC6" s="9" t="n">
        <v>0</v>
      </c>
      <c r="AD6" s="9" t="n">
        <v>0</v>
      </c>
      <c r="AE6" s="9" t="n">
        <v>0</v>
      </c>
      <c r="AF6" s="9" t="n">
        <v>0</v>
      </c>
      <c r="AG6" s="9" t="n">
        <v>0</v>
      </c>
      <c r="AH6" s="9" t="n">
        <v>0</v>
      </c>
      <c r="AI6" s="10">
        <f>SUM(AC6:AH6)</f>
        <v/>
      </c>
      <c r="AJ6" s="9">
        <f>SUM(AC6:AH6)+AI6</f>
        <v/>
      </c>
      <c r="AK6" s="11">
        <f>IF(N6&lt;&gt;0,(AB6-N6)/ABS(N6),0)</f>
        <v/>
      </c>
      <c r="AL6" s="11">
        <f>IF(AB6&lt;&gt;0,(AJ6-AB6)/ABS(AB6),0)</f>
        <v/>
      </c>
    </row>
    <row r="7" ht="13" customHeight="1">
      <c r="A7" s="12" t="inlineStr">
        <is>
          <t>Total Income</t>
        </is>
      </c>
      <c r="B7" s="13">
        <f>B4+B5+B6</f>
        <v/>
      </c>
      <c r="C7" s="13">
        <f>C4+C5+C6</f>
        <v/>
      </c>
      <c r="D7" s="13">
        <f>D4+D5+D6</f>
        <v/>
      </c>
      <c r="E7" s="13">
        <f>E4+E5+E6</f>
        <v/>
      </c>
      <c r="F7" s="13">
        <f>F4+F5+F6</f>
        <v/>
      </c>
      <c r="G7" s="13">
        <f>G4+G5+G6</f>
        <v/>
      </c>
      <c r="H7" s="13">
        <f>H4+H5+H6</f>
        <v/>
      </c>
      <c r="I7" s="13">
        <f>I4+I5+I6</f>
        <v/>
      </c>
      <c r="J7" s="13">
        <f>J4+J5+J6</f>
        <v/>
      </c>
      <c r="K7" s="13">
        <f>K4+K5+K6</f>
        <v/>
      </c>
      <c r="L7" s="13">
        <f>L4+L5+L6</f>
        <v/>
      </c>
      <c r="M7" s="13">
        <f>M4+M5+M6</f>
        <v/>
      </c>
      <c r="N7" s="13">
        <f>N4+N5+N6</f>
        <v/>
      </c>
      <c r="O7" s="13">
        <f>O4+O5+O6</f>
        <v/>
      </c>
      <c r="P7" s="13">
        <f>P4+P5+P6</f>
        <v/>
      </c>
      <c r="Q7" s="13">
        <f>Q4+Q5+Q6</f>
        <v/>
      </c>
      <c r="R7" s="13">
        <f>R4+R5+R6</f>
        <v/>
      </c>
      <c r="S7" s="13">
        <f>S4+S5+S6</f>
        <v/>
      </c>
      <c r="T7" s="13">
        <f>T4+T5+T6</f>
        <v/>
      </c>
      <c r="U7" s="13">
        <f>U4+U5+U6</f>
        <v/>
      </c>
      <c r="V7" s="13">
        <f>V4+V5+V6</f>
        <v/>
      </c>
      <c r="W7" s="13">
        <f>W4+W5+W6</f>
        <v/>
      </c>
      <c r="X7" s="13">
        <f>X4+X5+X6</f>
        <v/>
      </c>
      <c r="Y7" s="13">
        <f>Y4+Y5+Y6</f>
        <v/>
      </c>
      <c r="Z7" s="13">
        <f>Z4+Z5+Z6</f>
        <v/>
      </c>
      <c r="AA7" s="13">
        <f>AA4+AA5+AA6</f>
        <v/>
      </c>
      <c r="AB7" s="13">
        <f>AB4+AB5+AB6</f>
        <v/>
      </c>
      <c r="AC7" s="13">
        <f>AC4+AC5+AC6</f>
        <v/>
      </c>
      <c r="AD7" s="13">
        <f>AD4+AD5+AD6</f>
        <v/>
      </c>
      <c r="AE7" s="13">
        <f>AE4+AE5+AE6</f>
        <v/>
      </c>
      <c r="AF7" s="13">
        <f>AF4+AF5+AF6</f>
        <v/>
      </c>
      <c r="AG7" s="13">
        <f>AG4+AG5+AG6</f>
        <v/>
      </c>
      <c r="AH7" s="13">
        <f>AH4+AH5+AH6</f>
        <v/>
      </c>
      <c r="AI7" s="13">
        <f>AI4+AI5+AI6</f>
        <v/>
      </c>
      <c r="AJ7" s="13">
        <f>AJ4+AJ5+AJ6</f>
        <v/>
      </c>
      <c r="AK7" s="11">
        <f>IF(N7&lt;&gt;0,(AB7-N7)/ABS(N7),0)</f>
        <v/>
      </c>
      <c r="AL7" s="11">
        <f>IF(AB7&lt;&gt;0,(AJ7-AB7)/ABS(AB7),0)</f>
        <v/>
      </c>
    </row>
    <row r="8" ht="5" customHeight="1"/>
    <row r="9" ht="15" customHeight="1">
      <c r="A9" s="7" t="inlineStr">
        <is>
          <t>DIRECT COSTS</t>
        </is>
      </c>
    </row>
    <row r="10" ht="13" customHeight="1">
      <c r="A10" s="14" t="inlineStr">
        <is>
          <t>Personnel</t>
        </is>
      </c>
    </row>
    <row r="11" ht="13" customHeight="1">
      <c r="A11" s="15" t="inlineStr">
        <is>
          <t xml:space="preserve">    Nursery Salaries</t>
        </is>
      </c>
      <c r="B11" s="16" t="n">
        <v>15019.61</v>
      </c>
      <c r="C11" s="16" t="n">
        <v>16737.5</v>
      </c>
      <c r="D11" s="16" t="n">
        <v>20296.41</v>
      </c>
      <c r="E11" s="16" t="n">
        <v>19844.91</v>
      </c>
      <c r="F11" s="16" t="n">
        <v>20514.57</v>
      </c>
      <c r="G11" s="16" t="n">
        <v>18806.18</v>
      </c>
      <c r="H11" s="16" t="n">
        <v>18874.99</v>
      </c>
      <c r="I11" s="16" t="n">
        <v>15404.24</v>
      </c>
      <c r="J11" s="16" t="n">
        <v>13827.73</v>
      </c>
      <c r="K11" s="16" t="n">
        <v>12859</v>
      </c>
      <c r="L11" s="16" t="n">
        <v>12573.97</v>
      </c>
      <c r="M11" s="16" t="n">
        <v>13485.76</v>
      </c>
      <c r="N11" s="16">
        <f>SUM(B11:M11)</f>
        <v/>
      </c>
      <c r="O11" s="16" t="n">
        <v>14774.04</v>
      </c>
      <c r="P11" s="16" t="n">
        <v>13940.85</v>
      </c>
      <c r="Q11" s="16" t="n">
        <v>17482.69</v>
      </c>
      <c r="R11" s="16" t="n">
        <v>18467.07</v>
      </c>
      <c r="S11" s="16" t="n">
        <v>19414.37</v>
      </c>
      <c r="T11" s="16" t="n">
        <v>20554.86</v>
      </c>
      <c r="U11" s="16" t="n">
        <v>20507.25</v>
      </c>
      <c r="AA11" s="16">
        <f>SUM(O11:U11)</f>
        <v/>
      </c>
      <c r="AB11" s="16">
        <f>SUM(O11:Z11)</f>
        <v/>
      </c>
      <c r="AC11" s="16" t="n">
        <v>20507.25</v>
      </c>
      <c r="AD11" s="16" t="n">
        <v>20507.25</v>
      </c>
      <c r="AE11" s="16" t="n">
        <v>20507.25</v>
      </c>
      <c r="AF11" s="16" t="n">
        <v>20507.25</v>
      </c>
      <c r="AG11" s="16" t="n">
        <v>20507.25</v>
      </c>
      <c r="AH11" s="16" t="n">
        <v>20507.25</v>
      </c>
      <c r="AI11" s="10">
        <f>SUM(AC11:AH11)</f>
        <v/>
      </c>
      <c r="AJ11" s="16">
        <f>SUM(AC11:AH11)+AI11</f>
        <v/>
      </c>
      <c r="AK11" s="11">
        <f>IF(N11&lt;&gt;0,(AB11-N11)/ABS(N11),0)</f>
        <v/>
      </c>
      <c r="AL11" s="11">
        <f>IF(AB11&lt;&gt;0,(AJ11-AB11)/ABS(AB11),0)</f>
        <v/>
      </c>
    </row>
    <row r="12" ht="13" customHeight="1">
      <c r="A12" s="15" t="inlineStr">
        <is>
          <t xml:space="preserve">    Nursery NI</t>
        </is>
      </c>
      <c r="B12" s="16" t="n">
        <v>1126.07</v>
      </c>
      <c r="C12" s="16" t="n">
        <v>1360.14</v>
      </c>
      <c r="D12" s="16" t="n">
        <v>1404.5</v>
      </c>
      <c r="E12" s="16" t="n">
        <v>1975.71</v>
      </c>
      <c r="F12" s="16" t="n">
        <v>2049.66</v>
      </c>
      <c r="G12" s="16" t="n">
        <v>1811.17</v>
      </c>
      <c r="H12" s="16" t="n">
        <v>1985.01</v>
      </c>
      <c r="I12" s="16" t="n">
        <v>1552.22</v>
      </c>
      <c r="J12" s="16" t="n">
        <v>1459.53</v>
      </c>
      <c r="K12" s="16" t="n">
        <v>1396.13</v>
      </c>
      <c r="L12" s="16" t="n">
        <v>1362.29</v>
      </c>
      <c r="M12" s="16" t="n">
        <v>1508.86</v>
      </c>
      <c r="N12" s="16">
        <f>SUM(B12:M12)</f>
        <v/>
      </c>
      <c r="O12" s="16" t="n">
        <v>1686</v>
      </c>
      <c r="P12" s="16" t="n">
        <v>1501.44</v>
      </c>
      <c r="Q12" s="16" t="n">
        <v>1885.63</v>
      </c>
      <c r="R12" s="16" t="n">
        <v>1894.36</v>
      </c>
      <c r="S12" s="16" t="n">
        <v>1931.05</v>
      </c>
      <c r="T12" s="16" t="n">
        <v>1993.72</v>
      </c>
      <c r="U12" s="16" t="n">
        <v>2095.05</v>
      </c>
      <c r="AA12" s="16">
        <f>SUM(O12:U12)</f>
        <v/>
      </c>
      <c r="AB12" s="16">
        <f>SUM(O12:Z12)</f>
        <v/>
      </c>
      <c r="AC12" s="16" t="n">
        <v>2095.05</v>
      </c>
      <c r="AD12" s="16" t="n">
        <v>2095.05</v>
      </c>
      <c r="AE12" s="16" t="n">
        <v>2095.05</v>
      </c>
      <c r="AF12" s="16" t="n">
        <v>2095.05</v>
      </c>
      <c r="AG12" s="16" t="n">
        <v>2095.05</v>
      </c>
      <c r="AH12" s="16" t="n">
        <v>2095.05</v>
      </c>
      <c r="AI12" s="10">
        <f>SUM(AC12:AH12)</f>
        <v/>
      </c>
      <c r="AJ12" s="16">
        <f>SUM(AC12:AH12)+AI12</f>
        <v/>
      </c>
      <c r="AK12" s="11">
        <f>IF(N12&lt;&gt;0,(AB12-N12)/ABS(N12),0)</f>
        <v/>
      </c>
      <c r="AL12" s="11">
        <f>IF(AB12&lt;&gt;0,(AJ12-AB12)/ABS(AB12),0)</f>
        <v/>
      </c>
    </row>
    <row r="13" ht="13" customHeight="1">
      <c r="A13" s="15" t="inlineStr">
        <is>
          <t xml:space="preserve">    Nursery Pension</t>
        </is>
      </c>
      <c r="B13" s="16" t="n">
        <v>301.87</v>
      </c>
      <c r="C13" s="16" t="n">
        <v>352.12</v>
      </c>
      <c r="D13" s="16" t="n">
        <v>362.42</v>
      </c>
      <c r="E13" s="16" t="n">
        <v>373.48</v>
      </c>
      <c r="F13" s="16" t="n">
        <v>388.28</v>
      </c>
      <c r="G13" s="16" t="n">
        <v>340.58</v>
      </c>
      <c r="H13" s="16" t="n">
        <v>375.35</v>
      </c>
      <c r="I13" s="16" t="n">
        <v>275.05</v>
      </c>
      <c r="J13" s="16" t="n">
        <v>234.69</v>
      </c>
      <c r="K13" s="16" t="n">
        <v>230.34</v>
      </c>
      <c r="L13" s="16" t="n">
        <v>251.05</v>
      </c>
      <c r="M13" s="16" t="n">
        <v>230.68</v>
      </c>
      <c r="N13" s="16">
        <f>SUM(B13:M13)</f>
        <v/>
      </c>
      <c r="O13" s="16" t="n">
        <v>318.63</v>
      </c>
      <c r="P13" s="16" t="n">
        <v>261.27</v>
      </c>
      <c r="Q13" s="16" t="n">
        <v>299.64</v>
      </c>
      <c r="R13" s="16" t="n">
        <v>303.21</v>
      </c>
      <c r="S13" s="16" t="n">
        <v>364.56</v>
      </c>
      <c r="T13" s="16" t="n">
        <v>361.3</v>
      </c>
      <c r="U13" s="16" t="n">
        <v>345.35</v>
      </c>
      <c r="AA13" s="16">
        <f>SUM(O13:U13)</f>
        <v/>
      </c>
      <c r="AB13" s="16">
        <f>SUM(O13:Z13)</f>
        <v/>
      </c>
      <c r="AC13" s="16" t="n">
        <v>345.35</v>
      </c>
      <c r="AD13" s="16" t="n">
        <v>345.35</v>
      </c>
      <c r="AE13" s="16" t="n">
        <v>345.35</v>
      </c>
      <c r="AF13" s="16" t="n">
        <v>345.35</v>
      </c>
      <c r="AG13" s="16" t="n">
        <v>345.35</v>
      </c>
      <c r="AH13" s="16" t="n">
        <v>345.35</v>
      </c>
      <c r="AI13" s="10">
        <f>SUM(AC13:AH13)</f>
        <v/>
      </c>
      <c r="AJ13" s="16">
        <f>SUM(AC13:AH13)+AI13</f>
        <v/>
      </c>
      <c r="AK13" s="11">
        <f>IF(N13&lt;&gt;0,(AB13-N13)/ABS(N13),0)</f>
        <v/>
      </c>
      <c r="AL13" s="11">
        <f>IF(AB13&lt;&gt;0,(AJ13-AB13)/ABS(AB13),0)</f>
        <v/>
      </c>
    </row>
    <row r="14" ht="13" customHeight="1">
      <c r="A14" s="15" t="inlineStr">
        <is>
          <t xml:space="preserve">    Uniform</t>
        </is>
      </c>
      <c r="B14" s="16" t="n">
        <v>0</v>
      </c>
      <c r="C14" s="16" t="n">
        <v>244.02</v>
      </c>
      <c r="D14" s="16" t="n">
        <v>69.48</v>
      </c>
      <c r="E14" s="16" t="n">
        <v>0</v>
      </c>
      <c r="F14" s="16" t="n">
        <v>0</v>
      </c>
      <c r="G14" s="16" t="n">
        <v>0</v>
      </c>
      <c r="H14" s="16" t="n">
        <v>0</v>
      </c>
      <c r="I14" s="16" t="n">
        <v>0</v>
      </c>
      <c r="J14" s="16" t="n">
        <v>128.12</v>
      </c>
      <c r="K14" s="16" t="n">
        <v>0</v>
      </c>
      <c r="L14" s="16" t="n">
        <v>0</v>
      </c>
      <c r="M14" s="16" t="n">
        <v>0</v>
      </c>
      <c r="N14" s="16">
        <f>SUM(B14:M14)</f>
        <v/>
      </c>
      <c r="O14" s="16" t="n">
        <v>49.74</v>
      </c>
      <c r="P14" s="16" t="n">
        <v>0</v>
      </c>
      <c r="Q14" s="16" t="n">
        <v>8.99</v>
      </c>
      <c r="R14" s="16" t="n">
        <v>118.56</v>
      </c>
      <c r="S14" s="16" t="n">
        <v>0</v>
      </c>
      <c r="T14" s="16" t="n">
        <v>0</v>
      </c>
      <c r="U14" s="16" t="n">
        <v>0</v>
      </c>
      <c r="AA14" s="16">
        <f>SUM(O14:U14)</f>
        <v/>
      </c>
      <c r="AB14" s="16">
        <f>SUM(O14:Z14)</f>
        <v/>
      </c>
      <c r="AC14" s="16" t="n">
        <v>34</v>
      </c>
      <c r="AD14" s="16" t="n">
        <v>34</v>
      </c>
      <c r="AE14" s="16" t="n">
        <v>34</v>
      </c>
      <c r="AF14" s="16" t="n">
        <v>34</v>
      </c>
      <c r="AG14" s="16" t="n">
        <v>34</v>
      </c>
      <c r="AH14" s="16" t="n">
        <v>34</v>
      </c>
      <c r="AI14" s="10">
        <f>SUM(AC14:AH14)</f>
        <v/>
      </c>
      <c r="AJ14" s="16">
        <f>SUM(AC14:AH14)+AI14</f>
        <v/>
      </c>
      <c r="AK14" s="11">
        <f>IF(N14&lt;&gt;0,(AB14-N14)/ABS(N14),0)</f>
        <v/>
      </c>
      <c r="AL14" s="11">
        <f>IF(AB14&lt;&gt;0,(AJ14-AB14)/ABS(AB14),0)</f>
        <v/>
      </c>
    </row>
    <row r="15" ht="13" customHeight="1">
      <c r="A15" s="15" t="inlineStr">
        <is>
          <t xml:space="preserve">    Training</t>
        </is>
      </c>
      <c r="B15" s="16" t="n">
        <v>81</v>
      </c>
      <c r="C15" s="16" t="n">
        <v>0</v>
      </c>
      <c r="D15" s="16" t="n">
        <v>0</v>
      </c>
      <c r="E15" s="16" t="n">
        <v>0</v>
      </c>
      <c r="F15" s="16" t="n">
        <v>40</v>
      </c>
      <c r="G15" s="16" t="n">
        <v>0</v>
      </c>
      <c r="H15" s="16" t="n">
        <v>0</v>
      </c>
      <c r="I15" s="16" t="n">
        <v>120.3</v>
      </c>
      <c r="J15" s="16" t="n">
        <v>0</v>
      </c>
      <c r="K15" s="16" t="n">
        <v>0</v>
      </c>
      <c r="L15" s="16" t="n">
        <v>0</v>
      </c>
      <c r="M15" s="16" t="n">
        <v>0</v>
      </c>
      <c r="N15" s="16">
        <f>SUM(B15:M15)</f>
        <v/>
      </c>
      <c r="O15" s="16" t="n">
        <v>29.97</v>
      </c>
      <c r="P15" s="16" t="n">
        <v>0</v>
      </c>
      <c r="Q15" s="16" t="n">
        <v>59</v>
      </c>
      <c r="R15" s="16" t="n">
        <v>780</v>
      </c>
      <c r="S15" s="16" t="n">
        <v>546</v>
      </c>
      <c r="T15" s="16" t="n">
        <v>0</v>
      </c>
      <c r="U15" s="16" t="n">
        <v>125.82</v>
      </c>
      <c r="AA15" s="16">
        <f>SUM(O15:U15)</f>
        <v/>
      </c>
      <c r="AB15" s="16">
        <f>SUM(O15:Z15)</f>
        <v/>
      </c>
      <c r="AC15" s="16" t="n">
        <v>100</v>
      </c>
      <c r="AD15" s="16" t="n">
        <v>100</v>
      </c>
      <c r="AE15" s="16" t="n">
        <v>100</v>
      </c>
      <c r="AF15" s="16" t="n">
        <v>100</v>
      </c>
      <c r="AG15" s="16" t="n">
        <v>100</v>
      </c>
      <c r="AH15" s="16" t="n">
        <v>100</v>
      </c>
      <c r="AI15" s="10">
        <f>SUM(AC15:AH15)</f>
        <v/>
      </c>
      <c r="AJ15" s="16">
        <f>SUM(AC15:AH15)+AI15</f>
        <v/>
      </c>
      <c r="AK15" s="11">
        <f>IF(N15&lt;&gt;0,(AB15-N15)/ABS(N15),0)</f>
        <v/>
      </c>
      <c r="AL15" s="11">
        <f>IF(AB15&lt;&gt;0,(AJ15-AB15)/ABS(AB15),0)</f>
        <v/>
      </c>
    </row>
    <row r="16" ht="13" customHeight="1">
      <c r="A16" s="15" t="inlineStr">
        <is>
          <t xml:space="preserve">    Staff Welfare</t>
        </is>
      </c>
      <c r="B16" s="16" t="n">
        <v>277.83</v>
      </c>
      <c r="C16" s="16" t="n">
        <v>334.72</v>
      </c>
      <c r="D16" s="16" t="n">
        <v>322.62</v>
      </c>
      <c r="E16" s="16" t="n">
        <v>420.75</v>
      </c>
      <c r="F16" s="16" t="n">
        <v>276.6</v>
      </c>
      <c r="G16" s="16" t="n">
        <v>178.34</v>
      </c>
      <c r="H16" s="16" t="n">
        <v>238.53</v>
      </c>
      <c r="I16" s="16" t="n">
        <v>222.62</v>
      </c>
      <c r="J16" s="16" t="n">
        <v>549.52</v>
      </c>
      <c r="K16" s="16" t="n">
        <v>451.66</v>
      </c>
      <c r="L16" s="16" t="n">
        <v>61.96</v>
      </c>
      <c r="M16" s="16" t="n">
        <v>221.31</v>
      </c>
      <c r="N16" s="16">
        <f>SUM(B16:M16)</f>
        <v/>
      </c>
      <c r="O16" s="16" t="n">
        <v>155.65</v>
      </c>
      <c r="P16" s="16" t="n">
        <v>87.29000000000001</v>
      </c>
      <c r="Q16" s="16" t="n">
        <v>19.06</v>
      </c>
      <c r="R16" s="16" t="n">
        <v>176.18</v>
      </c>
      <c r="S16" s="16" t="n">
        <v>116.69</v>
      </c>
      <c r="T16" s="16" t="n">
        <v>172.18</v>
      </c>
      <c r="U16" s="16" t="n">
        <v>283.13</v>
      </c>
      <c r="AA16" s="16">
        <f>SUM(O16:U16)</f>
        <v/>
      </c>
      <c r="AB16" s="16">
        <f>SUM(O16:Z16)</f>
        <v/>
      </c>
      <c r="AC16" s="16" t="n">
        <v>70</v>
      </c>
      <c r="AD16" s="16" t="n">
        <v>70</v>
      </c>
      <c r="AE16" s="16" t="n">
        <v>70</v>
      </c>
      <c r="AF16" s="16" t="n">
        <v>70</v>
      </c>
      <c r="AG16" s="16" t="n">
        <v>70</v>
      </c>
      <c r="AH16" s="16" t="n">
        <v>70</v>
      </c>
      <c r="AI16" s="10">
        <f>SUM(AC16:AH16)</f>
        <v/>
      </c>
      <c r="AJ16" s="16">
        <f>SUM(AC16:AH16)+AI16</f>
        <v/>
      </c>
      <c r="AK16" s="11">
        <f>IF(N16&lt;&gt;0,(AB16-N16)/ABS(N16),0)</f>
        <v/>
      </c>
      <c r="AL16" s="11">
        <f>IF(AB16&lt;&gt;0,(AJ16-AB16)/ABS(AB16),0)</f>
        <v/>
      </c>
    </row>
    <row r="17" ht="13" customHeight="1">
      <c r="A17" s="15" t="inlineStr">
        <is>
          <t xml:space="preserve">    Recruitment</t>
        </is>
      </c>
      <c r="B17" s="16" t="n">
        <v>0</v>
      </c>
      <c r="C17" s="16" t="n">
        <v>0</v>
      </c>
      <c r="D17" s="16" t="n">
        <v>0</v>
      </c>
      <c r="E17" s="16" t="n">
        <v>0</v>
      </c>
      <c r="F17" s="16" t="n">
        <v>0</v>
      </c>
      <c r="G17" s="16" t="n">
        <v>0</v>
      </c>
      <c r="H17" s="16" t="n">
        <v>0</v>
      </c>
      <c r="I17" s="16" t="n">
        <v>0</v>
      </c>
      <c r="J17" s="16" t="n">
        <v>0</v>
      </c>
      <c r="K17" s="16" t="n">
        <v>0</v>
      </c>
      <c r="L17" s="16" t="n">
        <v>0</v>
      </c>
      <c r="M17" s="16" t="n">
        <v>0</v>
      </c>
      <c r="N17" s="16">
        <f>SUM(B17:M17)</f>
        <v/>
      </c>
      <c r="O17" s="16" t="n">
        <v>0</v>
      </c>
      <c r="P17" s="16" t="n">
        <v>0</v>
      </c>
      <c r="Q17" s="16" t="n">
        <v>0</v>
      </c>
      <c r="R17" s="16" t="n">
        <v>0</v>
      </c>
      <c r="S17" s="16" t="n">
        <v>0</v>
      </c>
      <c r="T17" s="16" t="n">
        <v>0</v>
      </c>
      <c r="U17" s="16" t="n">
        <v>0</v>
      </c>
      <c r="V17" s="16" t="n">
        <v>0</v>
      </c>
      <c r="W17" s="16" t="n">
        <v>0</v>
      </c>
      <c r="X17" s="16" t="n">
        <v>0</v>
      </c>
      <c r="Y17" s="16" t="n">
        <v>0</v>
      </c>
      <c r="Z17" s="16" t="n">
        <v>0</v>
      </c>
      <c r="AA17" s="16">
        <f>SUM(O17:U17)</f>
        <v/>
      </c>
      <c r="AB17" s="16">
        <f>SUM(O17:Z17)</f>
        <v/>
      </c>
      <c r="AC17" s="16" t="n">
        <v>0</v>
      </c>
      <c r="AD17" s="16" t="n">
        <v>0</v>
      </c>
      <c r="AE17" s="16" t="n">
        <v>0</v>
      </c>
      <c r="AF17" s="16" t="n">
        <v>0</v>
      </c>
      <c r="AG17" s="16" t="n">
        <v>0</v>
      </c>
      <c r="AH17" s="16" t="n">
        <v>0</v>
      </c>
      <c r="AI17" s="10">
        <f>SUM(AC17:AH17)</f>
        <v/>
      </c>
      <c r="AJ17" s="16">
        <f>SUM(AC17:AH17)+AI17</f>
        <v/>
      </c>
      <c r="AK17" s="11">
        <f>IF(N17&lt;&gt;0,(AB17-N17)/ABS(N17),0)</f>
        <v/>
      </c>
      <c r="AL17" s="11">
        <f>IF(AB17&lt;&gt;0,(AJ17-AB17)/ABS(AB17),0)</f>
        <v/>
      </c>
    </row>
    <row r="18" ht="13" customHeight="1">
      <c r="A18" s="15" t="inlineStr">
        <is>
          <t xml:space="preserve">    Rewards &amp; Recognition</t>
        </is>
      </c>
      <c r="B18" s="16" t="n">
        <v>0</v>
      </c>
      <c r="C18" s="16" t="n">
        <v>0</v>
      </c>
      <c r="D18" s="16" t="n">
        <v>0</v>
      </c>
      <c r="E18" s="16" t="n">
        <v>0</v>
      </c>
      <c r="F18" s="16" t="n">
        <v>0</v>
      </c>
      <c r="G18" s="16" t="n">
        <v>0</v>
      </c>
      <c r="H18" s="16" t="n">
        <v>94.31999999999999</v>
      </c>
      <c r="I18" s="16" t="n">
        <v>111.25</v>
      </c>
      <c r="J18" s="16" t="n">
        <v>84.98999999999999</v>
      </c>
      <c r="K18" s="16" t="n">
        <v>31.36</v>
      </c>
      <c r="L18" s="16" t="n">
        <v>91.53</v>
      </c>
      <c r="M18" s="16" t="n">
        <v>71</v>
      </c>
      <c r="N18" s="16">
        <f>SUM(B18:M18)</f>
        <v/>
      </c>
      <c r="O18" s="16" t="n">
        <v>20</v>
      </c>
      <c r="P18" s="16" t="n">
        <v>0</v>
      </c>
      <c r="Q18" s="16" t="n">
        <v>0</v>
      </c>
      <c r="R18" s="16" t="n">
        <v>0</v>
      </c>
      <c r="S18" s="16" t="n">
        <v>0</v>
      </c>
      <c r="T18" s="16" t="n">
        <v>0</v>
      </c>
      <c r="U18" s="16" t="n">
        <v>0</v>
      </c>
      <c r="AA18" s="16">
        <f>SUM(O18:U18)</f>
        <v/>
      </c>
      <c r="AB18" s="16">
        <f>SUM(O18:Z18)</f>
        <v/>
      </c>
      <c r="AC18" s="16" t="n">
        <v>29</v>
      </c>
      <c r="AD18" s="16" t="n">
        <v>29</v>
      </c>
      <c r="AE18" s="16" t="n">
        <v>29</v>
      </c>
      <c r="AF18" s="16" t="n">
        <v>29</v>
      </c>
      <c r="AG18" s="16" t="n">
        <v>29</v>
      </c>
      <c r="AH18" s="16" t="n">
        <v>29</v>
      </c>
      <c r="AI18" s="10">
        <f>SUM(AC18:AH18)</f>
        <v/>
      </c>
      <c r="AJ18" s="16">
        <f>SUM(AC18:AH18)+AI18</f>
        <v/>
      </c>
      <c r="AK18" s="11">
        <f>IF(N18&lt;&gt;0,(AB18-N18)/ABS(N18),0)</f>
        <v/>
      </c>
      <c r="AL18" s="11">
        <f>IF(AB18&lt;&gt;0,(AJ18-AB18)/ABS(AB18),0)</f>
        <v/>
      </c>
    </row>
    <row r="19" ht="13" customHeight="1">
      <c r="A19" s="15" t="inlineStr">
        <is>
          <t xml:space="preserve">    Temps</t>
        </is>
      </c>
      <c r="B19" s="16" t="n">
        <v>0</v>
      </c>
      <c r="C19" s="16" t="n">
        <v>0</v>
      </c>
      <c r="D19" s="16" t="n">
        <v>0</v>
      </c>
      <c r="E19" s="16" t="n">
        <v>0</v>
      </c>
      <c r="F19" s="16" t="n">
        <v>0</v>
      </c>
      <c r="G19" s="16" t="n">
        <v>0</v>
      </c>
      <c r="H19" s="16" t="n">
        <v>0</v>
      </c>
      <c r="I19" s="16" t="n">
        <v>0</v>
      </c>
      <c r="J19" s="16" t="n">
        <v>0</v>
      </c>
      <c r="K19" s="16" t="n">
        <v>662.49</v>
      </c>
      <c r="L19" s="16" t="n">
        <v>0</v>
      </c>
      <c r="M19" s="16" t="n">
        <v>0</v>
      </c>
      <c r="N19" s="16">
        <f>SUM(B19:M19)</f>
        <v/>
      </c>
      <c r="O19" s="16" t="n">
        <v>0</v>
      </c>
      <c r="P19" s="16" t="n">
        <v>0</v>
      </c>
      <c r="Q19" s="16" t="n">
        <v>0</v>
      </c>
      <c r="R19" s="16" t="n">
        <v>0</v>
      </c>
      <c r="S19" s="16" t="n">
        <v>0</v>
      </c>
      <c r="T19" s="16" t="n">
        <v>0</v>
      </c>
      <c r="U19" s="16" t="n">
        <v>0</v>
      </c>
      <c r="V19" s="16" t="n">
        <v>0</v>
      </c>
      <c r="W19" s="16" t="n">
        <v>0</v>
      </c>
      <c r="X19" s="16" t="n">
        <v>0</v>
      </c>
      <c r="Y19" s="16" t="n">
        <v>0</v>
      </c>
      <c r="Z19" s="16" t="n">
        <v>0</v>
      </c>
      <c r="AA19" s="16">
        <f>SUM(O19:U19)</f>
        <v/>
      </c>
      <c r="AB19" s="16">
        <f>SUM(O19:Z19)</f>
        <v/>
      </c>
      <c r="AC19" s="16" t="n">
        <v>0</v>
      </c>
      <c r="AD19" s="16" t="n">
        <v>0</v>
      </c>
      <c r="AE19" s="16" t="n">
        <v>0</v>
      </c>
      <c r="AF19" s="16" t="n">
        <v>0</v>
      </c>
      <c r="AG19" s="16" t="n">
        <v>0</v>
      </c>
      <c r="AH19" s="16" t="n">
        <v>0</v>
      </c>
      <c r="AI19" s="10">
        <f>SUM(AC19:AH19)</f>
        <v/>
      </c>
      <c r="AJ19" s="16">
        <f>SUM(AC19:AH19)+AI19</f>
        <v/>
      </c>
      <c r="AK19" s="11">
        <f>IF(N19&lt;&gt;0,(AB19-N19)/ABS(N19),0)</f>
        <v/>
      </c>
      <c r="AL19" s="11">
        <f>IF(AB19&lt;&gt;0,(AJ19-AB19)/ABS(AB19),0)</f>
        <v/>
      </c>
    </row>
    <row r="20" ht="13" customHeight="1">
      <c r="A20" s="17" t="inlineStr">
        <is>
          <t>Total Personnel</t>
        </is>
      </c>
      <c r="B20" s="18">
        <f>B11+B12+B13+B14+B15+B16+B17+B18+B19</f>
        <v/>
      </c>
      <c r="C20" s="18">
        <f>C11+C12+C13+C14+C15+C16+C17+C18+C19</f>
        <v/>
      </c>
      <c r="D20" s="18">
        <f>D11+D12+D13+D14+D15+D16+D17+D18+D19</f>
        <v/>
      </c>
      <c r="E20" s="18">
        <f>E11+E12+E13+E14+E15+E16+E17+E18+E19</f>
        <v/>
      </c>
      <c r="F20" s="18">
        <f>F11+F12+F13+F14+F15+F16+F17+F18+F19</f>
        <v/>
      </c>
      <c r="G20" s="18">
        <f>G11+G12+G13+G14+G15+G16+G17+G18+G19</f>
        <v/>
      </c>
      <c r="H20" s="18">
        <f>H11+H12+H13+H14+H15+H16+H17+H18+H19</f>
        <v/>
      </c>
      <c r="I20" s="18">
        <f>I11+I12+I13+I14+I15+I16+I17+I18+I19</f>
        <v/>
      </c>
      <c r="J20" s="18">
        <f>J11+J12+J13+J14+J15+J16+J17+J18+J19</f>
        <v/>
      </c>
      <c r="K20" s="18">
        <f>K11+K12+K13+K14+K15+K16+K17+K18+K19</f>
        <v/>
      </c>
      <c r="L20" s="18">
        <f>L11+L12+L13+L14+L15+L16+L17+L18+L19</f>
        <v/>
      </c>
      <c r="M20" s="18">
        <f>M11+M12+M13+M14+M15+M16+M17+M18+M19</f>
        <v/>
      </c>
      <c r="N20" s="18">
        <f>N11+N12+N13+N14+N15+N16+N17+N18+N19</f>
        <v/>
      </c>
      <c r="O20" s="18">
        <f>O11+O12+O13+O14+O15+O16+O17+O18+O19</f>
        <v/>
      </c>
      <c r="P20" s="18">
        <f>P11+P12+P13+P14+P15+P16+P17+P18+P19</f>
        <v/>
      </c>
      <c r="Q20" s="18">
        <f>Q11+Q12+Q13+Q14+Q15+Q16+Q17+Q18+Q19</f>
        <v/>
      </c>
      <c r="R20" s="18">
        <f>R11+R12+R13+R14+R15+R16+R17+R18+R19</f>
        <v/>
      </c>
      <c r="S20" s="18">
        <f>S11+S12+S13+S14+S15+S16+S17+S18+S19</f>
        <v/>
      </c>
      <c r="T20" s="18">
        <f>T11+T12+T13+T14+T15+T16+T17+T18+T19</f>
        <v/>
      </c>
      <c r="U20" s="18">
        <f>U11+U12+U13+U14+U15+U16+U17+U18+U19</f>
        <v/>
      </c>
      <c r="V20" s="18">
        <f>V11+V12+V13+V14+V15+V16+V17+V18+V19</f>
        <v/>
      </c>
      <c r="W20" s="18">
        <f>W11+W12+W13+W14+W15+W16+W17+W18+W19</f>
        <v/>
      </c>
      <c r="X20" s="18">
        <f>X11+X12+X13+X14+X15+X16+X17+X18+X19</f>
        <v/>
      </c>
      <c r="Y20" s="18">
        <f>Y11+Y12+Y13+Y14+Y15+Y16+Y17+Y18+Y19</f>
        <v/>
      </c>
      <c r="Z20" s="18">
        <f>Z11+Z12+Z13+Z14+Z15+Z16+Z17+Z18+Z19</f>
        <v/>
      </c>
      <c r="AA20" s="18">
        <f>AA11+AA12+AA13+AA14+AA15+AA16+AA17+AA18+AA19</f>
        <v/>
      </c>
      <c r="AB20" s="18">
        <f>AB11+AB12+AB13+AB14+AB15+AB16+AB17+AB18+AB19</f>
        <v/>
      </c>
      <c r="AC20" s="18">
        <f>AC11+AC12+AC13+AC14+AC15+AC16+AC17+AC18+AC19</f>
        <v/>
      </c>
      <c r="AD20" s="18">
        <f>AD11+AD12+AD13+AD14+AD15+AD16+AD17+AD18+AD19</f>
        <v/>
      </c>
      <c r="AE20" s="18">
        <f>AE11+AE12+AE13+AE14+AE15+AE16+AE17+AE18+AE19</f>
        <v/>
      </c>
      <c r="AF20" s="18">
        <f>AF11+AF12+AF13+AF14+AF15+AF16+AF17+AF18+AF19</f>
        <v/>
      </c>
      <c r="AG20" s="18">
        <f>AG11+AG12+AG13+AG14+AG15+AG16+AG17+AG18+AG19</f>
        <v/>
      </c>
      <c r="AH20" s="18">
        <f>AH11+AH12+AH13+AH14+AH15+AH16+AH17+AH18+AH19</f>
        <v/>
      </c>
      <c r="AI20" s="18">
        <f>AI11+AI12+AI13+AI14+AI15+AI16+AI17+AI18+AI19</f>
        <v/>
      </c>
      <c r="AJ20" s="18">
        <f>AJ11+AJ12+AJ13+AJ14+AJ15+AJ16+AJ17+AJ18+AJ19</f>
        <v/>
      </c>
      <c r="AK20" s="11">
        <f>IF(N20&lt;&gt;0,(AB20-N20)/ABS(N20),0)</f>
        <v/>
      </c>
      <c r="AL20" s="11">
        <f>IF(AB20&lt;&gt;0,(AJ20-AB20)/ABS(AB20),0)</f>
        <v/>
      </c>
    </row>
    <row r="21" ht="13" customHeight="1">
      <c r="A21" s="19" t="inlineStr">
        <is>
          <t xml:space="preserve">    Sal:Rev</t>
        </is>
      </c>
      <c r="B21" s="20">
        <f>IF(B7&gt;0,B20/B7,0)</f>
        <v/>
      </c>
      <c r="C21" s="20">
        <f>IF(C7&gt;0,C20/C7,0)</f>
        <v/>
      </c>
      <c r="D21" s="20">
        <f>IF(D7&gt;0,D20/D7,0)</f>
        <v/>
      </c>
      <c r="E21" s="20">
        <f>IF(E7&gt;0,E20/E7,0)</f>
        <v/>
      </c>
      <c r="F21" s="20">
        <f>IF(F7&gt;0,F20/F7,0)</f>
        <v/>
      </c>
      <c r="G21" s="20">
        <f>IF(G7&gt;0,G20/G7,0)</f>
        <v/>
      </c>
      <c r="H21" s="20">
        <f>IF(H7&gt;0,H20/H7,0)</f>
        <v/>
      </c>
      <c r="I21" s="20">
        <f>IF(I7&gt;0,I20/I7,0)</f>
        <v/>
      </c>
      <c r="J21" s="20">
        <f>IF(J7&gt;0,J20/J7,0)</f>
        <v/>
      </c>
      <c r="K21" s="20">
        <f>IF(K7&gt;0,K20/K7,0)</f>
        <v/>
      </c>
      <c r="L21" s="20">
        <f>IF(L7&gt;0,L20/L7,0)</f>
        <v/>
      </c>
      <c r="M21" s="20">
        <f>IF(M7&gt;0,M20/M7,0)</f>
        <v/>
      </c>
      <c r="N21" s="20">
        <f>IF(N7&gt;0,N20/N7,0)</f>
        <v/>
      </c>
      <c r="O21" s="20">
        <f>IF(O7&gt;0,O20/O7,0)</f>
        <v/>
      </c>
      <c r="P21" s="20">
        <f>IF(P7&gt;0,P20/P7,0)</f>
        <v/>
      </c>
      <c r="Q21" s="20">
        <f>IF(Q7&gt;0,Q20/Q7,0)</f>
        <v/>
      </c>
      <c r="R21" s="20">
        <f>IF(R7&gt;0,R20/R7,0)</f>
        <v/>
      </c>
      <c r="S21" s="20">
        <f>IF(S7&gt;0,S20/S7,0)</f>
        <v/>
      </c>
      <c r="T21" s="20">
        <f>IF(T7&gt;0,T20/T7,0)</f>
        <v/>
      </c>
      <c r="U21" s="20">
        <f>IF(U7&gt;0,U20/U7,0)</f>
        <v/>
      </c>
      <c r="V21" s="20">
        <f>IF(V7&gt;0,V20/V7,0)</f>
        <v/>
      </c>
      <c r="W21" s="20">
        <f>IF(W7&gt;0,W20/W7,0)</f>
        <v/>
      </c>
      <c r="X21" s="20">
        <f>IF(X7&gt;0,X20/X7,0)</f>
        <v/>
      </c>
      <c r="Y21" s="20">
        <f>IF(Y7&gt;0,Y20/Y7,0)</f>
        <v/>
      </c>
      <c r="Z21" s="20">
        <f>IF(Z7&gt;0,Z20/Z7,0)</f>
        <v/>
      </c>
      <c r="AA21" s="20">
        <f>IF(AA7&gt;0,AA20/AA7,0)</f>
        <v/>
      </c>
      <c r="AB21" s="20">
        <f>IF(AB7&gt;0,AB20/AB7,0)</f>
        <v/>
      </c>
      <c r="AC21" s="20">
        <f>IF(AC7&gt;0,AC20/AC7,0)</f>
        <v/>
      </c>
      <c r="AD21" s="20">
        <f>IF(AD7&gt;0,AD20/AD7,0)</f>
        <v/>
      </c>
      <c r="AE21" s="20">
        <f>IF(AE7&gt;0,AE20/AE7,0)</f>
        <v/>
      </c>
      <c r="AF21" s="20">
        <f>IF(AF7&gt;0,AF20/AF7,0)</f>
        <v/>
      </c>
      <c r="AG21" s="20">
        <f>IF(AG7&gt;0,AG20/AG7,0)</f>
        <v/>
      </c>
      <c r="AH21" s="20">
        <f>IF(AH7&gt;0,AH20/AH7,0)</f>
        <v/>
      </c>
      <c r="AI21" s="20">
        <f>IF(AI7&gt;0,AI20/AI7,0)</f>
        <v/>
      </c>
      <c r="AJ21" s="20">
        <f>IF(AJ7&gt;0,AJ20/AJ7,0)</f>
        <v/>
      </c>
    </row>
    <row r="22" ht="5" customHeight="1"/>
    <row r="23" ht="13" customHeight="1">
      <c r="A23" s="14" t="inlineStr">
        <is>
          <t>Childcare</t>
        </is>
      </c>
    </row>
    <row r="24" ht="13" customHeight="1">
      <c r="A24" s="21" t="inlineStr">
        <is>
          <t xml:space="preserve">    Catering Costs</t>
        </is>
      </c>
      <c r="N24" s="22">
        <f>SUM(B24:M24)</f>
        <v/>
      </c>
      <c r="O24" s="22" t="n">
        <v>894.3200000000001</v>
      </c>
      <c r="P24" s="22" t="n">
        <v>587.8</v>
      </c>
      <c r="Q24" s="22" t="n">
        <v>693.1900000000001</v>
      </c>
      <c r="R24" s="22" t="n">
        <v>726.12</v>
      </c>
      <c r="S24" s="22" t="n">
        <v>627.51</v>
      </c>
      <c r="T24" s="22" t="n">
        <v>765.63</v>
      </c>
      <c r="U24" s="22" t="n">
        <v>977.42</v>
      </c>
      <c r="V24" s="22" t="n">
        <v>590.4871439999999</v>
      </c>
      <c r="W24" s="22" t="n">
        <v>986.8872</v>
      </c>
      <c r="X24" s="22" t="n">
        <v>1094.5272</v>
      </c>
      <c r="Y24" s="22" t="n">
        <v>1044.3888</v>
      </c>
      <c r="Z24" s="22" t="n">
        <v>851.6351999999999</v>
      </c>
      <c r="AA24" s="22">
        <f>SUM(O24:U24)</f>
        <v/>
      </c>
      <c r="AB24" s="22">
        <f>SUM(O24:Z24)</f>
        <v/>
      </c>
      <c r="AC24" s="22" t="n">
        <v>1068.268968</v>
      </c>
      <c r="AD24" s="22" t="n">
        <v>939.4504079999999</v>
      </c>
      <c r="AE24" s="22" t="n">
        <v>1143.594816</v>
      </c>
      <c r="AF24" s="22" t="n">
        <v>1030.215576</v>
      </c>
      <c r="AG24" s="22" t="n">
        <v>1199.7024</v>
      </c>
      <c r="AH24" s="22" t="n">
        <v>1211.629848</v>
      </c>
      <c r="AI24" s="10">
        <f>SUM(AC24:AH24)</f>
        <v/>
      </c>
      <c r="AJ24" s="22">
        <f>SUM(AC24:AH24)+AI24</f>
        <v/>
      </c>
      <c r="AK24" s="11">
        <f>IF(N24&lt;&gt;0,(AB24-N24)/ABS(N24),0)</f>
        <v/>
      </c>
      <c r="AL24" s="11">
        <f>IF(AB24&lt;&gt;0,(AJ24-AB24)/ABS(AB24),0)</f>
        <v/>
      </c>
    </row>
    <row r="25" ht="13" customHeight="1">
      <c r="A25" s="21" t="inlineStr">
        <is>
          <t xml:space="preserve">    Toys and Games</t>
        </is>
      </c>
      <c r="B25" s="22" t="n">
        <v>29.07</v>
      </c>
      <c r="C25" s="22" t="n">
        <v>176.61</v>
      </c>
      <c r="D25" s="22" t="n">
        <v>111.88</v>
      </c>
      <c r="E25" s="22" t="n">
        <v>203.06</v>
      </c>
      <c r="F25" s="22" t="n">
        <v>178.9</v>
      </c>
      <c r="G25" s="22" t="n">
        <v>67.28999999999999</v>
      </c>
      <c r="H25" s="22" t="n">
        <v>38</v>
      </c>
      <c r="I25" s="22" t="n">
        <v>105.13</v>
      </c>
      <c r="J25" s="22" t="n">
        <v>220.74</v>
      </c>
      <c r="K25" s="22" t="n">
        <v>4.23</v>
      </c>
      <c r="L25" s="22" t="n">
        <v>126.27</v>
      </c>
      <c r="M25" s="22" t="n">
        <v>48.49</v>
      </c>
      <c r="N25" s="22">
        <f>SUM(B25:M25)</f>
        <v/>
      </c>
      <c r="O25" s="22" t="n">
        <v>12.23</v>
      </c>
      <c r="P25" s="22" t="n">
        <v>0</v>
      </c>
      <c r="Q25" s="22" t="n">
        <v>65.03</v>
      </c>
      <c r="R25" s="22" t="n">
        <v>131.86</v>
      </c>
      <c r="S25" s="22" t="n">
        <v>70.84999999999999</v>
      </c>
      <c r="T25" s="22" t="n">
        <v>80.06</v>
      </c>
      <c r="U25" s="22" t="n">
        <v>12</v>
      </c>
      <c r="AA25" s="22">
        <f>SUM(O25:U25)</f>
        <v/>
      </c>
      <c r="AB25" s="22">
        <f>SUM(O25:Z25)</f>
        <v/>
      </c>
      <c r="AC25" s="22" t="n">
        <v>50</v>
      </c>
      <c r="AD25" s="22" t="n">
        <v>50</v>
      </c>
      <c r="AE25" s="22" t="n">
        <v>50</v>
      </c>
      <c r="AF25" s="22" t="n">
        <v>50</v>
      </c>
      <c r="AG25" s="22" t="n">
        <v>50</v>
      </c>
      <c r="AH25" s="22" t="n">
        <v>50</v>
      </c>
      <c r="AI25" s="10">
        <f>SUM(AC25:AH25)</f>
        <v/>
      </c>
      <c r="AJ25" s="22">
        <f>SUM(AC25:AH25)+AI25</f>
        <v/>
      </c>
      <c r="AK25" s="11">
        <f>IF(N25&lt;&gt;0,(AB25-N25)/ABS(N25),0)</f>
        <v/>
      </c>
      <c r="AL25" s="11">
        <f>IF(AB25&lt;&gt;0,(AJ25-AB25)/ABS(AB25),0)</f>
        <v/>
      </c>
    </row>
    <row r="26" ht="13" customHeight="1">
      <c r="A26" s="21" t="inlineStr">
        <is>
          <t xml:space="preserve">    Art Materials</t>
        </is>
      </c>
      <c r="N26" s="22">
        <f>SUM(B26:M26)</f>
        <v/>
      </c>
      <c r="O26" s="22" t="n">
        <v>30.16</v>
      </c>
      <c r="P26" s="22" t="n">
        <v>0</v>
      </c>
      <c r="Q26" s="22" t="n">
        <v>232.14</v>
      </c>
      <c r="R26" s="22" t="n">
        <v>15.48</v>
      </c>
      <c r="S26" s="22" t="n">
        <v>30.74</v>
      </c>
      <c r="T26" s="22" t="n">
        <v>63.52</v>
      </c>
      <c r="U26" s="22" t="n">
        <v>12.37</v>
      </c>
      <c r="V26" s="22" t="n">
        <v>39.36580959999999</v>
      </c>
      <c r="W26" s="22" t="n">
        <v>65.79248</v>
      </c>
      <c r="X26" s="22" t="n">
        <v>72.96848</v>
      </c>
      <c r="Y26" s="22" t="n">
        <v>69.62591999999999</v>
      </c>
      <c r="Z26" s="22" t="n">
        <v>56.77567999999999</v>
      </c>
      <c r="AA26" s="22">
        <f>SUM(O26:U26)</f>
        <v/>
      </c>
      <c r="AB26" s="22">
        <f>SUM(O26:Z26)</f>
        <v/>
      </c>
      <c r="AC26" s="22" t="n">
        <v>71.2179312</v>
      </c>
      <c r="AD26" s="22" t="n">
        <v>62.63002719999999</v>
      </c>
      <c r="AE26" s="22" t="n">
        <v>76.23965439999999</v>
      </c>
      <c r="AF26" s="22" t="n">
        <v>68.68103840000001</v>
      </c>
      <c r="AG26" s="22" t="n">
        <v>79.98016</v>
      </c>
      <c r="AH26" s="22" t="n">
        <v>80.77532319999999</v>
      </c>
      <c r="AI26" s="10">
        <f>SUM(AC26:AH26)</f>
        <v/>
      </c>
      <c r="AJ26" s="22">
        <f>SUM(AC26:AH26)+AI26</f>
        <v/>
      </c>
      <c r="AK26" s="11">
        <f>IF(N26&lt;&gt;0,(AB26-N26)/ABS(N26),0)</f>
        <v/>
      </c>
      <c r="AL26" s="11">
        <f>IF(AB26&lt;&gt;0,(AJ26-AB26)/ABS(AB26),0)</f>
        <v/>
      </c>
    </row>
    <row r="27" ht="13" customHeight="1">
      <c r="A27" s="21" t="inlineStr">
        <is>
          <t xml:space="preserve">    Nursery Stationery</t>
        </is>
      </c>
      <c r="B27" s="22" t="n">
        <v>0</v>
      </c>
      <c r="C27" s="22" t="n">
        <v>0</v>
      </c>
      <c r="D27" s="22" t="n">
        <v>0</v>
      </c>
      <c r="E27" s="22" t="n">
        <v>0</v>
      </c>
      <c r="F27" s="22" t="n">
        <v>0</v>
      </c>
      <c r="G27" s="22" t="n">
        <v>0</v>
      </c>
      <c r="H27" s="22" t="n">
        <v>0</v>
      </c>
      <c r="I27" s="22" t="n">
        <v>0</v>
      </c>
      <c r="J27" s="22" t="n">
        <v>0</v>
      </c>
      <c r="K27" s="22" t="n">
        <v>0</v>
      </c>
      <c r="L27" s="22" t="n">
        <v>0</v>
      </c>
      <c r="M27" s="22" t="n">
        <v>0</v>
      </c>
      <c r="N27" s="22">
        <f>SUM(B27:M27)</f>
        <v/>
      </c>
      <c r="O27" s="22" t="n">
        <v>0</v>
      </c>
      <c r="P27" s="22" t="n">
        <v>0</v>
      </c>
      <c r="Q27" s="22" t="n">
        <v>0</v>
      </c>
      <c r="R27" s="22" t="n">
        <v>0</v>
      </c>
      <c r="S27" s="22" t="n">
        <v>0</v>
      </c>
      <c r="T27" s="22" t="n">
        <v>0</v>
      </c>
      <c r="U27" s="22" t="n">
        <v>76.09</v>
      </c>
      <c r="AA27" s="22">
        <f>SUM(O27:U27)</f>
        <v/>
      </c>
      <c r="AB27" s="22">
        <f>SUM(O27:Z27)</f>
        <v/>
      </c>
      <c r="AC27" s="22" t="n">
        <v>100</v>
      </c>
      <c r="AD27" s="22" t="n">
        <v>100</v>
      </c>
      <c r="AE27" s="22" t="n">
        <v>100</v>
      </c>
      <c r="AF27" s="22" t="n">
        <v>100</v>
      </c>
      <c r="AG27" s="22" t="n">
        <v>100</v>
      </c>
      <c r="AH27" s="22" t="n">
        <v>100</v>
      </c>
      <c r="AI27" s="10">
        <f>SUM(AC27:AH27)</f>
        <v/>
      </c>
      <c r="AJ27" s="22">
        <f>SUM(AC27:AH27)+AI27</f>
        <v/>
      </c>
      <c r="AK27" s="11">
        <f>IF(N27&lt;&gt;0,(AB27-N27)/ABS(N27),0)</f>
        <v/>
      </c>
      <c r="AL27" s="11">
        <f>IF(AB27&lt;&gt;0,(AJ27-AB27)/ABS(AB27),0)</f>
        <v/>
      </c>
    </row>
    <row r="28" ht="13" customHeight="1">
      <c r="A28" s="21" t="inlineStr">
        <is>
          <t xml:space="preserve">    Nursery Equipment</t>
        </is>
      </c>
      <c r="B28" s="22" t="n">
        <v>18.98</v>
      </c>
      <c r="C28" s="22" t="n">
        <v>117.79</v>
      </c>
      <c r="D28" s="22" t="n">
        <v>179.68</v>
      </c>
      <c r="E28" s="22" t="n">
        <v>95.60000000000001</v>
      </c>
      <c r="F28" s="22" t="n">
        <v>321.81</v>
      </c>
      <c r="G28" s="22" t="n">
        <v>0</v>
      </c>
      <c r="H28" s="22" t="n">
        <v>95.58</v>
      </c>
      <c r="I28" s="22" t="n">
        <v>134.96</v>
      </c>
      <c r="J28" s="22" t="n">
        <v>0</v>
      </c>
      <c r="K28" s="22" t="n">
        <v>81.06999999999999</v>
      </c>
      <c r="L28" s="22" t="n">
        <v>40.2</v>
      </c>
      <c r="M28" s="22" t="n">
        <v>117.6</v>
      </c>
      <c r="N28" s="22">
        <f>SUM(B28:M28)</f>
        <v/>
      </c>
      <c r="O28" s="22" t="n">
        <v>0</v>
      </c>
      <c r="P28" s="22" t="n">
        <v>258.16</v>
      </c>
      <c r="Q28" s="22" t="n">
        <v>0</v>
      </c>
      <c r="R28" s="22" t="n">
        <v>44.43</v>
      </c>
      <c r="S28" s="22" t="n">
        <v>39.47</v>
      </c>
      <c r="T28" s="22" t="n">
        <v>167.46</v>
      </c>
      <c r="U28" s="22" t="n">
        <v>0</v>
      </c>
      <c r="AA28" s="22">
        <f>SUM(O28:U28)</f>
        <v/>
      </c>
      <c r="AB28" s="22">
        <f>SUM(O28:Z28)</f>
        <v/>
      </c>
      <c r="AC28" s="22" t="n">
        <v>50</v>
      </c>
      <c r="AD28" s="22" t="n">
        <v>50</v>
      </c>
      <c r="AE28" s="22" t="n">
        <v>50</v>
      </c>
      <c r="AF28" s="22" t="n">
        <v>50</v>
      </c>
      <c r="AG28" s="22" t="n">
        <v>50</v>
      </c>
      <c r="AH28" s="22" t="n">
        <v>50</v>
      </c>
      <c r="AI28" s="10">
        <f>SUM(AC28:AH28)</f>
        <v/>
      </c>
      <c r="AJ28" s="22">
        <f>SUM(AC28:AH28)+AI28</f>
        <v/>
      </c>
      <c r="AK28" s="11">
        <f>IF(N28&lt;&gt;0,(AB28-N28)/ABS(N28),0)</f>
        <v/>
      </c>
      <c r="AL28" s="11">
        <f>IF(AB28&lt;&gt;0,(AJ28-AB28)/ABS(AB28),0)</f>
        <v/>
      </c>
    </row>
    <row r="29" ht="13" customHeight="1">
      <c r="A29" s="21" t="inlineStr">
        <is>
          <t xml:space="preserve">    Nursery Consumables</t>
        </is>
      </c>
      <c r="N29" s="22">
        <f>SUM(B29:M29)</f>
        <v/>
      </c>
      <c r="O29" s="22" t="n">
        <v>109.85</v>
      </c>
      <c r="P29" s="22" t="n">
        <v>126.99</v>
      </c>
      <c r="Q29" s="22" t="n">
        <v>68.91</v>
      </c>
      <c r="R29" s="22" t="n">
        <v>188.57</v>
      </c>
      <c r="S29" s="22" t="n">
        <v>185.38</v>
      </c>
      <c r="T29" s="22" t="n">
        <v>81.98999999999999</v>
      </c>
      <c r="U29" s="22" t="n">
        <v>56.14</v>
      </c>
      <c r="V29" s="22" t="n">
        <v>78.73161920000003</v>
      </c>
      <c r="W29" s="22" t="n">
        <v>131.5849600000001</v>
      </c>
      <c r="X29" s="22" t="n">
        <v>145.9369600000001</v>
      </c>
      <c r="Y29" s="22" t="n">
        <v>139.25184</v>
      </c>
      <c r="Z29" s="22" t="n">
        <v>113.55136</v>
      </c>
      <c r="AA29" s="22">
        <f>SUM(O29:U29)</f>
        <v/>
      </c>
      <c r="AB29" s="22">
        <f>SUM(O29:Z29)</f>
        <v/>
      </c>
      <c r="AC29" s="22" t="n">
        <v>142.4358624</v>
      </c>
      <c r="AD29" s="22" t="n">
        <v>125.2600544</v>
      </c>
      <c r="AE29" s="22" t="n">
        <v>152.4793088</v>
      </c>
      <c r="AF29" s="22" t="n">
        <v>137.3620768000001</v>
      </c>
      <c r="AG29" s="22" t="n">
        <v>159.9603200000001</v>
      </c>
      <c r="AH29" s="22" t="n">
        <v>161.5506464000001</v>
      </c>
      <c r="AI29" s="10">
        <f>SUM(AC29:AH29)</f>
        <v/>
      </c>
      <c r="AJ29" s="22">
        <f>SUM(AC29:AH29)+AI29</f>
        <v/>
      </c>
      <c r="AK29" s="11">
        <f>IF(N29&lt;&gt;0,(AB29-N29)/ABS(N29),0)</f>
        <v/>
      </c>
      <c r="AL29" s="11">
        <f>IF(AB29&lt;&gt;0,(AJ29-AB29)/ABS(AB29),0)</f>
        <v/>
      </c>
    </row>
    <row r="30" ht="13" customHeight="1">
      <c r="A30" s="23" t="inlineStr">
        <is>
          <t>Total Childcare Costs</t>
        </is>
      </c>
      <c r="B30" s="24">
        <f>B24+B25+B26+B27+B28+B29</f>
        <v/>
      </c>
      <c r="C30" s="24">
        <f>C24+C25+C26+C27+C28+C29</f>
        <v/>
      </c>
      <c r="D30" s="24">
        <f>D24+D25+D26+D27+D28+D29</f>
        <v/>
      </c>
      <c r="E30" s="24">
        <f>E24+E25+E26+E27+E28+E29</f>
        <v/>
      </c>
      <c r="F30" s="24">
        <f>F24+F25+F26+F27+F28+F29</f>
        <v/>
      </c>
      <c r="G30" s="24">
        <f>G24+G25+G26+G27+G28+G29</f>
        <v/>
      </c>
      <c r="H30" s="24">
        <f>H24+H25+H26+H27+H28+H29</f>
        <v/>
      </c>
      <c r="I30" s="24">
        <f>I24+I25+I26+I27+I28+I29</f>
        <v/>
      </c>
      <c r="J30" s="24">
        <f>J24+J25+J26+J27+J28+J29</f>
        <v/>
      </c>
      <c r="K30" s="24">
        <f>K24+K25+K26+K27+K28+K29</f>
        <v/>
      </c>
      <c r="L30" s="24">
        <f>L24+L25+L26+L27+L28+L29</f>
        <v/>
      </c>
      <c r="M30" s="24">
        <f>M24+M25+M26+M27+M28+M29</f>
        <v/>
      </c>
      <c r="N30" s="24">
        <f>N24+N25+N26+N27+N28+N29</f>
        <v/>
      </c>
      <c r="O30" s="24">
        <f>O24+O25+O26+O27+O28+O29</f>
        <v/>
      </c>
      <c r="P30" s="24">
        <f>P24+P25+P26+P27+P28+P29</f>
        <v/>
      </c>
      <c r="Q30" s="24">
        <f>Q24+Q25+Q26+Q27+Q28+Q29</f>
        <v/>
      </c>
      <c r="R30" s="24">
        <f>R24+R25+R26+R27+R28+R29</f>
        <v/>
      </c>
      <c r="S30" s="24">
        <f>S24+S25+S26+S27+S28+S29</f>
        <v/>
      </c>
      <c r="T30" s="24">
        <f>T24+T25+T26+T27+T28+T29</f>
        <v/>
      </c>
      <c r="U30" s="24">
        <f>U24+U25+U26+U27+U28+U29</f>
        <v/>
      </c>
      <c r="V30" s="24">
        <f>V24+V25+V26+V27+V28+V29</f>
        <v/>
      </c>
      <c r="W30" s="24">
        <f>W24+W25+W26+W27+W28+W29</f>
        <v/>
      </c>
      <c r="X30" s="24">
        <f>X24+X25+X26+X27+X28+X29</f>
        <v/>
      </c>
      <c r="Y30" s="24">
        <f>Y24+Y25+Y26+Y27+Y28+Y29</f>
        <v/>
      </c>
      <c r="Z30" s="24">
        <f>Z24+Z25+Z26+Z27+Z28+Z29</f>
        <v/>
      </c>
      <c r="AA30" s="24">
        <f>AA24+AA25+AA26+AA27+AA28+AA29</f>
        <v/>
      </c>
      <c r="AB30" s="24">
        <f>AB24+AB25+AB26+AB27+AB28+AB29</f>
        <v/>
      </c>
      <c r="AC30" s="24">
        <f>AC24+AC25+AC26+AC27+AC28+AC29</f>
        <v/>
      </c>
      <c r="AD30" s="24">
        <f>AD24+AD25+AD26+AD27+AD28+AD29</f>
        <v/>
      </c>
      <c r="AE30" s="24">
        <f>AE24+AE25+AE26+AE27+AE28+AE29</f>
        <v/>
      </c>
      <c r="AF30" s="24">
        <f>AF24+AF25+AF26+AF27+AF28+AF29</f>
        <v/>
      </c>
      <c r="AG30" s="24">
        <f>AG24+AG25+AG26+AG27+AG28+AG29</f>
        <v/>
      </c>
      <c r="AH30" s="24">
        <f>AH24+AH25+AH26+AH27+AH28+AH29</f>
        <v/>
      </c>
      <c r="AI30" s="24">
        <f>AI24+AI25+AI26+AI27+AI28+AI29</f>
        <v/>
      </c>
      <c r="AJ30" s="24">
        <f>AJ24+AJ25+AJ26+AJ27+AJ28+AJ29</f>
        <v/>
      </c>
      <c r="AK30" s="11">
        <f>IF(N30&lt;&gt;0,(AB30-N30)/ABS(N30),0)</f>
        <v/>
      </c>
      <c r="AL30" s="11">
        <f>IF(AB30&lt;&gt;0,(AJ30-AB30)/ABS(AB30),0)</f>
        <v/>
      </c>
    </row>
    <row r="31" ht="5" customHeight="1"/>
    <row r="32" ht="13" customHeight="1">
      <c r="A32" s="14" t="inlineStr">
        <is>
          <t>Premises &amp; Admin</t>
        </is>
      </c>
    </row>
    <row r="33" ht="13" customHeight="1">
      <c r="A33" s="25" t="inlineStr">
        <is>
          <t xml:space="preserve">    Rent</t>
        </is>
      </c>
      <c r="B33" s="26" t="n">
        <v>0</v>
      </c>
      <c r="C33" s="26" t="n">
        <v>0</v>
      </c>
      <c r="D33" s="26" t="n">
        <v>0</v>
      </c>
      <c r="E33" s="26" t="n">
        <v>0</v>
      </c>
      <c r="F33" s="26" t="n">
        <v>0</v>
      </c>
      <c r="G33" s="26" t="n">
        <v>0</v>
      </c>
      <c r="H33" s="26" t="n">
        <v>0</v>
      </c>
      <c r="I33" s="26" t="n">
        <v>0</v>
      </c>
      <c r="J33" s="26" t="n">
        <v>0</v>
      </c>
      <c r="K33" s="26" t="n">
        <v>0</v>
      </c>
      <c r="L33" s="26" t="n">
        <v>0</v>
      </c>
      <c r="M33" s="26" t="n">
        <v>0</v>
      </c>
      <c r="N33" s="26">
        <f>SUM(B33:M33)</f>
        <v/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1267.25</v>
      </c>
      <c r="AA33" s="26">
        <f>SUM(O33:U33)</f>
        <v/>
      </c>
      <c r="AB33" s="26">
        <f>SUM(O33:Z33)</f>
        <v/>
      </c>
      <c r="AC33" s="26" t="n">
        <v>0</v>
      </c>
      <c r="AD33" s="26" t="n">
        <v>0</v>
      </c>
      <c r="AE33" s="26" t="n">
        <v>0</v>
      </c>
      <c r="AF33" s="26" t="n">
        <v>0</v>
      </c>
      <c r="AG33" s="26" t="n">
        <v>0</v>
      </c>
      <c r="AH33" s="26" t="n">
        <v>0</v>
      </c>
      <c r="AI33" s="10">
        <f>SUM(AC33:AH33)</f>
        <v/>
      </c>
      <c r="AJ33" s="26">
        <f>SUM(AC33:AH33)+AI33</f>
        <v/>
      </c>
      <c r="AK33" s="11">
        <f>IF(N33&lt;&gt;0,(AB33-N33)/ABS(N33),0)</f>
        <v/>
      </c>
      <c r="AL33" s="11">
        <f>IF(AB33&lt;&gt;0,(AJ33-AB33)/ABS(AB33),0)</f>
        <v/>
      </c>
    </row>
    <row r="34" ht="13" customHeight="1">
      <c r="A34" s="25" t="inlineStr">
        <is>
          <t xml:space="preserve">    Business Rates</t>
        </is>
      </c>
      <c r="B34" s="26" t="n">
        <v>1101.96</v>
      </c>
      <c r="C34" s="26" t="n">
        <v>1101.96</v>
      </c>
      <c r="D34" s="26" t="n">
        <v>1101.96</v>
      </c>
      <c r="E34" s="26" t="n">
        <v>1101.96</v>
      </c>
      <c r="F34" s="26" t="n">
        <v>1101.96</v>
      </c>
      <c r="G34" s="26" t="n">
        <v>1101.96</v>
      </c>
      <c r="H34" s="26" t="n">
        <v>1101.96</v>
      </c>
      <c r="I34" s="26" t="n">
        <v>1101.96</v>
      </c>
      <c r="J34" s="26" t="n">
        <v>1101.96</v>
      </c>
      <c r="K34" s="26" t="n">
        <v>1101.96</v>
      </c>
      <c r="L34" s="26" t="n">
        <v>1101.96</v>
      </c>
      <c r="M34" s="26" t="n">
        <v>1101.96</v>
      </c>
      <c r="N34" s="26">
        <f>SUM(B34:M34)</f>
        <v/>
      </c>
      <c r="O34" s="26" t="n">
        <v>1101.96</v>
      </c>
      <c r="P34" s="26" t="n">
        <v>1101.95</v>
      </c>
      <c r="Q34" s="26" t="n">
        <v>1101.95</v>
      </c>
      <c r="R34" s="26" t="n">
        <v>1267.25</v>
      </c>
      <c r="S34" s="26" t="n">
        <v>1267.25</v>
      </c>
      <c r="T34" s="26" t="n">
        <v>1267.25</v>
      </c>
      <c r="U34" s="26" t="n">
        <v>0</v>
      </c>
      <c r="AA34" s="26">
        <f>SUM(O34:U34)</f>
        <v/>
      </c>
      <c r="AB34" s="26">
        <f>SUM(O34:Z34)</f>
        <v/>
      </c>
      <c r="AC34" s="26" t="n">
        <v>1267</v>
      </c>
      <c r="AD34" s="26" t="n">
        <v>1267</v>
      </c>
      <c r="AE34" s="26" t="n">
        <v>1267</v>
      </c>
      <c r="AF34" s="26" t="n">
        <v>1267</v>
      </c>
      <c r="AG34" s="26" t="n">
        <v>1267</v>
      </c>
      <c r="AH34" s="26" t="n">
        <v>1267</v>
      </c>
      <c r="AI34" s="10">
        <f>SUM(AC34:AH34)</f>
        <v/>
      </c>
      <c r="AJ34" s="26">
        <f>SUM(AC34:AH34)+AI34</f>
        <v/>
      </c>
      <c r="AK34" s="11">
        <f>IF(N34&lt;&gt;0,(AB34-N34)/ABS(N34),0)</f>
        <v/>
      </c>
      <c r="AL34" s="11">
        <f>IF(AB34&lt;&gt;0,(AJ34-AB34)/ABS(AB34),0)</f>
        <v/>
      </c>
    </row>
    <row r="35" ht="13" customHeight="1">
      <c r="A35" s="25" t="inlineStr">
        <is>
          <t xml:space="preserve">    Utilities</t>
        </is>
      </c>
      <c r="B35" s="26" t="n">
        <v>3375.89</v>
      </c>
      <c r="C35" s="26" t="n">
        <v>56.38000000000182</v>
      </c>
      <c r="D35" s="26" t="n">
        <v>2478.53</v>
      </c>
      <c r="E35" s="26" t="n">
        <v>2657.12</v>
      </c>
      <c r="F35" s="26" t="n">
        <v>1738.13</v>
      </c>
      <c r="G35" s="26" t="n">
        <v>942.84</v>
      </c>
      <c r="H35" s="26" t="n">
        <v>1984.28</v>
      </c>
      <c r="I35" s="26" t="n">
        <v>159.04</v>
      </c>
      <c r="J35" s="26" t="n">
        <v>-2054.4</v>
      </c>
      <c r="K35" s="26" t="n">
        <v>2069.1</v>
      </c>
      <c r="L35" s="26" t="n">
        <v>2303.05</v>
      </c>
      <c r="M35" s="26" t="n">
        <v>1297.49</v>
      </c>
      <c r="N35" s="26">
        <f>SUM(B35:M35)</f>
        <v/>
      </c>
      <c r="O35" s="26" t="n">
        <v>1098.56</v>
      </c>
      <c r="P35" s="26" t="n">
        <v>5374.07</v>
      </c>
      <c r="Q35" s="26" t="n">
        <v>2003.16</v>
      </c>
      <c r="R35" s="26" t="n">
        <v>1949.71</v>
      </c>
      <c r="S35" s="26" t="n">
        <v>1937.06</v>
      </c>
      <c r="T35" s="26" t="n">
        <v>2017.5</v>
      </c>
      <c r="U35" s="26" t="n">
        <v>158.35</v>
      </c>
      <c r="AA35" s="26">
        <f>SUM(O35:U35)</f>
        <v/>
      </c>
      <c r="AB35" s="26">
        <f>SUM(O35:Z35)</f>
        <v/>
      </c>
      <c r="AC35" s="26" t="n">
        <v>2300</v>
      </c>
      <c r="AD35" s="26" t="n">
        <v>2300</v>
      </c>
      <c r="AE35" s="26" t="n">
        <v>2300</v>
      </c>
      <c r="AF35" s="26" t="n">
        <v>2300</v>
      </c>
      <c r="AG35" s="26" t="n">
        <v>2300</v>
      </c>
      <c r="AH35" s="26" t="n">
        <v>2300</v>
      </c>
      <c r="AI35" s="10">
        <f>SUM(AC35:AH35)</f>
        <v/>
      </c>
      <c r="AJ35" s="26">
        <f>SUM(AC35:AH35)+AI35</f>
        <v/>
      </c>
      <c r="AK35" s="11">
        <f>IF(N35&lt;&gt;0,(AB35-N35)/ABS(N35),0)</f>
        <v/>
      </c>
      <c r="AL35" s="11">
        <f>IF(AB35&lt;&gt;0,(AJ35-AB35)/ABS(AB35),0)</f>
        <v/>
      </c>
    </row>
    <row r="36" ht="13" customHeight="1">
      <c r="A36" s="25" t="inlineStr">
        <is>
          <t xml:space="preserve">    Repairs &amp; Maintenance</t>
        </is>
      </c>
      <c r="B36" s="26" t="n">
        <v>17.94</v>
      </c>
      <c r="C36" s="26" t="n">
        <v>37.48</v>
      </c>
      <c r="D36" s="26" t="n">
        <v>566.99</v>
      </c>
      <c r="E36" s="26" t="n">
        <v>245.93</v>
      </c>
      <c r="F36" s="26" t="n">
        <v>270.95</v>
      </c>
      <c r="G36" s="26" t="n">
        <v>671.05</v>
      </c>
      <c r="H36" s="26" t="n">
        <v>0</v>
      </c>
      <c r="I36" s="26" t="n">
        <v>0</v>
      </c>
      <c r="J36" s="26" t="n">
        <v>22.7</v>
      </c>
      <c r="K36" s="26" t="n">
        <v>192.88</v>
      </c>
      <c r="L36" s="26" t="n">
        <v>0</v>
      </c>
      <c r="M36" s="26" t="n">
        <v>125.67</v>
      </c>
      <c r="N36" s="26">
        <f>SUM(B36:M36)</f>
        <v/>
      </c>
      <c r="O36" s="26" t="n">
        <v>0</v>
      </c>
      <c r="P36" s="26" t="n">
        <v>230.16</v>
      </c>
      <c r="Q36" s="26" t="n">
        <v>0</v>
      </c>
      <c r="R36" s="26" t="n">
        <v>0</v>
      </c>
      <c r="S36" s="26" t="n">
        <v>66.56999999999999</v>
      </c>
      <c r="T36" s="26" t="n">
        <v>0</v>
      </c>
      <c r="U36" s="26" t="n">
        <v>153.49</v>
      </c>
      <c r="AA36" s="26">
        <f>SUM(O36:U36)</f>
        <v/>
      </c>
      <c r="AB36" s="26">
        <f>SUM(O36:Z36)</f>
        <v/>
      </c>
      <c r="AC36" s="26" t="n">
        <v>0</v>
      </c>
      <c r="AD36" s="26" t="n">
        <v>0</v>
      </c>
      <c r="AE36" s="26" t="n">
        <v>0</v>
      </c>
      <c r="AF36" s="26" t="n">
        <v>0</v>
      </c>
      <c r="AG36" s="26" t="n">
        <v>0</v>
      </c>
      <c r="AH36" s="26" t="n">
        <v>0</v>
      </c>
      <c r="AI36" s="10">
        <f>SUM(AC36:AH36)</f>
        <v/>
      </c>
      <c r="AJ36" s="26">
        <f>SUM(AC36:AH36)+AI36</f>
        <v/>
      </c>
      <c r="AK36" s="11">
        <f>IF(N36&lt;&gt;0,(AB36-N36)/ABS(N36),0)</f>
        <v/>
      </c>
      <c r="AL36" s="11">
        <f>IF(AB36&lt;&gt;0,(AJ36-AB36)/ABS(AB36),0)</f>
        <v/>
      </c>
    </row>
    <row r="37" ht="13" customHeight="1">
      <c r="A37" s="25" t="inlineStr">
        <is>
          <t xml:space="preserve">    Cleaning</t>
        </is>
      </c>
      <c r="B37" s="26" t="n">
        <v>138.22</v>
      </c>
      <c r="C37" s="26" t="n">
        <v>106.33</v>
      </c>
      <c r="D37" s="26" t="n">
        <v>113.34</v>
      </c>
      <c r="E37" s="26" t="n">
        <v>182.89</v>
      </c>
      <c r="F37" s="26" t="n">
        <v>308.21</v>
      </c>
      <c r="G37" s="26" t="n">
        <v>17.18</v>
      </c>
      <c r="H37" s="26" t="n">
        <v>311.14</v>
      </c>
      <c r="I37" s="26" t="n">
        <v>96.34999999999999</v>
      </c>
      <c r="J37" s="26" t="n">
        <v>107.78</v>
      </c>
      <c r="K37" s="26" t="n">
        <v>191.11</v>
      </c>
      <c r="L37" s="26" t="n">
        <v>142.97</v>
      </c>
      <c r="M37" s="26" t="n">
        <v>35.48</v>
      </c>
      <c r="N37" s="26">
        <f>SUM(B37:M37)</f>
        <v/>
      </c>
      <c r="O37" s="26" t="n">
        <v>36.74</v>
      </c>
      <c r="P37" s="26" t="n">
        <v>320.76</v>
      </c>
      <c r="Q37" s="26" t="n">
        <v>0</v>
      </c>
      <c r="R37" s="26" t="n">
        <v>32.27</v>
      </c>
      <c r="S37" s="26" t="n">
        <v>51.33</v>
      </c>
      <c r="T37" s="26" t="n">
        <v>239.69</v>
      </c>
      <c r="U37" s="26" t="n">
        <v>0</v>
      </c>
      <c r="AA37" s="26">
        <f>SUM(O37:U37)</f>
        <v/>
      </c>
      <c r="AB37" s="26">
        <f>SUM(O37:Z37)</f>
        <v/>
      </c>
      <c r="AC37" s="26" t="n">
        <v>165</v>
      </c>
      <c r="AD37" s="26" t="n">
        <v>165</v>
      </c>
      <c r="AE37" s="26" t="n">
        <v>165</v>
      </c>
      <c r="AF37" s="26" t="n">
        <v>165</v>
      </c>
      <c r="AG37" s="26" t="n">
        <v>165</v>
      </c>
      <c r="AH37" s="26" t="n">
        <v>165</v>
      </c>
      <c r="AI37" s="10">
        <f>SUM(AC37:AH37)</f>
        <v/>
      </c>
      <c r="AJ37" s="26">
        <f>SUM(AC37:AH37)+AI37</f>
        <v/>
      </c>
      <c r="AK37" s="11">
        <f>IF(N37&lt;&gt;0,(AB37-N37)/ABS(N37),0)</f>
        <v/>
      </c>
      <c r="AL37" s="11">
        <f>IF(AB37&lt;&gt;0,(AJ37-AB37)/ABS(AB37),0)</f>
        <v/>
      </c>
    </row>
    <row r="38" ht="13" customHeight="1">
      <c r="A38" s="25" t="inlineStr">
        <is>
          <t xml:space="preserve">    Waste Disposal</t>
        </is>
      </c>
      <c r="B38" s="26" t="n">
        <v>352.3</v>
      </c>
      <c r="C38" s="26" t="n">
        <v>253.9</v>
      </c>
      <c r="D38" s="26" t="n">
        <v>403.3</v>
      </c>
      <c r="E38" s="26" t="n">
        <v>346.77</v>
      </c>
      <c r="F38" s="26" t="n">
        <v>393.52</v>
      </c>
      <c r="G38" s="26" t="n">
        <v>424.55</v>
      </c>
      <c r="H38" s="26" t="n">
        <v>328.24</v>
      </c>
      <c r="I38" s="26" t="n">
        <v>328.24</v>
      </c>
      <c r="J38" s="26" t="n">
        <v>489.35</v>
      </c>
      <c r="K38" s="26" t="n">
        <v>438.01</v>
      </c>
      <c r="L38" s="26" t="n">
        <v>355.75</v>
      </c>
      <c r="M38" s="26" t="n">
        <v>452.0599999999999</v>
      </c>
      <c r="N38" s="26">
        <f>SUM(B38:M38)</f>
        <v/>
      </c>
      <c r="O38" s="26" t="n">
        <v>355.77</v>
      </c>
      <c r="P38" s="26" t="n">
        <v>341.44</v>
      </c>
      <c r="Q38" s="26" t="n">
        <v>488.15</v>
      </c>
      <c r="R38" s="26" t="n">
        <v>449.49</v>
      </c>
      <c r="S38" s="26" t="n">
        <v>368.45</v>
      </c>
      <c r="T38" s="26" t="n">
        <v>280.5</v>
      </c>
      <c r="U38" s="26" t="n">
        <v>419.47</v>
      </c>
      <c r="AA38" s="26">
        <f>SUM(O38:U38)</f>
        <v/>
      </c>
      <c r="AB38" s="26">
        <f>SUM(O38:Z38)</f>
        <v/>
      </c>
      <c r="AC38" s="26" t="n">
        <v>370</v>
      </c>
      <c r="AD38" s="26" t="n">
        <v>370</v>
      </c>
      <c r="AE38" s="26" t="n">
        <v>370</v>
      </c>
      <c r="AF38" s="26" t="n">
        <v>370</v>
      </c>
      <c r="AG38" s="26" t="n">
        <v>370</v>
      </c>
      <c r="AH38" s="26" t="n">
        <v>370</v>
      </c>
      <c r="AI38" s="10">
        <f>SUM(AC38:AH38)</f>
        <v/>
      </c>
      <c r="AJ38" s="26">
        <f>SUM(AC38:AH38)+AI38</f>
        <v/>
      </c>
      <c r="AK38" s="11">
        <f>IF(N38&lt;&gt;0,(AB38-N38)/ABS(N38),0)</f>
        <v/>
      </c>
      <c r="AL38" s="11">
        <f>IF(AB38&lt;&gt;0,(AJ38-AB38)/ABS(AB38),0)</f>
        <v/>
      </c>
    </row>
    <row r="39" ht="13" customHeight="1">
      <c r="A39" s="25" t="inlineStr">
        <is>
          <t xml:space="preserve">    Postage/Printing/Stationery</t>
        </is>
      </c>
      <c r="B39" s="26" t="n">
        <v>132.08</v>
      </c>
      <c r="C39" s="26" t="n">
        <v>23.77</v>
      </c>
      <c r="D39" s="26" t="n">
        <v>72.49000000000001</v>
      </c>
      <c r="E39" s="26" t="n">
        <v>482.1900000000001</v>
      </c>
      <c r="F39" s="26" t="n">
        <v>465.37</v>
      </c>
      <c r="G39" s="26" t="n">
        <v>479.21</v>
      </c>
      <c r="H39" s="26" t="n">
        <v>-785.59</v>
      </c>
      <c r="I39" s="26" t="n">
        <v>463.76</v>
      </c>
      <c r="J39" s="26" t="n">
        <v>480.54</v>
      </c>
      <c r="K39" s="26" t="n">
        <v>434.84</v>
      </c>
      <c r="L39" s="26" t="n">
        <v>480.36</v>
      </c>
      <c r="M39" s="26" t="n">
        <v>476.84</v>
      </c>
      <c r="N39" s="26">
        <f>SUM(B39:M39)</f>
        <v/>
      </c>
      <c r="O39" s="26" t="n">
        <v>73.36</v>
      </c>
      <c r="P39" s="26" t="n">
        <v>58.85</v>
      </c>
      <c r="Q39" s="26" t="n">
        <v>176.11</v>
      </c>
      <c r="R39" s="26" t="n">
        <v>74.42</v>
      </c>
      <c r="S39" s="26" t="n">
        <v>63.8</v>
      </c>
      <c r="T39" s="26" t="n">
        <v>17.99</v>
      </c>
      <c r="U39" s="26" t="n">
        <v>98.47</v>
      </c>
      <c r="AA39" s="26">
        <f>SUM(O39:U39)</f>
        <v/>
      </c>
      <c r="AB39" s="26">
        <f>SUM(O39:Z39)</f>
        <v/>
      </c>
      <c r="AC39" s="26" t="n">
        <v>0</v>
      </c>
      <c r="AD39" s="26" t="n">
        <v>0</v>
      </c>
      <c r="AE39" s="26" t="n">
        <v>0</v>
      </c>
      <c r="AF39" s="26" t="n">
        <v>0</v>
      </c>
      <c r="AG39" s="26" t="n">
        <v>0</v>
      </c>
      <c r="AH39" s="26" t="n">
        <v>0</v>
      </c>
      <c r="AI39" s="10">
        <f>SUM(AC39:AH39)</f>
        <v/>
      </c>
      <c r="AJ39" s="26">
        <f>SUM(AC39:AH39)+AI39</f>
        <v/>
      </c>
      <c r="AK39" s="11">
        <f>IF(N39&lt;&gt;0,(AB39-N39)/ABS(N39),0)</f>
        <v/>
      </c>
      <c r="AL39" s="11">
        <f>IF(AB39&lt;&gt;0,(AJ39-AB39)/ABS(AB39),0)</f>
        <v/>
      </c>
    </row>
    <row r="40" ht="13" customHeight="1">
      <c r="A40" s="25" t="inlineStr">
        <is>
          <t xml:space="preserve">    Telephone</t>
        </is>
      </c>
      <c r="B40" s="26" t="n">
        <v>0</v>
      </c>
      <c r="C40" s="26" t="n">
        <v>0</v>
      </c>
      <c r="D40" s="26" t="n">
        <v>0</v>
      </c>
      <c r="E40" s="26" t="n">
        <v>0</v>
      </c>
      <c r="F40" s="26" t="n">
        <v>0</v>
      </c>
      <c r="G40" s="26" t="n">
        <v>0</v>
      </c>
      <c r="H40" s="26" t="n">
        <v>0</v>
      </c>
      <c r="I40" s="26" t="n">
        <v>0</v>
      </c>
      <c r="J40" s="26" t="n">
        <v>0</v>
      </c>
      <c r="K40" s="26" t="n">
        <v>0</v>
      </c>
      <c r="L40" s="26" t="n">
        <v>0</v>
      </c>
      <c r="M40" s="26" t="n">
        <v>0</v>
      </c>
      <c r="N40" s="26">
        <f>SUM(B40:M40)</f>
        <v/>
      </c>
      <c r="O40" s="26" t="n">
        <v>517.8099999999999</v>
      </c>
      <c r="P40" s="26" t="n">
        <v>548.75</v>
      </c>
      <c r="Q40" s="26" t="n">
        <v>632.12</v>
      </c>
      <c r="R40" s="26" t="n">
        <v>542.3</v>
      </c>
      <c r="S40" s="26" t="n">
        <v>722.9400000000001</v>
      </c>
      <c r="T40" s="26" t="n">
        <v>485.8</v>
      </c>
      <c r="U40" s="26" t="n">
        <v>878.8</v>
      </c>
      <c r="AA40" s="26">
        <f>SUM(O40:U40)</f>
        <v/>
      </c>
      <c r="AB40" s="26">
        <f>SUM(O40:Z40)</f>
        <v/>
      </c>
      <c r="AC40" s="26" t="n">
        <v>0</v>
      </c>
      <c r="AD40" s="26" t="n">
        <v>0</v>
      </c>
      <c r="AE40" s="26" t="n">
        <v>0</v>
      </c>
      <c r="AF40" s="26" t="n">
        <v>0</v>
      </c>
      <c r="AG40" s="26" t="n">
        <v>0</v>
      </c>
      <c r="AH40" s="26" t="n">
        <v>0</v>
      </c>
      <c r="AI40" s="10">
        <f>SUM(AC40:AH40)</f>
        <v/>
      </c>
      <c r="AJ40" s="26">
        <f>SUM(AC40:AH40)+AI40</f>
        <v/>
      </c>
      <c r="AK40" s="11">
        <f>IF(N40&lt;&gt;0,(AB40-N40)/ABS(N40),0)</f>
        <v/>
      </c>
      <c r="AL40" s="11">
        <f>IF(AB40&lt;&gt;0,(AJ40-AB40)/ABS(AB40),0)</f>
        <v/>
      </c>
    </row>
    <row r="41" ht="13" customHeight="1">
      <c r="A41" s="25" t="inlineStr">
        <is>
          <t xml:space="preserve">    Marketing</t>
        </is>
      </c>
      <c r="B41" s="26" t="n">
        <v>0</v>
      </c>
      <c r="C41" s="26" t="n">
        <v>0</v>
      </c>
      <c r="D41" s="26" t="n">
        <v>0</v>
      </c>
      <c r="E41" s="26" t="n">
        <v>0</v>
      </c>
      <c r="F41" s="26" t="n">
        <v>0</v>
      </c>
      <c r="G41" s="26" t="n">
        <v>0</v>
      </c>
      <c r="H41" s="26" t="n">
        <v>0</v>
      </c>
      <c r="I41" s="26" t="n">
        <v>0</v>
      </c>
      <c r="J41" s="26" t="n">
        <v>0</v>
      </c>
      <c r="K41" s="26" t="n">
        <v>0</v>
      </c>
      <c r="L41" s="26" t="n">
        <v>0</v>
      </c>
      <c r="M41" s="26" t="n">
        <v>0</v>
      </c>
      <c r="N41" s="26">
        <f>SUM(B41:M41)</f>
        <v/>
      </c>
      <c r="O41" s="26" t="n">
        <v>0</v>
      </c>
      <c r="P41" s="26" t="n">
        <v>0</v>
      </c>
      <c r="Q41" s="26" t="n">
        <v>0</v>
      </c>
      <c r="R41" s="26" t="n">
        <v>0</v>
      </c>
      <c r="S41" s="26" t="n">
        <v>0</v>
      </c>
      <c r="T41" s="26" t="n">
        <v>0</v>
      </c>
      <c r="U41" s="26" t="n">
        <v>0</v>
      </c>
      <c r="V41" s="26" t="n">
        <v>0</v>
      </c>
      <c r="W41" s="26" t="n">
        <v>0</v>
      </c>
      <c r="X41" s="26" t="n">
        <v>0</v>
      </c>
      <c r="Y41" s="26" t="n">
        <v>0</v>
      </c>
      <c r="Z41" s="26" t="n">
        <v>0</v>
      </c>
      <c r="AA41" s="26">
        <f>SUM(O41:U41)</f>
        <v/>
      </c>
      <c r="AB41" s="26">
        <f>SUM(O41:Z41)</f>
        <v/>
      </c>
      <c r="AC41" s="26" t="n">
        <v>100</v>
      </c>
      <c r="AD41" s="26" t="n">
        <v>100</v>
      </c>
      <c r="AE41" s="26" t="n">
        <v>100</v>
      </c>
      <c r="AF41" s="26" t="n">
        <v>100</v>
      </c>
      <c r="AG41" s="26" t="n">
        <v>100</v>
      </c>
      <c r="AH41" s="26" t="n">
        <v>100</v>
      </c>
      <c r="AI41" s="10">
        <f>SUM(AC41:AH41)</f>
        <v/>
      </c>
      <c r="AJ41" s="26">
        <f>SUM(AC41:AH41)+AI41</f>
        <v/>
      </c>
      <c r="AK41" s="11">
        <f>IF(N41&lt;&gt;0,(AB41-N41)/ABS(N41),0)</f>
        <v/>
      </c>
      <c r="AL41" s="11">
        <f>IF(AB41&lt;&gt;0,(AJ41-AB41)/ABS(AB41),0)</f>
        <v/>
      </c>
    </row>
    <row r="42" ht="13" customHeight="1">
      <c r="A42" s="27" t="inlineStr">
        <is>
          <t>Total Premises &amp; Admin</t>
        </is>
      </c>
      <c r="B42" s="28">
        <f>B33+B34+B35+B36+B37+B38+B39+B40+B41</f>
        <v/>
      </c>
      <c r="C42" s="28">
        <f>C33+C34+C35+C36+C37+C38+C39+C40+C41</f>
        <v/>
      </c>
      <c r="D42" s="28">
        <f>D33+D34+D35+D36+D37+D38+D39+D40+D41</f>
        <v/>
      </c>
      <c r="E42" s="28">
        <f>E33+E34+E35+E36+E37+E38+E39+E40+E41</f>
        <v/>
      </c>
      <c r="F42" s="28">
        <f>F33+F34+F35+F36+F37+F38+F39+F40+F41</f>
        <v/>
      </c>
      <c r="G42" s="28">
        <f>G33+G34+G35+G36+G37+G38+G39+G40+G41</f>
        <v/>
      </c>
      <c r="H42" s="28">
        <f>H33+H34+H35+H36+H37+H38+H39+H40+H41</f>
        <v/>
      </c>
      <c r="I42" s="28">
        <f>I33+I34+I35+I36+I37+I38+I39+I40+I41</f>
        <v/>
      </c>
      <c r="J42" s="28">
        <f>J33+J34+J35+J36+J37+J38+J39+J40+J41</f>
        <v/>
      </c>
      <c r="K42" s="28">
        <f>K33+K34+K35+K36+K37+K38+K39+K40+K41</f>
        <v/>
      </c>
      <c r="L42" s="28">
        <f>L33+L34+L35+L36+L37+L38+L39+L40+L41</f>
        <v/>
      </c>
      <c r="M42" s="28">
        <f>M33+M34+M35+M36+M37+M38+M39+M40+M41</f>
        <v/>
      </c>
      <c r="N42" s="28">
        <f>N33+N34+N35+N36+N37+N38+N39+N40+N41</f>
        <v/>
      </c>
      <c r="O42" s="28">
        <f>O33+O34+O35+O36+O37+O38+O39+O40+O41</f>
        <v/>
      </c>
      <c r="P42" s="28">
        <f>P33+P34+P35+P36+P37+P38+P39+P40+P41</f>
        <v/>
      </c>
      <c r="Q42" s="28">
        <f>Q33+Q34+Q35+Q36+Q37+Q38+Q39+Q40+Q41</f>
        <v/>
      </c>
      <c r="R42" s="28">
        <f>R33+R34+R35+R36+R37+R38+R39+R40+R41</f>
        <v/>
      </c>
      <c r="S42" s="28">
        <f>S33+S34+S35+S36+S37+S38+S39+S40+S41</f>
        <v/>
      </c>
      <c r="T42" s="28">
        <f>T33+T34+T35+T36+T37+T38+T39+T40+T41</f>
        <v/>
      </c>
      <c r="U42" s="28">
        <f>U33+U34+U35+U36+U37+U38+U39+U40+U41</f>
        <v/>
      </c>
      <c r="V42" s="28">
        <f>V33+V34+V35+V36+V37+V38+V39+V40+V41</f>
        <v/>
      </c>
      <c r="W42" s="28">
        <f>W33+W34+W35+W36+W37+W38+W39+W40+W41</f>
        <v/>
      </c>
      <c r="X42" s="28">
        <f>X33+X34+X35+X36+X37+X38+X39+X40+X41</f>
        <v/>
      </c>
      <c r="Y42" s="28">
        <f>Y33+Y34+Y35+Y36+Y37+Y38+Y39+Y40+Y41</f>
        <v/>
      </c>
      <c r="Z42" s="28">
        <f>Z33+Z34+Z35+Z36+Z37+Z38+Z39+Z40+Z41</f>
        <v/>
      </c>
      <c r="AA42" s="28">
        <f>AA33+AA34+AA35+AA36+AA37+AA38+AA39+AA40+AA41</f>
        <v/>
      </c>
      <c r="AB42" s="28">
        <f>AB33+AB34+AB35+AB36+AB37+AB38+AB39+AB40+AB41</f>
        <v/>
      </c>
      <c r="AC42" s="28">
        <f>AC33+AC34+AC35+AC36+AC37+AC38+AC39+AC40+AC41</f>
        <v/>
      </c>
      <c r="AD42" s="28">
        <f>AD33+AD34+AD35+AD36+AD37+AD38+AD39+AD40+AD41</f>
        <v/>
      </c>
      <c r="AE42" s="28">
        <f>AE33+AE34+AE35+AE36+AE37+AE38+AE39+AE40+AE41</f>
        <v/>
      </c>
      <c r="AF42" s="28">
        <f>AF33+AF34+AF35+AF36+AF37+AF38+AF39+AF40+AF41</f>
        <v/>
      </c>
      <c r="AG42" s="28">
        <f>AG33+AG34+AG35+AG36+AG37+AG38+AG39+AG40+AG41</f>
        <v/>
      </c>
      <c r="AH42" s="28">
        <f>AH33+AH34+AH35+AH36+AH37+AH38+AH39+AH40+AH41</f>
        <v/>
      </c>
      <c r="AI42" s="28">
        <f>AI33+AI34+AI35+AI36+AI37+AI38+AI39+AI40+AI41</f>
        <v/>
      </c>
      <c r="AJ42" s="28">
        <f>AJ33+AJ34+AJ35+AJ36+AJ37+AJ38+AJ39+AJ40+AJ41</f>
        <v/>
      </c>
      <c r="AK42" s="11">
        <f>IF(N42&lt;&gt;0,(AB42-N42)/ABS(N42),0)</f>
        <v/>
      </c>
      <c r="AL42" s="11">
        <f>IF(AB42&lt;&gt;0,(AJ42-AB42)/ABS(AB42),0)</f>
        <v/>
      </c>
    </row>
    <row r="43" ht="5" customHeight="1"/>
    <row r="44" ht="13" customHeight="1">
      <c r="A44" s="29" t="inlineStr">
        <is>
          <t>Total Direct Costs</t>
        </is>
      </c>
      <c r="AK44" s="11">
        <f>IF(N44&lt;&gt;0,(AB44-N44)/ABS(N44),0)</f>
        <v/>
      </c>
      <c r="AL44" s="11">
        <f>IF(AB44&lt;&gt;0,(AJ44-AB44)/ABS(AB44),0)</f>
        <v/>
      </c>
    </row>
    <row r="45" ht="5" customHeight="1"/>
    <row r="46" ht="15" customHeight="1">
      <c r="A46" s="30" t="inlineStr">
        <is>
          <t>CONTRIBUTION</t>
        </is>
      </c>
      <c r="B46" s="31">
        <f>B7-B44</f>
        <v/>
      </c>
      <c r="C46" s="31">
        <f>C7-C44</f>
        <v/>
      </c>
      <c r="D46" s="31">
        <f>D7-D44</f>
        <v/>
      </c>
      <c r="E46" s="31">
        <f>E7-E44</f>
        <v/>
      </c>
      <c r="F46" s="31">
        <f>F7-F44</f>
        <v/>
      </c>
      <c r="G46" s="31">
        <f>G7-G44</f>
        <v/>
      </c>
      <c r="H46" s="31">
        <f>H7-H44</f>
        <v/>
      </c>
      <c r="I46" s="31">
        <f>I7-I44</f>
        <v/>
      </c>
      <c r="J46" s="31">
        <f>J7-J44</f>
        <v/>
      </c>
      <c r="K46" s="31">
        <f>K7-K44</f>
        <v/>
      </c>
      <c r="L46" s="31">
        <f>L7-L44</f>
        <v/>
      </c>
      <c r="M46" s="31">
        <f>M7-M44</f>
        <v/>
      </c>
      <c r="N46" s="31">
        <f>N7-N44</f>
        <v/>
      </c>
      <c r="O46" s="31">
        <f>O7-O44</f>
        <v/>
      </c>
      <c r="P46" s="31">
        <f>P7-P44</f>
        <v/>
      </c>
      <c r="Q46" s="31">
        <f>Q7-Q44</f>
        <v/>
      </c>
      <c r="R46" s="31">
        <f>R7-R44</f>
        <v/>
      </c>
      <c r="S46" s="31">
        <f>S7-S44</f>
        <v/>
      </c>
      <c r="T46" s="31">
        <f>T7-T44</f>
        <v/>
      </c>
      <c r="U46" s="31">
        <f>U7-U44</f>
        <v/>
      </c>
      <c r="V46" s="31">
        <f>V7-V44</f>
        <v/>
      </c>
      <c r="W46" s="31">
        <f>W7-W44</f>
        <v/>
      </c>
      <c r="X46" s="31">
        <f>X7-X44</f>
        <v/>
      </c>
      <c r="Y46" s="31">
        <f>Y7-Y44</f>
        <v/>
      </c>
      <c r="Z46" s="31">
        <f>Z7-Z44</f>
        <v/>
      </c>
      <c r="AA46" s="31">
        <f>AA7-AA44</f>
        <v/>
      </c>
      <c r="AB46" s="31">
        <f>AB7-AB44</f>
        <v/>
      </c>
      <c r="AC46" s="31">
        <f>AC7-AC44</f>
        <v/>
      </c>
      <c r="AD46" s="31">
        <f>AD7-AD44</f>
        <v/>
      </c>
      <c r="AE46" s="31">
        <f>AE7-AE44</f>
        <v/>
      </c>
      <c r="AF46" s="31">
        <f>AF7-AF44</f>
        <v/>
      </c>
      <c r="AG46" s="31">
        <f>AG7-AG44</f>
        <v/>
      </c>
      <c r="AH46" s="31">
        <f>AH7-AH44</f>
        <v/>
      </c>
      <c r="AI46" s="31">
        <f>AI7-AI44</f>
        <v/>
      </c>
      <c r="AJ46" s="31">
        <f>AJ7-AJ44</f>
        <v/>
      </c>
      <c r="AK46" s="11">
        <f>IF(N46&lt;&gt;0,(AB46-N46)/ABS(N46),0)</f>
        <v/>
      </c>
      <c r="AL46" s="11">
        <f>IF(AB46&lt;&gt;0,(AJ46-AB46)/ABS(AB46),0)</f>
        <v/>
      </c>
    </row>
  </sheetData>
  <mergeCells count="8">
    <mergeCell ref="A10:AL10"/>
    <mergeCell ref="B1:N1"/>
    <mergeCell ref="A23:AL23"/>
    <mergeCell ref="A32:AL32"/>
    <mergeCell ref="AC1:AJ1"/>
    <mergeCell ref="A9:AL9"/>
    <mergeCell ref="A3:AL3"/>
    <mergeCell ref="O1:AB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9.5" customWidth="1" min="27" max="27"/>
    <col width="9.5" customWidth="1" min="28" max="28"/>
    <col width="9.5" customWidth="1" min="29" max="29"/>
    <col width="9.5" customWidth="1" min="30" max="30"/>
    <col width="9.5" customWidth="1" min="31" max="31"/>
    <col width="9.5" customWidth="1" min="32" max="32"/>
    <col width="9.5" customWidth="1" min="33" max="33"/>
    <col width="9.5" customWidth="1" min="34" max="34"/>
    <col width="9.5" customWidth="1" min="35" max="35"/>
    <col width="11" customWidth="1" min="36" max="36"/>
    <col width="10" customWidth="1" min="37" max="37"/>
    <col width="10" customWidth="1" min="38" max="38"/>
  </cols>
  <sheetData>
    <row r="1" ht="18" customHeight="1">
      <c r="A1" s="1" t="inlineStr">
        <is>
          <t>Saltway</t>
        </is>
      </c>
      <c r="B1" s="2" t="inlineStr">
        <is>
          <t>Actuals 2025</t>
        </is>
      </c>
      <c r="O1" s="2" t="inlineStr">
        <is>
          <t>2026 Actual / Forecast</t>
        </is>
      </c>
      <c r="AC1" s="2" t="inlineStr">
        <is>
          <t>2027 Forecast</t>
        </is>
      </c>
      <c r="AK1" s="3" t="inlineStr">
        <is>
          <t>YoY</t>
        </is>
      </c>
      <c r="AL1" s="3" t="inlineStr">
        <is>
          <t>YoY</t>
        </is>
      </c>
    </row>
    <row r="2" ht="22" customHeight="1">
      <c r="B2" s="4" t="inlineStr">
        <is>
          <t>Jan</t>
        </is>
      </c>
      <c r="C2" s="4" t="inlineStr">
        <is>
          <t>Feb</t>
        </is>
      </c>
      <c r="D2" s="4" t="inlineStr">
        <is>
          <t>Mar</t>
        </is>
      </c>
      <c r="E2" s="4" t="inlineStr">
        <is>
          <t>Apr</t>
        </is>
      </c>
      <c r="F2" s="4" t="inlineStr">
        <is>
          <t>May</t>
        </is>
      </c>
      <c r="G2" s="4" t="inlineStr">
        <is>
          <t>Jun</t>
        </is>
      </c>
      <c r="H2" s="4" t="inlineStr">
        <is>
          <t>Jul</t>
        </is>
      </c>
      <c r="I2" s="4" t="inlineStr">
        <is>
          <t>Aug</t>
        </is>
      </c>
      <c r="J2" s="4" t="inlineStr">
        <is>
          <t>Sep</t>
        </is>
      </c>
      <c r="K2" s="4" t="inlineStr">
        <is>
          <t>Oct</t>
        </is>
      </c>
      <c r="L2" s="4" t="inlineStr">
        <is>
          <t>Nov</t>
        </is>
      </c>
      <c r="M2" s="4" t="inlineStr">
        <is>
          <t>Dec</t>
        </is>
      </c>
      <c r="N2" s="5" t="inlineStr">
        <is>
          <t>FY2025
Total</t>
        </is>
      </c>
      <c r="O2" s="4" t="inlineStr">
        <is>
          <t>Jan</t>
        </is>
      </c>
      <c r="P2" s="4" t="inlineStr">
        <is>
          <t>Feb</t>
        </is>
      </c>
      <c r="Q2" s="4" t="inlineStr">
        <is>
          <t>Mar</t>
        </is>
      </c>
      <c r="R2" s="4" t="inlineStr">
        <is>
          <t>Apr</t>
        </is>
      </c>
      <c r="S2" s="4" t="inlineStr">
        <is>
          <t>May</t>
        </is>
      </c>
      <c r="T2" s="4" t="inlineStr">
        <is>
          <t>Jun</t>
        </is>
      </c>
      <c r="U2" s="4" t="inlineStr">
        <is>
          <t>Jul</t>
        </is>
      </c>
      <c r="V2" s="4" t="inlineStr">
        <is>
          <t>Aug</t>
        </is>
      </c>
      <c r="W2" s="4" t="inlineStr">
        <is>
          <t>Sep</t>
        </is>
      </c>
      <c r="X2" s="4" t="inlineStr">
        <is>
          <t>Oct</t>
        </is>
      </c>
      <c r="Y2" s="4" t="inlineStr">
        <is>
          <t>Nov</t>
        </is>
      </c>
      <c r="Z2" s="4" t="inlineStr">
        <is>
          <t>Dec</t>
        </is>
      </c>
      <c r="AA2" s="4" t="inlineStr">
        <is>
          <t>YTD</t>
        </is>
      </c>
      <c r="AB2" s="5" t="inlineStr">
        <is>
          <t>FY2026
Outlook</t>
        </is>
      </c>
      <c r="AC2" s="4" t="inlineStr">
        <is>
          <t>Jan</t>
        </is>
      </c>
      <c r="AD2" s="4" t="inlineStr">
        <is>
          <t>Feb</t>
        </is>
      </c>
      <c r="AE2" s="4" t="inlineStr">
        <is>
          <t>Mar</t>
        </is>
      </c>
      <c r="AF2" s="4" t="inlineStr">
        <is>
          <t>Apr</t>
        </is>
      </c>
      <c r="AG2" s="4" t="inlineStr">
        <is>
          <t>May</t>
        </is>
      </c>
      <c r="AH2" s="4" t="inlineStr">
        <is>
          <t>Jun</t>
        </is>
      </c>
      <c r="AI2" s="6" t="inlineStr">
        <is>
          <t>Jul-Dec
Proj.</t>
        </is>
      </c>
      <c r="AJ2" s="4" t="inlineStr">
        <is>
          <t>FY2027</t>
        </is>
      </c>
      <c r="AK2" s="6" t="inlineStr">
        <is>
          <t>25→26
%</t>
        </is>
      </c>
      <c r="AL2" s="6" t="inlineStr">
        <is>
          <t>26→27
%</t>
        </is>
      </c>
    </row>
    <row r="3" ht="15" customHeight="1">
      <c r="A3" s="7" t="inlineStr">
        <is>
          <t>INCOME</t>
        </is>
      </c>
    </row>
    <row r="4" ht="13" customHeight="1">
      <c r="A4" s="8" t="inlineStr">
        <is>
          <t xml:space="preserve">    Fee Income Regular</t>
        </is>
      </c>
      <c r="B4" s="9" t="n">
        <v>37257.07</v>
      </c>
      <c r="C4" s="9" t="n">
        <v>33298.19</v>
      </c>
      <c r="D4" s="9" t="n">
        <v>43477.73</v>
      </c>
      <c r="E4" s="9" t="n">
        <v>53897.15</v>
      </c>
      <c r="F4" s="9" t="n">
        <v>40493.17</v>
      </c>
      <c r="G4" s="9" t="n">
        <v>40450.55</v>
      </c>
      <c r="H4" s="9" t="n">
        <v>59564.03999999999</v>
      </c>
      <c r="I4" s="9" t="n">
        <v>50501.36</v>
      </c>
      <c r="J4" s="9" t="n">
        <v>44919.97</v>
      </c>
      <c r="K4" s="9" t="n">
        <v>44608.71</v>
      </c>
      <c r="L4" s="9" t="n">
        <v>39750.3</v>
      </c>
      <c r="M4" s="9" t="n">
        <v>59286.95</v>
      </c>
      <c r="N4" s="9">
        <f>SUM(B4:M4)</f>
        <v/>
      </c>
      <c r="O4" s="9" t="n">
        <v>46983.8</v>
      </c>
      <c r="P4" s="9" t="n">
        <v>43534</v>
      </c>
      <c r="Q4" s="9" t="n">
        <v>51104.3</v>
      </c>
      <c r="R4" s="9" t="n">
        <v>61399.7</v>
      </c>
      <c r="S4" s="9" t="n">
        <v>49854.8</v>
      </c>
      <c r="T4" s="9" t="n">
        <v>53894.5</v>
      </c>
      <c r="U4" s="9" t="n">
        <v>69614.89000000001</v>
      </c>
      <c r="AA4" s="9">
        <f>SUM(O4:U4)</f>
        <v/>
      </c>
      <c r="AB4" s="9">
        <f>SUM(O4:Z4)</f>
        <v/>
      </c>
      <c r="AC4" s="9" t="n">
        <v>96606.42999999999</v>
      </c>
      <c r="AD4" s="9" t="n">
        <v>91623.52</v>
      </c>
      <c r="AE4" s="9" t="n">
        <v>110145.66</v>
      </c>
      <c r="AF4" s="9" t="n">
        <v>82870.42</v>
      </c>
      <c r="AG4" s="9" t="n">
        <v>74081.52</v>
      </c>
      <c r="AH4" s="9" t="n">
        <v>83711.62</v>
      </c>
      <c r="AI4" s="10">
        <f>SUM(AC4:AH4)</f>
        <v/>
      </c>
      <c r="AJ4" s="9">
        <f>SUM(AC4:AH4)+AI4</f>
        <v/>
      </c>
      <c r="AK4" s="11">
        <f>IF(N4&lt;&gt;0,(AB4-N4)/ABS(N4),0)</f>
        <v/>
      </c>
      <c r="AL4" s="11">
        <f>IF(AB4&lt;&gt;0,(AJ4-AB4)/ABS(AB4),0)</f>
        <v/>
      </c>
    </row>
    <row r="5" ht="13" customHeight="1">
      <c r="A5" s="8" t="inlineStr">
        <is>
          <t xml:space="preserve">    EEEF Embedded</t>
        </is>
      </c>
      <c r="B5" s="9" t="n">
        <v>15786.38</v>
      </c>
      <c r="C5" s="9" t="n">
        <v>31418.47</v>
      </c>
      <c r="D5" s="9" t="n">
        <v>31418.47</v>
      </c>
      <c r="E5" s="9" t="n">
        <v>11706.01</v>
      </c>
      <c r="F5" s="9" t="n">
        <v>11706.01</v>
      </c>
      <c r="G5" s="9" t="n">
        <v>25742.42</v>
      </c>
      <c r="H5" s="9" t="n">
        <v>26902.67</v>
      </c>
      <c r="I5" s="9" t="n">
        <v>0</v>
      </c>
      <c r="J5" s="9" t="n">
        <v>17420.26</v>
      </c>
      <c r="K5" s="9" t="n">
        <v>17420.26</v>
      </c>
      <c r="L5" s="9" t="n">
        <v>37807.82</v>
      </c>
      <c r="M5" s="9" t="n">
        <v>39399.03</v>
      </c>
      <c r="N5" s="9">
        <f>SUM(B5:M5)</f>
        <v/>
      </c>
      <c r="O5" s="9" t="n">
        <v>20404</v>
      </c>
      <c r="P5" s="9" t="n">
        <v>43307</v>
      </c>
      <c r="Q5" s="9" t="n">
        <v>43307</v>
      </c>
      <c r="R5" s="9" t="n">
        <v>36141.9</v>
      </c>
      <c r="S5" s="9" t="n">
        <v>36141.9</v>
      </c>
      <c r="T5" s="9" t="n">
        <v>36341.5</v>
      </c>
      <c r="U5" s="9" t="n">
        <v>36208.44</v>
      </c>
      <c r="AA5" s="9">
        <f>SUM(O5:U5)</f>
        <v/>
      </c>
      <c r="AB5" s="9">
        <f>SUM(O5:Z5)</f>
        <v/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10">
        <f>SUM(AC5:AH5)</f>
        <v/>
      </c>
      <c r="AJ5" s="9">
        <f>SUM(AC5:AH5)+AI5</f>
        <v/>
      </c>
      <c r="AK5" s="11">
        <f>IF(N5&lt;&gt;0,(AB5-N5)/ABS(N5),0)</f>
        <v/>
      </c>
      <c r="AL5" s="11">
        <f>IF(AB5&lt;&gt;0,(AJ5-AB5)/ABS(AB5),0)</f>
        <v/>
      </c>
    </row>
    <row r="6" ht="13" customHeight="1">
      <c r="A6" s="8" t="inlineStr">
        <is>
          <t xml:space="preserve">    Other Income</t>
        </is>
      </c>
      <c r="B6" s="9" t="n">
        <v>63</v>
      </c>
      <c r="C6" s="9" t="n">
        <v>0</v>
      </c>
      <c r="D6" s="9" t="n">
        <v>45</v>
      </c>
      <c r="E6" s="9" t="n">
        <v>424.2</v>
      </c>
      <c r="F6" s="9" t="n">
        <v>0</v>
      </c>
      <c r="G6" s="9" t="n">
        <v>-334.2</v>
      </c>
      <c r="H6" s="9" t="n">
        <v>0</v>
      </c>
      <c r="I6" s="9" t="n">
        <v>3954.91</v>
      </c>
      <c r="J6" s="9" t="n">
        <v>0</v>
      </c>
      <c r="K6" s="9" t="n">
        <v>15</v>
      </c>
      <c r="L6" s="9" t="n">
        <v>0</v>
      </c>
      <c r="M6" s="9" t="n">
        <v>4184.13</v>
      </c>
      <c r="N6" s="9">
        <f>SUM(B6:M6)</f>
        <v/>
      </c>
      <c r="O6" s="9" t="n">
        <v>88.5</v>
      </c>
      <c r="P6" s="9" t="n">
        <v>0</v>
      </c>
      <c r="Q6" s="9" t="n">
        <v>15</v>
      </c>
      <c r="R6" s="9" t="n">
        <v>0</v>
      </c>
      <c r="S6" s="9" t="n">
        <v>0</v>
      </c>
      <c r="T6" s="9" t="n">
        <v>0</v>
      </c>
      <c r="U6" s="9" t="n">
        <v>0</v>
      </c>
      <c r="AA6" s="9">
        <f>SUM(O6:U6)</f>
        <v/>
      </c>
      <c r="AB6" s="9">
        <f>SUM(O6:Z6)</f>
        <v/>
      </c>
      <c r="AC6" s="9" t="n">
        <v>0</v>
      </c>
      <c r="AD6" s="9" t="n">
        <v>0</v>
      </c>
      <c r="AE6" s="9" t="n">
        <v>0</v>
      </c>
      <c r="AF6" s="9" t="n">
        <v>0</v>
      </c>
      <c r="AG6" s="9" t="n">
        <v>0</v>
      </c>
      <c r="AH6" s="9" t="n">
        <v>0</v>
      </c>
      <c r="AI6" s="10">
        <f>SUM(AC6:AH6)</f>
        <v/>
      </c>
      <c r="AJ6" s="9">
        <f>SUM(AC6:AH6)+AI6</f>
        <v/>
      </c>
      <c r="AK6" s="11">
        <f>IF(N6&lt;&gt;0,(AB6-N6)/ABS(N6),0)</f>
        <v/>
      </c>
      <c r="AL6" s="11">
        <f>IF(AB6&lt;&gt;0,(AJ6-AB6)/ABS(AB6),0)</f>
        <v/>
      </c>
    </row>
    <row r="7" ht="13" customHeight="1">
      <c r="A7" s="12" t="inlineStr">
        <is>
          <t>Total Income</t>
        </is>
      </c>
      <c r="B7" s="13">
        <f>B4+B5+B6</f>
        <v/>
      </c>
      <c r="C7" s="13">
        <f>C4+C5+C6</f>
        <v/>
      </c>
      <c r="D7" s="13">
        <f>D4+D5+D6</f>
        <v/>
      </c>
      <c r="E7" s="13">
        <f>E4+E5+E6</f>
        <v/>
      </c>
      <c r="F7" s="13">
        <f>F4+F5+F6</f>
        <v/>
      </c>
      <c r="G7" s="13">
        <f>G4+G5+G6</f>
        <v/>
      </c>
      <c r="H7" s="13">
        <f>H4+H5+H6</f>
        <v/>
      </c>
      <c r="I7" s="13">
        <f>I4+I5+I6</f>
        <v/>
      </c>
      <c r="J7" s="13">
        <f>J4+J5+J6</f>
        <v/>
      </c>
      <c r="K7" s="13">
        <f>K4+K5+K6</f>
        <v/>
      </c>
      <c r="L7" s="13">
        <f>L4+L5+L6</f>
        <v/>
      </c>
      <c r="M7" s="13">
        <f>M4+M5+M6</f>
        <v/>
      </c>
      <c r="N7" s="13">
        <f>N4+N5+N6</f>
        <v/>
      </c>
      <c r="O7" s="13">
        <f>O4+O5+O6</f>
        <v/>
      </c>
      <c r="P7" s="13">
        <f>P4+P5+P6</f>
        <v/>
      </c>
      <c r="Q7" s="13">
        <f>Q4+Q5+Q6</f>
        <v/>
      </c>
      <c r="R7" s="13">
        <f>R4+R5+R6</f>
        <v/>
      </c>
      <c r="S7" s="13">
        <f>S4+S5+S6</f>
        <v/>
      </c>
      <c r="T7" s="13">
        <f>T4+T5+T6</f>
        <v/>
      </c>
      <c r="U7" s="13">
        <f>U4+U5+U6</f>
        <v/>
      </c>
      <c r="V7" s="13">
        <f>V4+V5+V6</f>
        <v/>
      </c>
      <c r="W7" s="13">
        <f>W4+W5+W6</f>
        <v/>
      </c>
      <c r="X7" s="13">
        <f>X4+X5+X6</f>
        <v/>
      </c>
      <c r="Y7" s="13">
        <f>Y4+Y5+Y6</f>
        <v/>
      </c>
      <c r="Z7" s="13">
        <f>Z4+Z5+Z6</f>
        <v/>
      </c>
      <c r="AA7" s="13">
        <f>AA4+AA5+AA6</f>
        <v/>
      </c>
      <c r="AB7" s="13">
        <f>AB4+AB5+AB6</f>
        <v/>
      </c>
      <c r="AC7" s="13">
        <f>AC4+AC5+AC6</f>
        <v/>
      </c>
      <c r="AD7" s="13">
        <f>AD4+AD5+AD6</f>
        <v/>
      </c>
      <c r="AE7" s="13">
        <f>AE4+AE5+AE6</f>
        <v/>
      </c>
      <c r="AF7" s="13">
        <f>AF4+AF5+AF6</f>
        <v/>
      </c>
      <c r="AG7" s="13">
        <f>AG4+AG5+AG6</f>
        <v/>
      </c>
      <c r="AH7" s="13">
        <f>AH4+AH5+AH6</f>
        <v/>
      </c>
      <c r="AI7" s="13">
        <f>AI4+AI5+AI6</f>
        <v/>
      </c>
      <c r="AJ7" s="13">
        <f>AJ4+AJ5+AJ6</f>
        <v/>
      </c>
      <c r="AK7" s="11">
        <f>IF(N7&lt;&gt;0,(AB7-N7)/ABS(N7),0)</f>
        <v/>
      </c>
      <c r="AL7" s="11">
        <f>IF(AB7&lt;&gt;0,(AJ7-AB7)/ABS(AB7),0)</f>
        <v/>
      </c>
    </row>
    <row r="8" ht="5" customHeight="1"/>
    <row r="9" ht="15" customHeight="1">
      <c r="A9" s="7" t="inlineStr">
        <is>
          <t>DIRECT COSTS</t>
        </is>
      </c>
    </row>
    <row r="10" ht="13" customHeight="1">
      <c r="A10" s="14" t="inlineStr">
        <is>
          <t>Personnel</t>
        </is>
      </c>
    </row>
    <row r="11" ht="13" customHeight="1">
      <c r="A11" s="15" t="inlineStr">
        <is>
          <t xml:space="preserve">    Nursery Salaries</t>
        </is>
      </c>
      <c r="B11" s="16" t="n">
        <v>30393.27</v>
      </c>
      <c r="C11" s="16" t="n">
        <v>35155.93</v>
      </c>
      <c r="D11" s="16" t="n">
        <v>30489.76</v>
      </c>
      <c r="E11" s="16" t="n">
        <v>31240.36</v>
      </c>
      <c r="F11" s="16" t="n">
        <v>32288.24</v>
      </c>
      <c r="G11" s="16" t="n">
        <v>31815.08</v>
      </c>
      <c r="H11" s="16" t="n">
        <v>35596.24</v>
      </c>
      <c r="I11" s="16" t="n">
        <v>35686.29</v>
      </c>
      <c r="J11" s="16" t="n">
        <v>38903.68</v>
      </c>
      <c r="K11" s="16" t="n">
        <v>41384.71</v>
      </c>
      <c r="L11" s="16" t="n">
        <v>36944.71</v>
      </c>
      <c r="M11" s="16" t="n">
        <v>35884.94</v>
      </c>
      <c r="N11" s="16">
        <f>SUM(B11:M11)</f>
        <v/>
      </c>
      <c r="O11" s="16" t="n">
        <v>37848.53</v>
      </c>
      <c r="P11" s="16" t="n">
        <v>36916.12</v>
      </c>
      <c r="Q11" s="16" t="n">
        <v>41103.48</v>
      </c>
      <c r="R11" s="16" t="n">
        <v>44693.53</v>
      </c>
      <c r="S11" s="16" t="n">
        <v>43482.05</v>
      </c>
      <c r="T11" s="16" t="n">
        <v>45096.24</v>
      </c>
      <c r="U11" s="16" t="n">
        <v>47153.07</v>
      </c>
      <c r="AA11" s="16">
        <f>SUM(O11:U11)</f>
        <v/>
      </c>
      <c r="AB11" s="16">
        <f>SUM(O11:Z11)</f>
        <v/>
      </c>
      <c r="AC11" s="16" t="n">
        <v>47153.07</v>
      </c>
      <c r="AD11" s="16" t="n">
        <v>47153.07</v>
      </c>
      <c r="AE11" s="16" t="n">
        <v>47153.07</v>
      </c>
      <c r="AF11" s="16" t="n">
        <v>47153.07</v>
      </c>
      <c r="AG11" s="16" t="n">
        <v>47153.07</v>
      </c>
      <c r="AH11" s="16" t="n">
        <v>47153.07</v>
      </c>
      <c r="AI11" s="10">
        <f>SUM(AC11:AH11)</f>
        <v/>
      </c>
      <c r="AJ11" s="16">
        <f>SUM(AC11:AH11)+AI11</f>
        <v/>
      </c>
      <c r="AK11" s="11">
        <f>IF(N11&lt;&gt;0,(AB11-N11)/ABS(N11),0)</f>
        <v/>
      </c>
      <c r="AL11" s="11">
        <f>IF(AB11&lt;&gt;0,(AJ11-AB11)/ABS(AB11),0)</f>
        <v/>
      </c>
    </row>
    <row r="12" ht="13" customHeight="1">
      <c r="A12" s="15" t="inlineStr">
        <is>
          <t xml:space="preserve">    Nursery NI</t>
        </is>
      </c>
      <c r="B12" s="16" t="n">
        <v>2487.86</v>
      </c>
      <c r="C12" s="16" t="n">
        <v>2930.63</v>
      </c>
      <c r="D12" s="16" t="n">
        <v>2468.52</v>
      </c>
      <c r="E12" s="16" t="n">
        <v>3548.23</v>
      </c>
      <c r="F12" s="16" t="n">
        <v>3707.05</v>
      </c>
      <c r="G12" s="16" t="n">
        <v>3481.19</v>
      </c>
      <c r="H12" s="16" t="n">
        <v>3778.98</v>
      </c>
      <c r="I12" s="16" t="n">
        <v>3691.12</v>
      </c>
      <c r="J12" s="16" t="n">
        <v>4117.66</v>
      </c>
      <c r="K12" s="16" t="n">
        <v>4459.07</v>
      </c>
      <c r="L12" s="16" t="n">
        <v>3885.32</v>
      </c>
      <c r="M12" s="16" t="n">
        <v>3732.95</v>
      </c>
      <c r="N12" s="16">
        <f>SUM(B12:M12)</f>
        <v/>
      </c>
      <c r="O12" s="16" t="n">
        <v>4003.51</v>
      </c>
      <c r="P12" s="16" t="n">
        <v>3825.11</v>
      </c>
      <c r="Q12" s="16" t="n">
        <v>4276.89</v>
      </c>
      <c r="R12" s="16" t="n">
        <v>4740.72</v>
      </c>
      <c r="S12" s="16" t="n">
        <v>4313</v>
      </c>
      <c r="T12" s="16" t="n">
        <v>4550.82</v>
      </c>
      <c r="U12" s="16" t="n">
        <v>4813.83</v>
      </c>
      <c r="AA12" s="16">
        <f>SUM(O12:U12)</f>
        <v/>
      </c>
      <c r="AB12" s="16">
        <f>SUM(O12:Z12)</f>
        <v/>
      </c>
      <c r="AC12" s="16" t="n">
        <v>4813.83</v>
      </c>
      <c r="AD12" s="16" t="n">
        <v>4813.83</v>
      </c>
      <c r="AE12" s="16" t="n">
        <v>4813.83</v>
      </c>
      <c r="AF12" s="16" t="n">
        <v>4813.83</v>
      </c>
      <c r="AG12" s="16" t="n">
        <v>4813.83</v>
      </c>
      <c r="AH12" s="16" t="n">
        <v>4813.83</v>
      </c>
      <c r="AI12" s="10">
        <f>SUM(AC12:AH12)</f>
        <v/>
      </c>
      <c r="AJ12" s="16">
        <f>SUM(AC12:AH12)+AI12</f>
        <v/>
      </c>
      <c r="AK12" s="11">
        <f>IF(N12&lt;&gt;0,(AB12-N12)/ABS(N12),0)</f>
        <v/>
      </c>
      <c r="AL12" s="11">
        <f>IF(AB12&lt;&gt;0,(AJ12-AB12)/ABS(AB12),0)</f>
        <v/>
      </c>
    </row>
    <row r="13" ht="13" customHeight="1">
      <c r="A13" s="15" t="inlineStr">
        <is>
          <t xml:space="preserve">    Nursery Pension</t>
        </is>
      </c>
      <c r="B13" s="16" t="n">
        <v>640.72</v>
      </c>
      <c r="C13" s="16" t="n">
        <v>686.54</v>
      </c>
      <c r="D13" s="16" t="n">
        <v>573.96</v>
      </c>
      <c r="E13" s="16" t="n">
        <v>601.96</v>
      </c>
      <c r="F13" s="16" t="n">
        <v>635.53</v>
      </c>
      <c r="G13" s="16" t="n">
        <v>557.1799999999999</v>
      </c>
      <c r="H13" s="16" t="n">
        <v>710.87</v>
      </c>
      <c r="I13" s="16" t="n">
        <v>676.8</v>
      </c>
      <c r="J13" s="16" t="n">
        <v>643.28</v>
      </c>
      <c r="K13" s="16" t="n">
        <v>675.99</v>
      </c>
      <c r="L13" s="16" t="n">
        <v>679.1799999999999</v>
      </c>
      <c r="M13" s="16" t="n">
        <v>701.47</v>
      </c>
      <c r="N13" s="16">
        <f>SUM(B13:M13)</f>
        <v/>
      </c>
      <c r="O13" s="16" t="n">
        <v>740.2</v>
      </c>
      <c r="P13" s="16" t="n">
        <v>688.26</v>
      </c>
      <c r="Q13" s="16" t="n">
        <v>682.22</v>
      </c>
      <c r="R13" s="16" t="n">
        <v>784.1799999999999</v>
      </c>
      <c r="S13" s="16" t="n">
        <v>758.1</v>
      </c>
      <c r="T13" s="16" t="n">
        <v>767.1</v>
      </c>
      <c r="U13" s="16" t="n">
        <v>843.4</v>
      </c>
      <c r="AA13" s="16">
        <f>SUM(O13:U13)</f>
        <v/>
      </c>
      <c r="AB13" s="16">
        <f>SUM(O13:Z13)</f>
        <v/>
      </c>
      <c r="AC13" s="16" t="n">
        <v>843.4</v>
      </c>
      <c r="AD13" s="16" t="n">
        <v>843.4</v>
      </c>
      <c r="AE13" s="16" t="n">
        <v>843.4</v>
      </c>
      <c r="AF13" s="16" t="n">
        <v>843.4</v>
      </c>
      <c r="AG13" s="16" t="n">
        <v>843.4</v>
      </c>
      <c r="AH13" s="16" t="n">
        <v>843.4</v>
      </c>
      <c r="AI13" s="10">
        <f>SUM(AC13:AH13)</f>
        <v/>
      </c>
      <c r="AJ13" s="16">
        <f>SUM(AC13:AH13)+AI13</f>
        <v/>
      </c>
      <c r="AK13" s="11">
        <f>IF(N13&lt;&gt;0,(AB13-N13)/ABS(N13),0)</f>
        <v/>
      </c>
      <c r="AL13" s="11">
        <f>IF(AB13&lt;&gt;0,(AJ13-AB13)/ABS(AB13),0)</f>
        <v/>
      </c>
    </row>
    <row r="14" ht="13" customHeight="1">
      <c r="A14" s="15" t="inlineStr">
        <is>
          <t xml:space="preserve">    Uniform</t>
        </is>
      </c>
      <c r="B14" s="16" t="n">
        <v>231.36</v>
      </c>
      <c r="C14" s="16" t="n">
        <v>161.76</v>
      </c>
      <c r="D14" s="16" t="n">
        <v>0</v>
      </c>
      <c r="E14" s="16" t="n">
        <v>0</v>
      </c>
      <c r="F14" s="16" t="n">
        <v>187.5</v>
      </c>
      <c r="G14" s="16" t="n">
        <v>0</v>
      </c>
      <c r="H14" s="16" t="n">
        <v>0</v>
      </c>
      <c r="I14" s="16" t="n">
        <v>0</v>
      </c>
      <c r="J14" s="16" t="n">
        <v>187.2</v>
      </c>
      <c r="K14" s="16" t="n">
        <v>276.84</v>
      </c>
      <c r="L14" s="16" t="n">
        <v>0</v>
      </c>
      <c r="M14" s="16" t="n">
        <v>0</v>
      </c>
      <c r="N14" s="16">
        <f>SUM(B14:M14)</f>
        <v/>
      </c>
      <c r="O14" s="16" t="n">
        <v>0</v>
      </c>
      <c r="P14" s="16" t="n">
        <v>466.8</v>
      </c>
      <c r="Q14" s="16" t="n">
        <v>12.72</v>
      </c>
      <c r="R14" s="16" t="n">
        <v>0</v>
      </c>
      <c r="S14" s="16" t="n">
        <v>0</v>
      </c>
      <c r="T14" s="16" t="n">
        <v>201.96</v>
      </c>
      <c r="U14" s="16" t="n">
        <v>0</v>
      </c>
      <c r="AA14" s="16">
        <f>SUM(O14:U14)</f>
        <v/>
      </c>
      <c r="AB14" s="16">
        <f>SUM(O14:Z14)</f>
        <v/>
      </c>
      <c r="AC14" s="16" t="n">
        <v>49</v>
      </c>
      <c r="AD14" s="16" t="n">
        <v>49</v>
      </c>
      <c r="AE14" s="16" t="n">
        <v>49</v>
      </c>
      <c r="AF14" s="16" t="n">
        <v>49</v>
      </c>
      <c r="AG14" s="16" t="n">
        <v>49</v>
      </c>
      <c r="AH14" s="16" t="n">
        <v>49</v>
      </c>
      <c r="AI14" s="10">
        <f>SUM(AC14:AH14)</f>
        <v/>
      </c>
      <c r="AJ14" s="16">
        <f>SUM(AC14:AH14)+AI14</f>
        <v/>
      </c>
      <c r="AK14" s="11">
        <f>IF(N14&lt;&gt;0,(AB14-N14)/ABS(N14),0)</f>
        <v/>
      </c>
      <c r="AL14" s="11">
        <f>IF(AB14&lt;&gt;0,(AJ14-AB14)/ABS(AB14),0)</f>
        <v/>
      </c>
    </row>
    <row r="15" ht="13" customHeight="1">
      <c r="A15" s="15" t="inlineStr">
        <is>
          <t xml:space="preserve">    Training</t>
        </is>
      </c>
      <c r="B15" s="16" t="n">
        <v>0</v>
      </c>
      <c r="C15" s="16" t="n">
        <v>50</v>
      </c>
      <c r="D15" s="16" t="n">
        <v>50</v>
      </c>
      <c r="E15" s="16" t="n">
        <v>0</v>
      </c>
      <c r="F15" s="16" t="n">
        <v>50</v>
      </c>
      <c r="G15" s="16" t="n">
        <v>0</v>
      </c>
      <c r="H15" s="16" t="n">
        <v>37.2</v>
      </c>
      <c r="I15" s="16" t="n">
        <v>0</v>
      </c>
      <c r="J15" s="16" t="n">
        <v>175</v>
      </c>
      <c r="K15" s="16" t="n">
        <v>35</v>
      </c>
      <c r="L15" s="16" t="n">
        <v>0</v>
      </c>
      <c r="M15" s="16" t="n">
        <v>0</v>
      </c>
      <c r="N15" s="16">
        <f>SUM(B15:M15)</f>
        <v/>
      </c>
      <c r="O15" s="16" t="n">
        <v>35</v>
      </c>
      <c r="P15" s="16" t="n">
        <v>816</v>
      </c>
      <c r="Q15" s="16" t="n">
        <v>336</v>
      </c>
      <c r="R15" s="16" t="n">
        <v>228</v>
      </c>
      <c r="S15" s="16" t="n">
        <v>0</v>
      </c>
      <c r="T15" s="16" t="n">
        <v>0</v>
      </c>
      <c r="U15" s="16" t="n">
        <v>0</v>
      </c>
      <c r="AA15" s="16">
        <f>SUM(O15:U15)</f>
        <v/>
      </c>
      <c r="AB15" s="16">
        <f>SUM(O15:Z15)</f>
        <v/>
      </c>
      <c r="AC15" s="16" t="n">
        <v>100</v>
      </c>
      <c r="AD15" s="16" t="n">
        <v>100</v>
      </c>
      <c r="AE15" s="16" t="n">
        <v>100</v>
      </c>
      <c r="AF15" s="16" t="n">
        <v>100</v>
      </c>
      <c r="AG15" s="16" t="n">
        <v>100</v>
      </c>
      <c r="AH15" s="16" t="n">
        <v>100</v>
      </c>
      <c r="AI15" s="10">
        <f>SUM(AC15:AH15)</f>
        <v/>
      </c>
      <c r="AJ15" s="16">
        <f>SUM(AC15:AH15)+AI15</f>
        <v/>
      </c>
      <c r="AK15" s="11">
        <f>IF(N15&lt;&gt;0,(AB15-N15)/ABS(N15),0)</f>
        <v/>
      </c>
      <c r="AL15" s="11">
        <f>IF(AB15&lt;&gt;0,(AJ15-AB15)/ABS(AB15),0)</f>
        <v/>
      </c>
    </row>
    <row r="16" ht="13" customHeight="1">
      <c r="A16" s="15" t="inlineStr">
        <is>
          <t xml:space="preserve">    Staff Welfare</t>
        </is>
      </c>
      <c r="B16" s="16" t="n">
        <v>0</v>
      </c>
      <c r="C16" s="16" t="n">
        <v>97.42</v>
      </c>
      <c r="D16" s="16" t="n">
        <v>124.67</v>
      </c>
      <c r="E16" s="16" t="n">
        <v>125.05</v>
      </c>
      <c r="F16" s="16" t="n">
        <v>146.5</v>
      </c>
      <c r="G16" s="16" t="n">
        <v>256.75</v>
      </c>
      <c r="H16" s="16" t="n">
        <v>208.36</v>
      </c>
      <c r="I16" s="16" t="n">
        <v>258.4</v>
      </c>
      <c r="J16" s="16" t="n">
        <v>178.56</v>
      </c>
      <c r="K16" s="16" t="n">
        <v>385.43</v>
      </c>
      <c r="L16" s="16" t="n">
        <v>183.22</v>
      </c>
      <c r="M16" s="16" t="n">
        <v>207.28</v>
      </c>
      <c r="N16" s="16">
        <f>SUM(B16:M16)</f>
        <v/>
      </c>
      <c r="O16" s="16" t="n">
        <v>294.86</v>
      </c>
      <c r="P16" s="16" t="n">
        <v>200.98</v>
      </c>
      <c r="Q16" s="16" t="n">
        <v>428.89</v>
      </c>
      <c r="R16" s="16" t="n">
        <v>243.11</v>
      </c>
      <c r="S16" s="16" t="n">
        <v>306.62</v>
      </c>
      <c r="T16" s="16" t="n">
        <v>577.88</v>
      </c>
      <c r="U16" s="16" t="n">
        <v>375.37</v>
      </c>
      <c r="AA16" s="16">
        <f>SUM(O16:U16)</f>
        <v/>
      </c>
      <c r="AB16" s="16">
        <f>SUM(O16:Z16)</f>
        <v/>
      </c>
      <c r="AC16" s="16" t="n">
        <v>100</v>
      </c>
      <c r="AD16" s="16" t="n">
        <v>100</v>
      </c>
      <c r="AE16" s="16" t="n">
        <v>100</v>
      </c>
      <c r="AF16" s="16" t="n">
        <v>100</v>
      </c>
      <c r="AG16" s="16" t="n">
        <v>100</v>
      </c>
      <c r="AH16" s="16" t="n">
        <v>100</v>
      </c>
      <c r="AI16" s="10">
        <f>SUM(AC16:AH16)</f>
        <v/>
      </c>
      <c r="AJ16" s="16">
        <f>SUM(AC16:AH16)+AI16</f>
        <v/>
      </c>
      <c r="AK16" s="11">
        <f>IF(N16&lt;&gt;0,(AB16-N16)/ABS(N16),0)</f>
        <v/>
      </c>
      <c r="AL16" s="11">
        <f>IF(AB16&lt;&gt;0,(AJ16-AB16)/ABS(AB16),0)</f>
        <v/>
      </c>
    </row>
    <row r="17" ht="13" customHeight="1">
      <c r="A17" s="15" t="inlineStr">
        <is>
          <t xml:space="preserve">    Recruitment</t>
        </is>
      </c>
      <c r="B17" s="16" t="n">
        <v>0</v>
      </c>
      <c r="C17" s="16" t="n">
        <v>0</v>
      </c>
      <c r="D17" s="16" t="n">
        <v>0</v>
      </c>
      <c r="E17" s="16" t="n">
        <v>0</v>
      </c>
      <c r="F17" s="16" t="n">
        <v>0</v>
      </c>
      <c r="G17" s="16" t="n">
        <v>0</v>
      </c>
      <c r="H17" s="16" t="n">
        <v>0</v>
      </c>
      <c r="I17" s="16" t="n">
        <v>0</v>
      </c>
      <c r="J17" s="16" t="n">
        <v>0</v>
      </c>
      <c r="K17" s="16" t="n">
        <v>0</v>
      </c>
      <c r="L17" s="16" t="n">
        <v>0</v>
      </c>
      <c r="M17" s="16" t="n">
        <v>0</v>
      </c>
      <c r="N17" s="16">
        <f>SUM(B17:M17)</f>
        <v/>
      </c>
      <c r="O17" s="16" t="n">
        <v>0</v>
      </c>
      <c r="P17" s="16" t="n">
        <v>0</v>
      </c>
      <c r="Q17" s="16" t="n">
        <v>0</v>
      </c>
      <c r="R17" s="16" t="n">
        <v>0</v>
      </c>
      <c r="S17" s="16" t="n">
        <v>0</v>
      </c>
      <c r="T17" s="16" t="n">
        <v>0</v>
      </c>
      <c r="U17" s="16" t="n">
        <v>0</v>
      </c>
      <c r="V17" s="16" t="n">
        <v>0</v>
      </c>
      <c r="W17" s="16" t="n">
        <v>0</v>
      </c>
      <c r="X17" s="16" t="n">
        <v>0</v>
      </c>
      <c r="Y17" s="16" t="n">
        <v>0</v>
      </c>
      <c r="Z17" s="16" t="n">
        <v>0</v>
      </c>
      <c r="AA17" s="16">
        <f>SUM(O17:U17)</f>
        <v/>
      </c>
      <c r="AB17" s="16">
        <f>SUM(O17:Z17)</f>
        <v/>
      </c>
      <c r="AC17" s="16" t="n">
        <v>0</v>
      </c>
      <c r="AD17" s="16" t="n">
        <v>0</v>
      </c>
      <c r="AE17" s="16" t="n">
        <v>0</v>
      </c>
      <c r="AF17" s="16" t="n">
        <v>0</v>
      </c>
      <c r="AG17" s="16" t="n">
        <v>0</v>
      </c>
      <c r="AH17" s="16" t="n">
        <v>0</v>
      </c>
      <c r="AI17" s="10">
        <f>SUM(AC17:AH17)</f>
        <v/>
      </c>
      <c r="AJ17" s="16">
        <f>SUM(AC17:AH17)+AI17</f>
        <v/>
      </c>
      <c r="AK17" s="11">
        <f>IF(N17&lt;&gt;0,(AB17-N17)/ABS(N17),0)</f>
        <v/>
      </c>
      <c r="AL17" s="11">
        <f>IF(AB17&lt;&gt;0,(AJ17-AB17)/ABS(AB17),0)</f>
        <v/>
      </c>
    </row>
    <row r="18" ht="13" customHeight="1">
      <c r="A18" s="15" t="inlineStr">
        <is>
          <t xml:space="preserve">    Rewards &amp; Recognition</t>
        </is>
      </c>
      <c r="B18" s="16" t="n">
        <v>0</v>
      </c>
      <c r="C18" s="16" t="n">
        <v>0</v>
      </c>
      <c r="D18" s="16" t="n">
        <v>0</v>
      </c>
      <c r="E18" s="16" t="n">
        <v>0</v>
      </c>
      <c r="F18" s="16" t="n">
        <v>0</v>
      </c>
      <c r="G18" s="16" t="n">
        <v>0</v>
      </c>
      <c r="H18" s="16" t="n">
        <v>0</v>
      </c>
      <c r="I18" s="16" t="n">
        <v>0</v>
      </c>
      <c r="J18" s="16" t="n">
        <v>0</v>
      </c>
      <c r="K18" s="16" t="n">
        <v>0</v>
      </c>
      <c r="L18" s="16" t="n">
        <v>0</v>
      </c>
      <c r="M18" s="16" t="n">
        <v>81.26000000000001</v>
      </c>
      <c r="N18" s="16">
        <f>SUM(B18:M18)</f>
        <v/>
      </c>
      <c r="O18" s="16" t="n">
        <v>0</v>
      </c>
      <c r="P18" s="16" t="n">
        <v>0</v>
      </c>
      <c r="Q18" s="16" t="n">
        <v>105</v>
      </c>
      <c r="R18" s="16" t="n">
        <v>11.89</v>
      </c>
      <c r="S18" s="16" t="n">
        <v>56.95</v>
      </c>
      <c r="T18" s="16" t="n">
        <v>0</v>
      </c>
      <c r="U18" s="16" t="n">
        <v>10.98</v>
      </c>
      <c r="AA18" s="16">
        <f>SUM(O18:U18)</f>
        <v/>
      </c>
      <c r="AB18" s="16">
        <f>SUM(O18:Z18)</f>
        <v/>
      </c>
      <c r="AC18" s="16" t="n">
        <v>42</v>
      </c>
      <c r="AD18" s="16" t="n">
        <v>42</v>
      </c>
      <c r="AE18" s="16" t="n">
        <v>42</v>
      </c>
      <c r="AF18" s="16" t="n">
        <v>42</v>
      </c>
      <c r="AG18" s="16" t="n">
        <v>42</v>
      </c>
      <c r="AH18" s="16" t="n">
        <v>42</v>
      </c>
      <c r="AI18" s="10">
        <f>SUM(AC18:AH18)</f>
        <v/>
      </c>
      <c r="AJ18" s="16">
        <f>SUM(AC18:AH18)+AI18</f>
        <v/>
      </c>
      <c r="AK18" s="11">
        <f>IF(N18&lt;&gt;0,(AB18-N18)/ABS(N18),0)</f>
        <v/>
      </c>
      <c r="AL18" s="11">
        <f>IF(AB18&lt;&gt;0,(AJ18-AB18)/ABS(AB18),0)</f>
        <v/>
      </c>
    </row>
    <row r="19" ht="13" customHeight="1">
      <c r="A19" s="15" t="inlineStr">
        <is>
          <t xml:space="preserve">    Temps</t>
        </is>
      </c>
      <c r="B19" s="16" t="n">
        <v>0</v>
      </c>
      <c r="C19" s="16" t="n">
        <v>0</v>
      </c>
      <c r="D19" s="16" t="n">
        <v>0</v>
      </c>
      <c r="E19" s="16" t="n">
        <v>0</v>
      </c>
      <c r="F19" s="16" t="n">
        <v>0</v>
      </c>
      <c r="G19" s="16" t="n">
        <v>0</v>
      </c>
      <c r="H19" s="16" t="n">
        <v>0</v>
      </c>
      <c r="I19" s="16" t="n">
        <v>0</v>
      </c>
      <c r="J19" s="16" t="n">
        <v>0</v>
      </c>
      <c r="K19" s="16" t="n">
        <v>0</v>
      </c>
      <c r="L19" s="16" t="n">
        <v>0</v>
      </c>
      <c r="M19" s="16" t="n">
        <v>0</v>
      </c>
      <c r="N19" s="16">
        <f>SUM(B19:M19)</f>
        <v/>
      </c>
      <c r="O19" s="16" t="n">
        <v>0</v>
      </c>
      <c r="P19" s="16" t="n">
        <v>0</v>
      </c>
      <c r="Q19" s="16" t="n">
        <v>0</v>
      </c>
      <c r="R19" s="16" t="n">
        <v>0</v>
      </c>
      <c r="S19" s="16" t="n">
        <v>0</v>
      </c>
      <c r="T19" s="16" t="n">
        <v>0</v>
      </c>
      <c r="U19" s="16" t="n">
        <v>0</v>
      </c>
      <c r="V19" s="16" t="n">
        <v>0</v>
      </c>
      <c r="W19" s="16" t="n">
        <v>0</v>
      </c>
      <c r="X19" s="16" t="n">
        <v>0</v>
      </c>
      <c r="Y19" s="16" t="n">
        <v>0</v>
      </c>
      <c r="Z19" s="16" t="n">
        <v>0</v>
      </c>
      <c r="AA19" s="16">
        <f>SUM(O19:U19)</f>
        <v/>
      </c>
      <c r="AB19" s="16">
        <f>SUM(O19:Z19)</f>
        <v/>
      </c>
      <c r="AC19" s="16" t="n">
        <v>0</v>
      </c>
      <c r="AD19" s="16" t="n">
        <v>0</v>
      </c>
      <c r="AE19" s="16" t="n">
        <v>0</v>
      </c>
      <c r="AF19" s="16" t="n">
        <v>0</v>
      </c>
      <c r="AG19" s="16" t="n">
        <v>0</v>
      </c>
      <c r="AH19" s="16" t="n">
        <v>0</v>
      </c>
      <c r="AI19" s="10">
        <f>SUM(AC19:AH19)</f>
        <v/>
      </c>
      <c r="AJ19" s="16">
        <f>SUM(AC19:AH19)+AI19</f>
        <v/>
      </c>
      <c r="AK19" s="11">
        <f>IF(N19&lt;&gt;0,(AB19-N19)/ABS(N19),0)</f>
        <v/>
      </c>
      <c r="AL19" s="11">
        <f>IF(AB19&lt;&gt;0,(AJ19-AB19)/ABS(AB19),0)</f>
        <v/>
      </c>
    </row>
    <row r="20" ht="13" customHeight="1">
      <c r="A20" s="17" t="inlineStr">
        <is>
          <t>Total Personnel</t>
        </is>
      </c>
      <c r="B20" s="18">
        <f>B11+B12+B13+B14+B15+B16+B17+B18+B19</f>
        <v/>
      </c>
      <c r="C20" s="18">
        <f>C11+C12+C13+C14+C15+C16+C17+C18+C19</f>
        <v/>
      </c>
      <c r="D20" s="18">
        <f>D11+D12+D13+D14+D15+D16+D17+D18+D19</f>
        <v/>
      </c>
      <c r="E20" s="18">
        <f>E11+E12+E13+E14+E15+E16+E17+E18+E19</f>
        <v/>
      </c>
      <c r="F20" s="18">
        <f>F11+F12+F13+F14+F15+F16+F17+F18+F19</f>
        <v/>
      </c>
      <c r="G20" s="18">
        <f>G11+G12+G13+G14+G15+G16+G17+G18+G19</f>
        <v/>
      </c>
      <c r="H20" s="18">
        <f>H11+H12+H13+H14+H15+H16+H17+H18+H19</f>
        <v/>
      </c>
      <c r="I20" s="18">
        <f>I11+I12+I13+I14+I15+I16+I17+I18+I19</f>
        <v/>
      </c>
      <c r="J20" s="18">
        <f>J11+J12+J13+J14+J15+J16+J17+J18+J19</f>
        <v/>
      </c>
      <c r="K20" s="18">
        <f>K11+K12+K13+K14+K15+K16+K17+K18+K19</f>
        <v/>
      </c>
      <c r="L20" s="18">
        <f>L11+L12+L13+L14+L15+L16+L17+L18+L19</f>
        <v/>
      </c>
      <c r="M20" s="18">
        <f>M11+M12+M13+M14+M15+M16+M17+M18+M19</f>
        <v/>
      </c>
      <c r="N20" s="18">
        <f>N11+N12+N13+N14+N15+N16+N17+N18+N19</f>
        <v/>
      </c>
      <c r="O20" s="18">
        <f>O11+O12+O13+O14+O15+O16+O17+O18+O19</f>
        <v/>
      </c>
      <c r="P20" s="18">
        <f>P11+P12+P13+P14+P15+P16+P17+P18+P19</f>
        <v/>
      </c>
      <c r="Q20" s="18">
        <f>Q11+Q12+Q13+Q14+Q15+Q16+Q17+Q18+Q19</f>
        <v/>
      </c>
      <c r="R20" s="18">
        <f>R11+R12+R13+R14+R15+R16+R17+R18+R19</f>
        <v/>
      </c>
      <c r="S20" s="18">
        <f>S11+S12+S13+S14+S15+S16+S17+S18+S19</f>
        <v/>
      </c>
      <c r="T20" s="18">
        <f>T11+T12+T13+T14+T15+T16+T17+T18+T19</f>
        <v/>
      </c>
      <c r="U20" s="18">
        <f>U11+U12+U13+U14+U15+U16+U17+U18+U19</f>
        <v/>
      </c>
      <c r="V20" s="18">
        <f>V11+V12+V13+V14+V15+V16+V17+V18+V19</f>
        <v/>
      </c>
      <c r="W20" s="18">
        <f>W11+W12+W13+W14+W15+W16+W17+W18+W19</f>
        <v/>
      </c>
      <c r="X20" s="18">
        <f>X11+X12+X13+X14+X15+X16+X17+X18+X19</f>
        <v/>
      </c>
      <c r="Y20" s="18">
        <f>Y11+Y12+Y13+Y14+Y15+Y16+Y17+Y18+Y19</f>
        <v/>
      </c>
      <c r="Z20" s="18">
        <f>Z11+Z12+Z13+Z14+Z15+Z16+Z17+Z18+Z19</f>
        <v/>
      </c>
      <c r="AA20" s="18">
        <f>AA11+AA12+AA13+AA14+AA15+AA16+AA17+AA18+AA19</f>
        <v/>
      </c>
      <c r="AB20" s="18">
        <f>AB11+AB12+AB13+AB14+AB15+AB16+AB17+AB18+AB19</f>
        <v/>
      </c>
      <c r="AC20" s="18">
        <f>AC11+AC12+AC13+AC14+AC15+AC16+AC17+AC18+AC19</f>
        <v/>
      </c>
      <c r="AD20" s="18">
        <f>AD11+AD12+AD13+AD14+AD15+AD16+AD17+AD18+AD19</f>
        <v/>
      </c>
      <c r="AE20" s="18">
        <f>AE11+AE12+AE13+AE14+AE15+AE16+AE17+AE18+AE19</f>
        <v/>
      </c>
      <c r="AF20" s="18">
        <f>AF11+AF12+AF13+AF14+AF15+AF16+AF17+AF18+AF19</f>
        <v/>
      </c>
      <c r="AG20" s="18">
        <f>AG11+AG12+AG13+AG14+AG15+AG16+AG17+AG18+AG19</f>
        <v/>
      </c>
      <c r="AH20" s="18">
        <f>AH11+AH12+AH13+AH14+AH15+AH16+AH17+AH18+AH19</f>
        <v/>
      </c>
      <c r="AI20" s="18">
        <f>AI11+AI12+AI13+AI14+AI15+AI16+AI17+AI18+AI19</f>
        <v/>
      </c>
      <c r="AJ20" s="18">
        <f>AJ11+AJ12+AJ13+AJ14+AJ15+AJ16+AJ17+AJ18+AJ19</f>
        <v/>
      </c>
      <c r="AK20" s="11">
        <f>IF(N20&lt;&gt;0,(AB20-N20)/ABS(N20),0)</f>
        <v/>
      </c>
      <c r="AL20" s="11">
        <f>IF(AB20&lt;&gt;0,(AJ20-AB20)/ABS(AB20),0)</f>
        <v/>
      </c>
    </row>
    <row r="21" ht="13" customHeight="1">
      <c r="A21" s="19" t="inlineStr">
        <is>
          <t xml:space="preserve">    Sal:Rev</t>
        </is>
      </c>
      <c r="B21" s="20">
        <f>IF(B7&gt;0,B20/B7,0)</f>
        <v/>
      </c>
      <c r="C21" s="20">
        <f>IF(C7&gt;0,C20/C7,0)</f>
        <v/>
      </c>
      <c r="D21" s="20">
        <f>IF(D7&gt;0,D20/D7,0)</f>
        <v/>
      </c>
      <c r="E21" s="20">
        <f>IF(E7&gt;0,E20/E7,0)</f>
        <v/>
      </c>
      <c r="F21" s="20">
        <f>IF(F7&gt;0,F20/F7,0)</f>
        <v/>
      </c>
      <c r="G21" s="20">
        <f>IF(G7&gt;0,G20/G7,0)</f>
        <v/>
      </c>
      <c r="H21" s="20">
        <f>IF(H7&gt;0,H20/H7,0)</f>
        <v/>
      </c>
      <c r="I21" s="20">
        <f>IF(I7&gt;0,I20/I7,0)</f>
        <v/>
      </c>
      <c r="J21" s="20">
        <f>IF(J7&gt;0,J20/J7,0)</f>
        <v/>
      </c>
      <c r="K21" s="20">
        <f>IF(K7&gt;0,K20/K7,0)</f>
        <v/>
      </c>
      <c r="L21" s="20">
        <f>IF(L7&gt;0,L20/L7,0)</f>
        <v/>
      </c>
      <c r="M21" s="20">
        <f>IF(M7&gt;0,M20/M7,0)</f>
        <v/>
      </c>
      <c r="N21" s="20">
        <f>IF(N7&gt;0,N20/N7,0)</f>
        <v/>
      </c>
      <c r="O21" s="20">
        <f>IF(O7&gt;0,O20/O7,0)</f>
        <v/>
      </c>
      <c r="P21" s="20">
        <f>IF(P7&gt;0,P20/P7,0)</f>
        <v/>
      </c>
      <c r="Q21" s="20">
        <f>IF(Q7&gt;0,Q20/Q7,0)</f>
        <v/>
      </c>
      <c r="R21" s="20">
        <f>IF(R7&gt;0,R20/R7,0)</f>
        <v/>
      </c>
      <c r="S21" s="20">
        <f>IF(S7&gt;0,S20/S7,0)</f>
        <v/>
      </c>
      <c r="T21" s="20">
        <f>IF(T7&gt;0,T20/T7,0)</f>
        <v/>
      </c>
      <c r="U21" s="20">
        <f>IF(U7&gt;0,U20/U7,0)</f>
        <v/>
      </c>
      <c r="V21" s="20">
        <f>IF(V7&gt;0,V20/V7,0)</f>
        <v/>
      </c>
      <c r="W21" s="20">
        <f>IF(W7&gt;0,W20/W7,0)</f>
        <v/>
      </c>
      <c r="X21" s="20">
        <f>IF(X7&gt;0,X20/X7,0)</f>
        <v/>
      </c>
      <c r="Y21" s="20">
        <f>IF(Y7&gt;0,Y20/Y7,0)</f>
        <v/>
      </c>
      <c r="Z21" s="20">
        <f>IF(Z7&gt;0,Z20/Z7,0)</f>
        <v/>
      </c>
      <c r="AA21" s="20">
        <f>IF(AA7&gt;0,AA20/AA7,0)</f>
        <v/>
      </c>
      <c r="AB21" s="20">
        <f>IF(AB7&gt;0,AB20/AB7,0)</f>
        <v/>
      </c>
      <c r="AC21" s="20">
        <f>IF(AC7&gt;0,AC20/AC7,0)</f>
        <v/>
      </c>
      <c r="AD21" s="20">
        <f>IF(AD7&gt;0,AD20/AD7,0)</f>
        <v/>
      </c>
      <c r="AE21" s="20">
        <f>IF(AE7&gt;0,AE20/AE7,0)</f>
        <v/>
      </c>
      <c r="AF21" s="20">
        <f>IF(AF7&gt;0,AF20/AF7,0)</f>
        <v/>
      </c>
      <c r="AG21" s="20">
        <f>IF(AG7&gt;0,AG20/AG7,0)</f>
        <v/>
      </c>
      <c r="AH21" s="20">
        <f>IF(AH7&gt;0,AH20/AH7,0)</f>
        <v/>
      </c>
      <c r="AI21" s="20">
        <f>IF(AI7&gt;0,AI20/AI7,0)</f>
        <v/>
      </c>
      <c r="AJ21" s="20">
        <f>IF(AJ7&gt;0,AJ20/AJ7,0)</f>
        <v/>
      </c>
    </row>
    <row r="22" ht="5" customHeight="1"/>
    <row r="23" ht="13" customHeight="1">
      <c r="A23" s="14" t="inlineStr">
        <is>
          <t>Childcare</t>
        </is>
      </c>
    </row>
    <row r="24" ht="13" customHeight="1">
      <c r="A24" s="21" t="inlineStr">
        <is>
          <t xml:space="preserve">    Catering Costs</t>
        </is>
      </c>
      <c r="N24" s="22">
        <f>SUM(B24:M24)</f>
        <v/>
      </c>
      <c r="O24" s="22" t="n">
        <v>1657.73</v>
      </c>
      <c r="P24" s="22" t="n">
        <v>2323.72</v>
      </c>
      <c r="Q24" s="22" t="n">
        <v>2282.6</v>
      </c>
      <c r="R24" s="22" t="n">
        <v>2212.08</v>
      </c>
      <c r="S24" s="22" t="n">
        <v>1953.08</v>
      </c>
      <c r="T24" s="22" t="n">
        <v>2585.29</v>
      </c>
      <c r="U24" s="22" t="n">
        <v>2105.23</v>
      </c>
      <c r="V24" s="22" t="n">
        <v>1937.4888</v>
      </c>
      <c r="W24" s="22" t="n">
        <v>2484.6744</v>
      </c>
      <c r="X24" s="22" t="n">
        <v>2600.0832</v>
      </c>
      <c r="Y24" s="22" t="n">
        <v>2705.4456</v>
      </c>
      <c r="Z24" s="22" t="n">
        <v>2722.4184</v>
      </c>
      <c r="AA24" s="22">
        <f>SUM(O24:U24)</f>
        <v/>
      </c>
      <c r="AB24" s="22">
        <f>SUM(O24:Z24)</f>
        <v/>
      </c>
      <c r="AC24" s="22" t="n">
        <v>3014.120616</v>
      </c>
      <c r="AD24" s="22" t="n">
        <v>2858.653824</v>
      </c>
      <c r="AE24" s="22" t="n">
        <v>3436.544592</v>
      </c>
      <c r="AF24" s="22" t="n">
        <v>2585.557104</v>
      </c>
      <c r="AG24" s="22" t="n">
        <v>2311.343424</v>
      </c>
      <c r="AH24" s="22" t="n">
        <v>2611.802544</v>
      </c>
      <c r="AI24" s="10">
        <f>SUM(AC24:AH24)</f>
        <v/>
      </c>
      <c r="AJ24" s="22">
        <f>SUM(AC24:AH24)+AI24</f>
        <v/>
      </c>
      <c r="AK24" s="11">
        <f>IF(N24&lt;&gt;0,(AB24-N24)/ABS(N24),0)</f>
        <v/>
      </c>
      <c r="AL24" s="11">
        <f>IF(AB24&lt;&gt;0,(AJ24-AB24)/ABS(AB24),0)</f>
        <v/>
      </c>
    </row>
    <row r="25" ht="13" customHeight="1">
      <c r="A25" s="21" t="inlineStr">
        <is>
          <t xml:space="preserve">    Toys and Games</t>
        </is>
      </c>
      <c r="B25" s="22" t="n">
        <v>68.40000000000001</v>
      </c>
      <c r="C25" s="22" t="n">
        <v>128.78</v>
      </c>
      <c r="D25" s="22" t="n">
        <v>85.5</v>
      </c>
      <c r="E25" s="22" t="n">
        <v>83.75</v>
      </c>
      <c r="F25" s="22" t="n">
        <v>195.42</v>
      </c>
      <c r="G25" s="22" t="n">
        <v>104.04</v>
      </c>
      <c r="H25" s="22" t="n">
        <v>328.45</v>
      </c>
      <c r="I25" s="22" t="n">
        <v>78.45</v>
      </c>
      <c r="J25" s="22" t="n">
        <v>37.86</v>
      </c>
      <c r="K25" s="22" t="n">
        <v>97.79000000000001</v>
      </c>
      <c r="L25" s="22" t="n">
        <v>65.98999999999999</v>
      </c>
      <c r="M25" s="22" t="n">
        <v>18.31</v>
      </c>
      <c r="N25" s="22">
        <f>SUM(B25:M25)</f>
        <v/>
      </c>
      <c r="O25" s="22" t="n">
        <v>101.07</v>
      </c>
      <c r="P25" s="22" t="n">
        <v>94.3</v>
      </c>
      <c r="Q25" s="22" t="n">
        <v>182.82</v>
      </c>
      <c r="R25" s="22" t="n">
        <v>199.11</v>
      </c>
      <c r="S25" s="22" t="n">
        <v>118.49</v>
      </c>
      <c r="T25" s="22" t="n">
        <v>99.12</v>
      </c>
      <c r="U25" s="22" t="n">
        <v>99.25999999999999</v>
      </c>
      <c r="AA25" s="22">
        <f>SUM(O25:U25)</f>
        <v/>
      </c>
      <c r="AB25" s="22">
        <f>SUM(O25:Z25)</f>
        <v/>
      </c>
      <c r="AC25" s="22" t="n">
        <v>50</v>
      </c>
      <c r="AD25" s="22" t="n">
        <v>50</v>
      </c>
      <c r="AE25" s="22" t="n">
        <v>50</v>
      </c>
      <c r="AF25" s="22" t="n">
        <v>50</v>
      </c>
      <c r="AG25" s="22" t="n">
        <v>50</v>
      </c>
      <c r="AH25" s="22" t="n">
        <v>50</v>
      </c>
      <c r="AI25" s="10">
        <f>SUM(AC25:AH25)</f>
        <v/>
      </c>
      <c r="AJ25" s="22">
        <f>SUM(AC25:AH25)+AI25</f>
        <v/>
      </c>
      <c r="AK25" s="11">
        <f>IF(N25&lt;&gt;0,(AB25-N25)/ABS(N25),0)</f>
        <v/>
      </c>
      <c r="AL25" s="11">
        <f>IF(AB25&lt;&gt;0,(AJ25-AB25)/ABS(AB25),0)</f>
        <v/>
      </c>
    </row>
    <row r="26" ht="13" customHeight="1">
      <c r="A26" s="21" t="inlineStr">
        <is>
          <t xml:space="preserve">    Art Materials</t>
        </is>
      </c>
      <c r="N26" s="22">
        <f>SUM(B26:M26)</f>
        <v/>
      </c>
      <c r="O26" s="22" t="n">
        <v>147.48</v>
      </c>
      <c r="P26" s="22" t="n">
        <v>45.11</v>
      </c>
      <c r="Q26" s="22" t="n">
        <v>228.48</v>
      </c>
      <c r="R26" s="22" t="n">
        <v>121.89</v>
      </c>
      <c r="S26" s="22" t="n">
        <v>218.45</v>
      </c>
      <c r="T26" s="22" t="n">
        <v>66.66</v>
      </c>
      <c r="U26" s="22" t="n">
        <v>63.70000000000001</v>
      </c>
      <c r="V26" s="22" t="n">
        <v>193.74888</v>
      </c>
      <c r="W26" s="22" t="n">
        <v>248.46744</v>
      </c>
      <c r="X26" s="22" t="n">
        <v>260.00832</v>
      </c>
      <c r="Y26" s="22" t="n">
        <v>270.54456</v>
      </c>
      <c r="Z26" s="22" t="n">
        <v>272.24184</v>
      </c>
      <c r="AA26" s="22">
        <f>SUM(O26:U26)</f>
        <v/>
      </c>
      <c r="AB26" s="22">
        <f>SUM(O26:Z26)</f>
        <v/>
      </c>
      <c r="AC26" s="22" t="n">
        <v>301.4120616</v>
      </c>
      <c r="AD26" s="22" t="n">
        <v>285.8653824</v>
      </c>
      <c r="AE26" s="22" t="n">
        <v>343.6544592</v>
      </c>
      <c r="AF26" s="22" t="n">
        <v>258.5557104</v>
      </c>
      <c r="AG26" s="22" t="n">
        <v>231.1343424</v>
      </c>
      <c r="AH26" s="22" t="n">
        <v>261.1802544</v>
      </c>
      <c r="AI26" s="10">
        <f>SUM(AC26:AH26)</f>
        <v/>
      </c>
      <c r="AJ26" s="22">
        <f>SUM(AC26:AH26)+AI26</f>
        <v/>
      </c>
      <c r="AK26" s="11">
        <f>IF(N26&lt;&gt;0,(AB26-N26)/ABS(N26),0)</f>
        <v/>
      </c>
      <c r="AL26" s="11">
        <f>IF(AB26&lt;&gt;0,(AJ26-AB26)/ABS(AB26),0)</f>
        <v/>
      </c>
    </row>
    <row r="27" ht="13" customHeight="1">
      <c r="A27" s="21" t="inlineStr">
        <is>
          <t xml:space="preserve">    Nursery Stationery</t>
        </is>
      </c>
      <c r="B27" s="22" t="n">
        <v>223.47</v>
      </c>
      <c r="C27" s="22" t="n">
        <v>58.78</v>
      </c>
      <c r="D27" s="22" t="n">
        <v>28</v>
      </c>
      <c r="E27" s="22" t="n">
        <v>9.1</v>
      </c>
      <c r="F27" s="22" t="n">
        <v>63.78</v>
      </c>
      <c r="G27" s="22" t="n">
        <v>4.3</v>
      </c>
      <c r="H27" s="22" t="n">
        <v>23.48</v>
      </c>
      <c r="I27" s="22" t="n">
        <v>45.41</v>
      </c>
      <c r="J27" s="22" t="n">
        <v>108.62</v>
      </c>
      <c r="K27" s="22" t="n">
        <v>20.82</v>
      </c>
      <c r="L27" s="22" t="n">
        <v>27.74</v>
      </c>
      <c r="M27" s="22" t="n">
        <v>0</v>
      </c>
      <c r="N27" s="22">
        <f>SUM(B27:M27)</f>
        <v/>
      </c>
      <c r="O27" s="22" t="n">
        <v>72.15000000000001</v>
      </c>
      <c r="P27" s="22" t="n">
        <v>35.67</v>
      </c>
      <c r="Q27" s="22" t="n">
        <v>121.22</v>
      </c>
      <c r="R27" s="22" t="n">
        <v>135.22</v>
      </c>
      <c r="S27" s="22" t="n">
        <v>98.09</v>
      </c>
      <c r="T27" s="22" t="n">
        <v>69.61</v>
      </c>
      <c r="U27" s="22" t="n">
        <v>109.3</v>
      </c>
      <c r="AA27" s="22">
        <f>SUM(O27:U27)</f>
        <v/>
      </c>
      <c r="AB27" s="22">
        <f>SUM(O27:Z27)</f>
        <v/>
      </c>
      <c r="AC27" s="22" t="n">
        <v>100</v>
      </c>
      <c r="AD27" s="22" t="n">
        <v>100</v>
      </c>
      <c r="AE27" s="22" t="n">
        <v>100</v>
      </c>
      <c r="AF27" s="22" t="n">
        <v>100</v>
      </c>
      <c r="AG27" s="22" t="n">
        <v>100</v>
      </c>
      <c r="AH27" s="22" t="n">
        <v>100</v>
      </c>
      <c r="AI27" s="10">
        <f>SUM(AC27:AH27)</f>
        <v/>
      </c>
      <c r="AJ27" s="22">
        <f>SUM(AC27:AH27)+AI27</f>
        <v/>
      </c>
      <c r="AK27" s="11">
        <f>IF(N27&lt;&gt;0,(AB27-N27)/ABS(N27),0)</f>
        <v/>
      </c>
      <c r="AL27" s="11">
        <f>IF(AB27&lt;&gt;0,(AJ27-AB27)/ABS(AB27),0)</f>
        <v/>
      </c>
    </row>
    <row r="28" ht="13" customHeight="1">
      <c r="A28" s="21" t="inlineStr">
        <is>
          <t xml:space="preserve">    Nursery Equipment</t>
        </is>
      </c>
      <c r="B28" s="22" t="n">
        <v>33.38</v>
      </c>
      <c r="C28" s="22" t="n">
        <v>150.78</v>
      </c>
      <c r="D28" s="22" t="n">
        <v>0</v>
      </c>
      <c r="E28" s="22" t="n">
        <v>86.95</v>
      </c>
      <c r="F28" s="22" t="n">
        <v>197.12</v>
      </c>
      <c r="G28" s="22" t="n">
        <v>87</v>
      </c>
      <c r="H28" s="22" t="n">
        <v>188.42</v>
      </c>
      <c r="I28" s="22" t="n">
        <v>0</v>
      </c>
      <c r="J28" s="22" t="n">
        <v>117.09</v>
      </c>
      <c r="K28" s="22" t="n">
        <v>236.18</v>
      </c>
      <c r="L28" s="22" t="n">
        <v>112.16</v>
      </c>
      <c r="M28" s="22" t="n">
        <v>0</v>
      </c>
      <c r="N28" s="22">
        <f>SUM(B28:M28)</f>
        <v/>
      </c>
      <c r="O28" s="22" t="n">
        <v>52.34</v>
      </c>
      <c r="P28" s="22" t="n">
        <v>48.88</v>
      </c>
      <c r="Q28" s="22" t="n">
        <v>97.54000000000001</v>
      </c>
      <c r="R28" s="22" t="n">
        <v>124.88</v>
      </c>
      <c r="S28" s="22" t="n">
        <v>161.32</v>
      </c>
      <c r="T28" s="22" t="n">
        <v>25.57</v>
      </c>
      <c r="U28" s="22" t="n">
        <v>174.81</v>
      </c>
      <c r="AA28" s="22">
        <f>SUM(O28:U28)</f>
        <v/>
      </c>
      <c r="AB28" s="22">
        <f>SUM(O28:Z28)</f>
        <v/>
      </c>
      <c r="AC28" s="22" t="n">
        <v>50</v>
      </c>
      <c r="AD28" s="22" t="n">
        <v>50</v>
      </c>
      <c r="AE28" s="22" t="n">
        <v>50</v>
      </c>
      <c r="AF28" s="22" t="n">
        <v>50</v>
      </c>
      <c r="AG28" s="22" t="n">
        <v>50</v>
      </c>
      <c r="AH28" s="22" t="n">
        <v>50</v>
      </c>
      <c r="AI28" s="10">
        <f>SUM(AC28:AH28)</f>
        <v/>
      </c>
      <c r="AJ28" s="22">
        <f>SUM(AC28:AH28)+AI28</f>
        <v/>
      </c>
      <c r="AK28" s="11">
        <f>IF(N28&lt;&gt;0,(AB28-N28)/ABS(N28),0)</f>
        <v/>
      </c>
      <c r="AL28" s="11">
        <f>IF(AB28&lt;&gt;0,(AJ28-AB28)/ABS(AB28),0)</f>
        <v/>
      </c>
    </row>
    <row r="29" ht="13" customHeight="1">
      <c r="A29" s="21" t="inlineStr">
        <is>
          <t xml:space="preserve">    Nursery Consumables</t>
        </is>
      </c>
      <c r="N29" s="22">
        <f>SUM(B29:M29)</f>
        <v/>
      </c>
      <c r="O29" s="22" t="n">
        <v>299.13</v>
      </c>
      <c r="P29" s="22" t="n">
        <v>158.76</v>
      </c>
      <c r="Q29" s="22" t="n">
        <v>414.86</v>
      </c>
      <c r="R29" s="22" t="n">
        <v>501.63</v>
      </c>
      <c r="S29" s="22" t="n">
        <v>649.63</v>
      </c>
      <c r="T29" s="22" t="n">
        <v>384.68</v>
      </c>
      <c r="U29" s="22" t="n">
        <v>435.71</v>
      </c>
      <c r="V29" s="22" t="n">
        <v>322.9148</v>
      </c>
      <c r="W29" s="22" t="n">
        <v>414.1124</v>
      </c>
      <c r="X29" s="22" t="n">
        <v>433.3472</v>
      </c>
      <c r="Y29" s="22" t="n">
        <v>450.9076000000001</v>
      </c>
      <c r="Z29" s="22" t="n">
        <v>453.7364000000001</v>
      </c>
      <c r="AA29" s="22">
        <f>SUM(O29:U29)</f>
        <v/>
      </c>
      <c r="AB29" s="22">
        <f>SUM(O29:Z29)</f>
        <v/>
      </c>
      <c r="AC29" s="22" t="n">
        <v>502.353436</v>
      </c>
      <c r="AD29" s="22" t="n">
        <v>476.4423040000001</v>
      </c>
      <c r="AE29" s="22" t="n">
        <v>572.7574320000001</v>
      </c>
      <c r="AF29" s="22" t="n">
        <v>430.926184</v>
      </c>
      <c r="AG29" s="22" t="n">
        <v>385.2239040000001</v>
      </c>
      <c r="AH29" s="22" t="n">
        <v>435.300424</v>
      </c>
      <c r="AI29" s="10">
        <f>SUM(AC29:AH29)</f>
        <v/>
      </c>
      <c r="AJ29" s="22">
        <f>SUM(AC29:AH29)+AI29</f>
        <v/>
      </c>
      <c r="AK29" s="11">
        <f>IF(N29&lt;&gt;0,(AB29-N29)/ABS(N29),0)</f>
        <v/>
      </c>
      <c r="AL29" s="11">
        <f>IF(AB29&lt;&gt;0,(AJ29-AB29)/ABS(AB29),0)</f>
        <v/>
      </c>
    </row>
    <row r="30" ht="13" customHeight="1">
      <c r="A30" s="23" t="inlineStr">
        <is>
          <t>Total Childcare Costs</t>
        </is>
      </c>
      <c r="B30" s="24">
        <f>B24+B25+B26+B27+B28+B29</f>
        <v/>
      </c>
      <c r="C30" s="24">
        <f>C24+C25+C26+C27+C28+C29</f>
        <v/>
      </c>
      <c r="D30" s="24">
        <f>D24+D25+D26+D27+D28+D29</f>
        <v/>
      </c>
      <c r="E30" s="24">
        <f>E24+E25+E26+E27+E28+E29</f>
        <v/>
      </c>
      <c r="F30" s="24">
        <f>F24+F25+F26+F27+F28+F29</f>
        <v/>
      </c>
      <c r="G30" s="24">
        <f>G24+G25+G26+G27+G28+G29</f>
        <v/>
      </c>
      <c r="H30" s="24">
        <f>H24+H25+H26+H27+H28+H29</f>
        <v/>
      </c>
      <c r="I30" s="24">
        <f>I24+I25+I26+I27+I28+I29</f>
        <v/>
      </c>
      <c r="J30" s="24">
        <f>J24+J25+J26+J27+J28+J29</f>
        <v/>
      </c>
      <c r="K30" s="24">
        <f>K24+K25+K26+K27+K28+K29</f>
        <v/>
      </c>
      <c r="L30" s="24">
        <f>L24+L25+L26+L27+L28+L29</f>
        <v/>
      </c>
      <c r="M30" s="24">
        <f>M24+M25+M26+M27+M28+M29</f>
        <v/>
      </c>
      <c r="N30" s="24">
        <f>N24+N25+N26+N27+N28+N29</f>
        <v/>
      </c>
      <c r="O30" s="24">
        <f>O24+O25+O26+O27+O28+O29</f>
        <v/>
      </c>
      <c r="P30" s="24">
        <f>P24+P25+P26+P27+P28+P29</f>
        <v/>
      </c>
      <c r="Q30" s="24">
        <f>Q24+Q25+Q26+Q27+Q28+Q29</f>
        <v/>
      </c>
      <c r="R30" s="24">
        <f>R24+R25+R26+R27+R28+R29</f>
        <v/>
      </c>
      <c r="S30" s="24">
        <f>S24+S25+S26+S27+S28+S29</f>
        <v/>
      </c>
      <c r="T30" s="24">
        <f>T24+T25+T26+T27+T28+T29</f>
        <v/>
      </c>
      <c r="U30" s="24">
        <f>U24+U25+U26+U27+U28+U29</f>
        <v/>
      </c>
      <c r="V30" s="24">
        <f>V24+V25+V26+V27+V28+V29</f>
        <v/>
      </c>
      <c r="W30" s="24">
        <f>W24+W25+W26+W27+W28+W29</f>
        <v/>
      </c>
      <c r="X30" s="24">
        <f>X24+X25+X26+X27+X28+X29</f>
        <v/>
      </c>
      <c r="Y30" s="24">
        <f>Y24+Y25+Y26+Y27+Y28+Y29</f>
        <v/>
      </c>
      <c r="Z30" s="24">
        <f>Z24+Z25+Z26+Z27+Z28+Z29</f>
        <v/>
      </c>
      <c r="AA30" s="24">
        <f>AA24+AA25+AA26+AA27+AA28+AA29</f>
        <v/>
      </c>
      <c r="AB30" s="24">
        <f>AB24+AB25+AB26+AB27+AB28+AB29</f>
        <v/>
      </c>
      <c r="AC30" s="24">
        <f>AC24+AC25+AC26+AC27+AC28+AC29</f>
        <v/>
      </c>
      <c r="AD30" s="24">
        <f>AD24+AD25+AD26+AD27+AD28+AD29</f>
        <v/>
      </c>
      <c r="AE30" s="24">
        <f>AE24+AE25+AE26+AE27+AE28+AE29</f>
        <v/>
      </c>
      <c r="AF30" s="24">
        <f>AF24+AF25+AF26+AF27+AF28+AF29</f>
        <v/>
      </c>
      <c r="AG30" s="24">
        <f>AG24+AG25+AG26+AG27+AG28+AG29</f>
        <v/>
      </c>
      <c r="AH30" s="24">
        <f>AH24+AH25+AH26+AH27+AH28+AH29</f>
        <v/>
      </c>
      <c r="AI30" s="24">
        <f>AI24+AI25+AI26+AI27+AI28+AI29</f>
        <v/>
      </c>
      <c r="AJ30" s="24">
        <f>AJ24+AJ25+AJ26+AJ27+AJ28+AJ29</f>
        <v/>
      </c>
      <c r="AK30" s="11">
        <f>IF(N30&lt;&gt;0,(AB30-N30)/ABS(N30),0)</f>
        <v/>
      </c>
      <c r="AL30" s="11">
        <f>IF(AB30&lt;&gt;0,(AJ30-AB30)/ABS(AB30),0)</f>
        <v/>
      </c>
    </row>
    <row r="31" ht="5" customHeight="1"/>
    <row r="32" ht="13" customHeight="1">
      <c r="A32" s="14" t="inlineStr">
        <is>
          <t>Premises &amp; Admin</t>
        </is>
      </c>
    </row>
    <row r="33" ht="13" customHeight="1">
      <c r="A33" s="25" t="inlineStr">
        <is>
          <t xml:space="preserve">    Rent</t>
        </is>
      </c>
      <c r="B33" s="26" t="n">
        <v>0</v>
      </c>
      <c r="C33" s="26" t="n">
        <v>0</v>
      </c>
      <c r="D33" s="26" t="n">
        <v>0</v>
      </c>
      <c r="E33" s="26" t="n">
        <v>0</v>
      </c>
      <c r="F33" s="26" t="n">
        <v>0</v>
      </c>
      <c r="G33" s="26" t="n">
        <v>0</v>
      </c>
      <c r="H33" s="26" t="n">
        <v>0</v>
      </c>
      <c r="I33" s="26" t="n">
        <v>0</v>
      </c>
      <c r="J33" s="26" t="n">
        <v>0</v>
      </c>
      <c r="K33" s="26" t="n">
        <v>0</v>
      </c>
      <c r="L33" s="26" t="n">
        <v>0</v>
      </c>
      <c r="M33" s="26" t="n">
        <v>0</v>
      </c>
      <c r="N33" s="26">
        <f>SUM(B33:M33)</f>
        <v/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  <c r="V33" s="26" t="n">
        <v>0</v>
      </c>
      <c r="W33" s="26" t="n">
        <v>0</v>
      </c>
      <c r="X33" s="26" t="n">
        <v>0</v>
      </c>
      <c r="Y33" s="26" t="n">
        <v>0</v>
      </c>
      <c r="Z33" s="26" t="n">
        <v>0</v>
      </c>
      <c r="AA33" s="26">
        <f>SUM(O33:U33)</f>
        <v/>
      </c>
      <c r="AB33" s="26">
        <f>SUM(O33:Z33)</f>
        <v/>
      </c>
      <c r="AC33" s="26" t="n">
        <v>0</v>
      </c>
      <c r="AD33" s="26" t="n">
        <v>0</v>
      </c>
      <c r="AE33" s="26" t="n">
        <v>0</v>
      </c>
      <c r="AF33" s="26" t="n">
        <v>0</v>
      </c>
      <c r="AG33" s="26" t="n">
        <v>0</v>
      </c>
      <c r="AH33" s="26" t="n">
        <v>0</v>
      </c>
      <c r="AI33" s="10">
        <f>SUM(AC33:AH33)</f>
        <v/>
      </c>
      <c r="AJ33" s="26">
        <f>SUM(AC33:AH33)+AI33</f>
        <v/>
      </c>
      <c r="AK33" s="11">
        <f>IF(N33&lt;&gt;0,(AB33-N33)/ABS(N33),0)</f>
        <v/>
      </c>
      <c r="AL33" s="11">
        <f>IF(AB33&lt;&gt;0,(AJ33-AB33)/ABS(AB33),0)</f>
        <v/>
      </c>
    </row>
    <row r="34" ht="13" customHeight="1">
      <c r="A34" s="25" t="inlineStr">
        <is>
          <t xml:space="preserve">    Business Rates</t>
        </is>
      </c>
      <c r="B34" s="26" t="n">
        <v>-2157.98</v>
      </c>
      <c r="C34" s="26" t="n">
        <v>721.59</v>
      </c>
      <c r="D34" s="26" t="n">
        <v>721.59</v>
      </c>
      <c r="E34" s="26" t="n">
        <v>4207.28</v>
      </c>
      <c r="F34" s="26" t="n">
        <v>758.9</v>
      </c>
      <c r="G34" s="26" t="n">
        <v>758.9</v>
      </c>
      <c r="H34" s="26" t="n">
        <v>758.9</v>
      </c>
      <c r="I34" s="26" t="n">
        <v>758.9</v>
      </c>
      <c r="J34" s="26" t="n">
        <v>758.9</v>
      </c>
      <c r="K34" s="26" t="n">
        <v>758.9</v>
      </c>
      <c r="L34" s="26" t="n">
        <v>758.9</v>
      </c>
      <c r="M34" s="26" t="n">
        <v>758.9</v>
      </c>
      <c r="N34" s="26">
        <f>SUM(B34:M34)</f>
        <v/>
      </c>
      <c r="O34" s="26" t="n">
        <v>758.89</v>
      </c>
      <c r="P34" s="26" t="n">
        <v>758.88</v>
      </c>
      <c r="Q34" s="26" t="n">
        <v>758.88</v>
      </c>
      <c r="R34" s="26" t="n">
        <v>872.73</v>
      </c>
      <c r="S34" s="26" t="n">
        <v>872.73</v>
      </c>
      <c r="T34" s="26" t="n">
        <v>872.73</v>
      </c>
      <c r="U34" s="26" t="n">
        <v>872.73</v>
      </c>
      <c r="AA34" s="26">
        <f>SUM(O34:U34)</f>
        <v/>
      </c>
      <c r="AB34" s="26">
        <f>SUM(O34:Z34)</f>
        <v/>
      </c>
      <c r="AC34" s="26" t="n">
        <v>873</v>
      </c>
      <c r="AD34" s="26" t="n">
        <v>873</v>
      </c>
      <c r="AE34" s="26" t="n">
        <v>873</v>
      </c>
      <c r="AF34" s="26" t="n">
        <v>873</v>
      </c>
      <c r="AG34" s="26" t="n">
        <v>873</v>
      </c>
      <c r="AH34" s="26" t="n">
        <v>873</v>
      </c>
      <c r="AI34" s="10">
        <f>SUM(AC34:AH34)</f>
        <v/>
      </c>
      <c r="AJ34" s="26">
        <f>SUM(AC34:AH34)+AI34</f>
        <v/>
      </c>
      <c r="AK34" s="11">
        <f>IF(N34&lt;&gt;0,(AB34-N34)/ABS(N34),0)</f>
        <v/>
      </c>
      <c r="AL34" s="11">
        <f>IF(AB34&lt;&gt;0,(AJ34-AB34)/ABS(AB34),0)</f>
        <v/>
      </c>
    </row>
    <row r="35" ht="13" customHeight="1">
      <c r="A35" s="25" t="inlineStr">
        <is>
          <t xml:space="preserve">    Utilities</t>
        </is>
      </c>
      <c r="B35" s="26" t="n">
        <v>1211.79</v>
      </c>
      <c r="C35" s="26" t="n">
        <v>1770.42</v>
      </c>
      <c r="D35" s="26" t="n">
        <v>1942.85</v>
      </c>
      <c r="E35" s="26" t="n">
        <v>1364.31</v>
      </c>
      <c r="F35" s="26" t="n">
        <v>837.5699999999999</v>
      </c>
      <c r="G35" s="26" t="n">
        <v>573.86</v>
      </c>
      <c r="H35" s="26" t="n">
        <v>402.07</v>
      </c>
      <c r="I35" s="26" t="n">
        <v>0</v>
      </c>
      <c r="J35" s="26" t="n">
        <v>813.2</v>
      </c>
      <c r="K35" s="26" t="n">
        <v>649.55</v>
      </c>
      <c r="L35" s="26" t="n">
        <v>605.8200000000001</v>
      </c>
      <c r="M35" s="26" t="n">
        <v>1258.8</v>
      </c>
      <c r="N35" s="26">
        <f>SUM(B35:M35)</f>
        <v/>
      </c>
      <c r="O35" s="26" t="n">
        <v>1793.18</v>
      </c>
      <c r="P35" s="26" t="n">
        <v>-670.91</v>
      </c>
      <c r="Q35" s="26" t="n">
        <v>3154.63</v>
      </c>
      <c r="R35" s="26" t="n">
        <v>2930.7</v>
      </c>
      <c r="S35" s="26" t="n">
        <v>1012.99</v>
      </c>
      <c r="T35" s="26" t="n">
        <v>0</v>
      </c>
      <c r="U35" s="26" t="n">
        <v>1017.15</v>
      </c>
      <c r="AA35" s="26">
        <f>SUM(O35:U35)</f>
        <v/>
      </c>
      <c r="AB35" s="26">
        <f>SUM(O35:Z35)</f>
        <v/>
      </c>
      <c r="AC35" s="26" t="n">
        <v>950</v>
      </c>
      <c r="AD35" s="26" t="n">
        <v>950</v>
      </c>
      <c r="AE35" s="26" t="n">
        <v>950</v>
      </c>
      <c r="AF35" s="26" t="n">
        <v>950</v>
      </c>
      <c r="AG35" s="26" t="n">
        <v>950</v>
      </c>
      <c r="AH35" s="26" t="n">
        <v>950</v>
      </c>
      <c r="AI35" s="10">
        <f>SUM(AC35:AH35)</f>
        <v/>
      </c>
      <c r="AJ35" s="26">
        <f>SUM(AC35:AH35)+AI35</f>
        <v/>
      </c>
      <c r="AK35" s="11">
        <f>IF(N35&lt;&gt;0,(AB35-N35)/ABS(N35),0)</f>
        <v/>
      </c>
      <c r="AL35" s="11">
        <f>IF(AB35&lt;&gt;0,(AJ35-AB35)/ABS(AB35),0)</f>
        <v/>
      </c>
    </row>
    <row r="36" ht="13" customHeight="1">
      <c r="A36" s="25" t="inlineStr">
        <is>
          <t xml:space="preserve">    Repairs &amp; Maintenance</t>
        </is>
      </c>
      <c r="B36" s="26" t="n">
        <v>494.65</v>
      </c>
      <c r="C36" s="26" t="n">
        <v>0</v>
      </c>
      <c r="D36" s="26" t="n">
        <v>1927</v>
      </c>
      <c r="E36" s="26" t="n">
        <v>2375.809999999999</v>
      </c>
      <c r="F36" s="26" t="n">
        <v>1374.88</v>
      </c>
      <c r="G36" s="26" t="n">
        <v>70.98</v>
      </c>
      <c r="H36" s="26" t="n">
        <v>536.11</v>
      </c>
      <c r="I36" s="26" t="n">
        <v>185.96</v>
      </c>
      <c r="J36" s="26" t="n">
        <v>0</v>
      </c>
      <c r="K36" s="26" t="n">
        <v>37.19</v>
      </c>
      <c r="L36" s="26" t="n">
        <v>87.64</v>
      </c>
      <c r="M36" s="26" t="n">
        <v>531.6</v>
      </c>
      <c r="N36" s="26">
        <f>SUM(B36:M36)</f>
        <v/>
      </c>
      <c r="O36" s="26" t="n">
        <v>163.83</v>
      </c>
      <c r="P36" s="26" t="n">
        <v>37.95</v>
      </c>
      <c r="Q36" s="26" t="n">
        <v>866.6</v>
      </c>
      <c r="R36" s="26" t="n">
        <v>19.35</v>
      </c>
      <c r="S36" s="26" t="n">
        <v>0</v>
      </c>
      <c r="T36" s="26" t="n">
        <v>0</v>
      </c>
      <c r="U36" s="26" t="n">
        <v>170.72</v>
      </c>
      <c r="AA36" s="26">
        <f>SUM(O36:U36)</f>
        <v/>
      </c>
      <c r="AB36" s="26">
        <f>SUM(O36:Z36)</f>
        <v/>
      </c>
      <c r="AC36" s="26" t="n">
        <v>0</v>
      </c>
      <c r="AD36" s="26" t="n">
        <v>0</v>
      </c>
      <c r="AE36" s="26" t="n">
        <v>0</v>
      </c>
      <c r="AF36" s="26" t="n">
        <v>0</v>
      </c>
      <c r="AG36" s="26" t="n">
        <v>0</v>
      </c>
      <c r="AH36" s="26" t="n">
        <v>0</v>
      </c>
      <c r="AI36" s="10">
        <f>SUM(AC36:AH36)</f>
        <v/>
      </c>
      <c r="AJ36" s="26">
        <f>SUM(AC36:AH36)+AI36</f>
        <v/>
      </c>
      <c r="AK36" s="11">
        <f>IF(N36&lt;&gt;0,(AB36-N36)/ABS(N36),0)</f>
        <v/>
      </c>
      <c r="AL36" s="11">
        <f>IF(AB36&lt;&gt;0,(AJ36-AB36)/ABS(AB36),0)</f>
        <v/>
      </c>
    </row>
    <row r="37" ht="13" customHeight="1">
      <c r="A37" s="25" t="inlineStr">
        <is>
          <t xml:space="preserve">    Cleaning</t>
        </is>
      </c>
      <c r="B37" s="26" t="n">
        <v>1242.55</v>
      </c>
      <c r="C37" s="26" t="n">
        <v>908.0699999999999</v>
      </c>
      <c r="D37" s="26" t="n">
        <v>1204.23</v>
      </c>
      <c r="E37" s="26" t="n">
        <v>1580.58</v>
      </c>
      <c r="F37" s="26" t="n">
        <v>1102.14</v>
      </c>
      <c r="G37" s="26" t="n">
        <v>1077.97</v>
      </c>
      <c r="H37" s="26" t="n">
        <v>1581.4</v>
      </c>
      <c r="I37" s="26" t="n">
        <v>1021.21</v>
      </c>
      <c r="J37" s="26" t="n">
        <v>1373.97</v>
      </c>
      <c r="K37" s="26" t="n">
        <v>1218.93</v>
      </c>
      <c r="L37" s="26" t="n">
        <v>1057.79</v>
      </c>
      <c r="M37" s="26" t="n">
        <v>930.5599999999999</v>
      </c>
      <c r="N37" s="26">
        <f>SUM(B37:M37)</f>
        <v/>
      </c>
      <c r="O37" s="26" t="n">
        <v>1113.13</v>
      </c>
      <c r="P37" s="26" t="n">
        <v>917</v>
      </c>
      <c r="Q37" s="26" t="n">
        <v>1348.6</v>
      </c>
      <c r="R37" s="26" t="n">
        <v>1131.19</v>
      </c>
      <c r="S37" s="26" t="n">
        <v>942.5700000000001</v>
      </c>
      <c r="T37" s="26" t="n">
        <v>328.6</v>
      </c>
      <c r="U37" s="26" t="n">
        <v>1557.23</v>
      </c>
      <c r="AA37" s="26">
        <f>SUM(O37:U37)</f>
        <v/>
      </c>
      <c r="AB37" s="26">
        <f>SUM(O37:Z37)</f>
        <v/>
      </c>
      <c r="AC37" s="26" t="n">
        <v>1232</v>
      </c>
      <c r="AD37" s="26" t="n">
        <v>1232</v>
      </c>
      <c r="AE37" s="26" t="n">
        <v>1232</v>
      </c>
      <c r="AF37" s="26" t="n">
        <v>1232</v>
      </c>
      <c r="AG37" s="26" t="n">
        <v>1232</v>
      </c>
      <c r="AH37" s="26" t="n">
        <v>1232</v>
      </c>
      <c r="AI37" s="10">
        <f>SUM(AC37:AH37)</f>
        <v/>
      </c>
      <c r="AJ37" s="26">
        <f>SUM(AC37:AH37)+AI37</f>
        <v/>
      </c>
      <c r="AK37" s="11">
        <f>IF(N37&lt;&gt;0,(AB37-N37)/ABS(N37),0)</f>
        <v/>
      </c>
      <c r="AL37" s="11">
        <f>IF(AB37&lt;&gt;0,(AJ37-AB37)/ABS(AB37),0)</f>
        <v/>
      </c>
    </row>
    <row r="38" ht="13" customHeight="1">
      <c r="A38" s="25" t="inlineStr">
        <is>
          <t xml:space="preserve">    Waste Disposal</t>
        </is>
      </c>
      <c r="B38" s="26" t="n">
        <v>329.95</v>
      </c>
      <c r="C38" s="26" t="n">
        <v>622.9300000000001</v>
      </c>
      <c r="D38" s="26" t="n">
        <v>236.94</v>
      </c>
      <c r="E38" s="26" t="n">
        <v>225.05</v>
      </c>
      <c r="F38" s="26" t="n">
        <v>432.79</v>
      </c>
      <c r="G38" s="26" t="n">
        <v>390.78</v>
      </c>
      <c r="H38" s="26" t="n">
        <v>429.19</v>
      </c>
      <c r="I38" s="26" t="n">
        <v>420.09</v>
      </c>
      <c r="J38" s="26" t="n">
        <v>631.8900000000001</v>
      </c>
      <c r="K38" s="26" t="n">
        <v>447.09</v>
      </c>
      <c r="L38" s="26" t="n">
        <v>405.09</v>
      </c>
      <c r="M38" s="26" t="n">
        <v>452.47</v>
      </c>
      <c r="N38" s="26">
        <f>SUM(B38:M38)</f>
        <v/>
      </c>
      <c r="O38" s="26" t="n">
        <v>513.64</v>
      </c>
      <c r="P38" s="26" t="n">
        <v>405.09</v>
      </c>
      <c r="Q38" s="26" t="n">
        <v>416.49</v>
      </c>
      <c r="R38" s="26" t="n">
        <v>660.74</v>
      </c>
      <c r="S38" s="26" t="n">
        <v>437.44</v>
      </c>
      <c r="T38" s="26" t="n">
        <v>194.51</v>
      </c>
      <c r="U38" s="26" t="n">
        <v>632.85</v>
      </c>
      <c r="AA38" s="26">
        <f>SUM(O38:U38)</f>
        <v/>
      </c>
      <c r="AB38" s="26">
        <f>SUM(O38:Z38)</f>
        <v/>
      </c>
      <c r="AC38" s="26" t="n">
        <v>413</v>
      </c>
      <c r="AD38" s="26" t="n">
        <v>413</v>
      </c>
      <c r="AE38" s="26" t="n">
        <v>413</v>
      </c>
      <c r="AF38" s="26" t="n">
        <v>413</v>
      </c>
      <c r="AG38" s="26" t="n">
        <v>413</v>
      </c>
      <c r="AH38" s="26" t="n">
        <v>413</v>
      </c>
      <c r="AI38" s="10">
        <f>SUM(AC38:AH38)</f>
        <v/>
      </c>
      <c r="AJ38" s="26">
        <f>SUM(AC38:AH38)+AI38</f>
        <v/>
      </c>
      <c r="AK38" s="11">
        <f>IF(N38&lt;&gt;0,(AB38-N38)/ABS(N38),0)</f>
        <v/>
      </c>
      <c r="AL38" s="11">
        <f>IF(AB38&lt;&gt;0,(AJ38-AB38)/ABS(AB38),0)</f>
        <v/>
      </c>
    </row>
    <row r="39" ht="13" customHeight="1">
      <c r="A39" s="25" t="inlineStr">
        <is>
          <t xml:space="preserve">    Postage/Printing/Stationery</t>
        </is>
      </c>
      <c r="B39" s="26" t="n">
        <v>0</v>
      </c>
      <c r="C39" s="26" t="n">
        <v>620.59</v>
      </c>
      <c r="D39" s="26" t="n">
        <v>0</v>
      </c>
      <c r="E39" s="26" t="n">
        <v>0</v>
      </c>
      <c r="F39" s="26" t="n">
        <v>689.9400000000001</v>
      </c>
      <c r="G39" s="26" t="n">
        <v>0</v>
      </c>
      <c r="H39" s="26" t="n">
        <v>20.99</v>
      </c>
      <c r="I39" s="26" t="n">
        <v>597.6</v>
      </c>
      <c r="J39" s="26" t="n">
        <v>41.97</v>
      </c>
      <c r="K39" s="26" t="n">
        <v>1007.99</v>
      </c>
      <c r="L39" s="26" t="n">
        <v>0</v>
      </c>
      <c r="M39" s="26" t="n">
        <v>786</v>
      </c>
      <c r="N39" s="26">
        <f>SUM(B39:M39)</f>
        <v/>
      </c>
      <c r="O39" s="26" t="n">
        <v>152.77</v>
      </c>
      <c r="P39" s="26" t="n">
        <v>823.6799999999999</v>
      </c>
      <c r="Q39" s="26" t="n">
        <v>1020.06</v>
      </c>
      <c r="R39" s="26" t="n">
        <v>157.3</v>
      </c>
      <c r="S39" s="26" t="n">
        <v>157.3</v>
      </c>
      <c r="T39" s="26" t="n">
        <v>943.3</v>
      </c>
      <c r="U39" s="26" t="n">
        <v>149</v>
      </c>
      <c r="AA39" s="26">
        <f>SUM(O39:U39)</f>
        <v/>
      </c>
      <c r="AB39" s="26">
        <f>SUM(O39:Z39)</f>
        <v/>
      </c>
      <c r="AC39" s="26" t="n">
        <v>0</v>
      </c>
      <c r="AD39" s="26" t="n">
        <v>0</v>
      </c>
      <c r="AE39" s="26" t="n">
        <v>0</v>
      </c>
      <c r="AF39" s="26" t="n">
        <v>0</v>
      </c>
      <c r="AG39" s="26" t="n">
        <v>0</v>
      </c>
      <c r="AH39" s="26" t="n">
        <v>0</v>
      </c>
      <c r="AI39" s="10">
        <f>SUM(AC39:AH39)</f>
        <v/>
      </c>
      <c r="AJ39" s="26">
        <f>SUM(AC39:AH39)+AI39</f>
        <v/>
      </c>
      <c r="AK39" s="11">
        <f>IF(N39&lt;&gt;0,(AB39-N39)/ABS(N39),0)</f>
        <v/>
      </c>
      <c r="AL39" s="11">
        <f>IF(AB39&lt;&gt;0,(AJ39-AB39)/ABS(AB39),0)</f>
        <v/>
      </c>
    </row>
    <row r="40" ht="13" customHeight="1">
      <c r="A40" s="25" t="inlineStr">
        <is>
          <t xml:space="preserve">    Telephone</t>
        </is>
      </c>
      <c r="B40" s="26" t="n">
        <v>849.3399999999999</v>
      </c>
      <c r="C40" s="26" t="n">
        <v>136.41</v>
      </c>
      <c r="D40" s="26" t="n">
        <v>136.41</v>
      </c>
      <c r="E40" s="26" t="n">
        <v>140.14</v>
      </c>
      <c r="F40" s="26" t="n">
        <v>140.14</v>
      </c>
      <c r="G40" s="26" t="n">
        <v>140.14</v>
      </c>
      <c r="H40" s="26" t="n">
        <v>140.14</v>
      </c>
      <c r="I40" s="26" t="n">
        <v>152.77</v>
      </c>
      <c r="J40" s="26" t="n">
        <v>152.77</v>
      </c>
      <c r="K40" s="26" t="n">
        <v>152.77</v>
      </c>
      <c r="L40" s="26" t="n">
        <v>152.77</v>
      </c>
      <c r="M40" s="26" t="n">
        <v>152.77</v>
      </c>
      <c r="N40" s="26">
        <f>SUM(B40:M40)</f>
        <v/>
      </c>
      <c r="O40" s="26" t="n">
        <v>19.19</v>
      </c>
      <c r="P40" s="26" t="n">
        <v>0</v>
      </c>
      <c r="Q40" s="26" t="n">
        <v>0</v>
      </c>
      <c r="R40" s="26" t="n">
        <v>103.95</v>
      </c>
      <c r="S40" s="26" t="n">
        <v>0</v>
      </c>
      <c r="T40" s="26" t="n">
        <v>0</v>
      </c>
      <c r="U40" s="26" t="n">
        <v>0</v>
      </c>
      <c r="AA40" s="26">
        <f>SUM(O40:U40)</f>
        <v/>
      </c>
      <c r="AB40" s="26">
        <f>SUM(O40:Z40)</f>
        <v/>
      </c>
      <c r="AC40" s="26" t="n">
        <v>153</v>
      </c>
      <c r="AD40" s="26" t="n">
        <v>153</v>
      </c>
      <c r="AE40" s="26" t="n">
        <v>153</v>
      </c>
      <c r="AF40" s="26" t="n">
        <v>153</v>
      </c>
      <c r="AG40" s="26" t="n">
        <v>153</v>
      </c>
      <c r="AH40" s="26" t="n">
        <v>153</v>
      </c>
      <c r="AI40" s="10">
        <f>SUM(AC40:AH40)</f>
        <v/>
      </c>
      <c r="AJ40" s="26">
        <f>SUM(AC40:AH40)+AI40</f>
        <v/>
      </c>
      <c r="AK40" s="11">
        <f>IF(N40&lt;&gt;0,(AB40-N40)/ABS(N40),0)</f>
        <v/>
      </c>
      <c r="AL40" s="11">
        <f>IF(AB40&lt;&gt;0,(AJ40-AB40)/ABS(AB40),0)</f>
        <v/>
      </c>
    </row>
    <row r="41" ht="13" customHeight="1">
      <c r="A41" s="25" t="inlineStr">
        <is>
          <t xml:space="preserve">    Marketing</t>
        </is>
      </c>
      <c r="B41" s="26" t="n">
        <v>0</v>
      </c>
      <c r="C41" s="26" t="n">
        <v>0</v>
      </c>
      <c r="D41" s="26" t="n">
        <v>0</v>
      </c>
      <c r="E41" s="26" t="n">
        <v>0</v>
      </c>
      <c r="F41" s="26" t="n">
        <v>0</v>
      </c>
      <c r="G41" s="26" t="n">
        <v>0</v>
      </c>
      <c r="H41" s="26" t="n">
        <v>0</v>
      </c>
      <c r="I41" s="26" t="n">
        <v>0</v>
      </c>
      <c r="J41" s="26" t="n">
        <v>0</v>
      </c>
      <c r="K41" s="26" t="n">
        <v>0</v>
      </c>
      <c r="L41" s="26" t="n">
        <v>0</v>
      </c>
      <c r="M41" s="26" t="n">
        <v>0</v>
      </c>
      <c r="N41" s="26">
        <f>SUM(B41:M41)</f>
        <v/>
      </c>
      <c r="O41" s="26" t="n">
        <v>0</v>
      </c>
      <c r="P41" s="26" t="n">
        <v>0</v>
      </c>
      <c r="Q41" s="26" t="n">
        <v>0</v>
      </c>
      <c r="R41" s="26" t="n">
        <v>0</v>
      </c>
      <c r="S41" s="26" t="n">
        <v>0</v>
      </c>
      <c r="T41" s="26" t="n">
        <v>0</v>
      </c>
      <c r="U41" s="26" t="n">
        <v>0</v>
      </c>
      <c r="V41" s="26" t="n">
        <v>0</v>
      </c>
      <c r="W41" s="26" t="n">
        <v>0</v>
      </c>
      <c r="X41" s="26" t="n">
        <v>0</v>
      </c>
      <c r="Y41" s="26" t="n">
        <v>0</v>
      </c>
      <c r="Z41" s="26" t="n">
        <v>0</v>
      </c>
      <c r="AA41" s="26">
        <f>SUM(O41:U41)</f>
        <v/>
      </c>
      <c r="AB41" s="26">
        <f>SUM(O41:Z41)</f>
        <v/>
      </c>
      <c r="AC41" s="26" t="n">
        <v>0</v>
      </c>
      <c r="AD41" s="26" t="n">
        <v>0</v>
      </c>
      <c r="AE41" s="26" t="n">
        <v>0</v>
      </c>
      <c r="AF41" s="26" t="n">
        <v>0</v>
      </c>
      <c r="AG41" s="26" t="n">
        <v>0</v>
      </c>
      <c r="AH41" s="26" t="n">
        <v>0</v>
      </c>
      <c r="AI41" s="10">
        <f>SUM(AC41:AH41)</f>
        <v/>
      </c>
      <c r="AJ41" s="26">
        <f>SUM(AC41:AH41)+AI41</f>
        <v/>
      </c>
      <c r="AK41" s="11">
        <f>IF(N41&lt;&gt;0,(AB41-N41)/ABS(N41),0)</f>
        <v/>
      </c>
      <c r="AL41" s="11">
        <f>IF(AB41&lt;&gt;0,(AJ41-AB41)/ABS(AB41),0)</f>
        <v/>
      </c>
    </row>
    <row r="42" ht="13" customHeight="1">
      <c r="A42" s="27" t="inlineStr">
        <is>
          <t>Total Premises &amp; Admin</t>
        </is>
      </c>
      <c r="B42" s="28">
        <f>B33+B34+B35+B36+B37+B38+B39+B40+B41</f>
        <v/>
      </c>
      <c r="C42" s="28">
        <f>C33+C34+C35+C36+C37+C38+C39+C40+C41</f>
        <v/>
      </c>
      <c r="D42" s="28">
        <f>D33+D34+D35+D36+D37+D38+D39+D40+D41</f>
        <v/>
      </c>
      <c r="E42" s="28">
        <f>E33+E34+E35+E36+E37+E38+E39+E40+E41</f>
        <v/>
      </c>
      <c r="F42" s="28">
        <f>F33+F34+F35+F36+F37+F38+F39+F40+F41</f>
        <v/>
      </c>
      <c r="G42" s="28">
        <f>G33+G34+G35+G36+G37+G38+G39+G40+G41</f>
        <v/>
      </c>
      <c r="H42" s="28">
        <f>H33+H34+H35+H36+H37+H38+H39+H40+H41</f>
        <v/>
      </c>
      <c r="I42" s="28">
        <f>I33+I34+I35+I36+I37+I38+I39+I40+I41</f>
        <v/>
      </c>
      <c r="J42" s="28">
        <f>J33+J34+J35+J36+J37+J38+J39+J40+J41</f>
        <v/>
      </c>
      <c r="K42" s="28">
        <f>K33+K34+K35+K36+K37+K38+K39+K40+K41</f>
        <v/>
      </c>
      <c r="L42" s="28">
        <f>L33+L34+L35+L36+L37+L38+L39+L40+L41</f>
        <v/>
      </c>
      <c r="M42" s="28">
        <f>M33+M34+M35+M36+M37+M38+M39+M40+M41</f>
        <v/>
      </c>
      <c r="N42" s="28">
        <f>N33+N34+N35+N36+N37+N38+N39+N40+N41</f>
        <v/>
      </c>
      <c r="O42" s="28">
        <f>O33+O34+O35+O36+O37+O38+O39+O40+O41</f>
        <v/>
      </c>
      <c r="P42" s="28">
        <f>P33+P34+P35+P36+P37+P38+P39+P40+P41</f>
        <v/>
      </c>
      <c r="Q42" s="28">
        <f>Q33+Q34+Q35+Q36+Q37+Q38+Q39+Q40+Q41</f>
        <v/>
      </c>
      <c r="R42" s="28">
        <f>R33+R34+R35+R36+R37+R38+R39+R40+R41</f>
        <v/>
      </c>
      <c r="S42" s="28">
        <f>S33+S34+S35+S36+S37+S38+S39+S40+S41</f>
        <v/>
      </c>
      <c r="T42" s="28">
        <f>T33+T34+T35+T36+T37+T38+T39+T40+T41</f>
        <v/>
      </c>
      <c r="U42" s="28">
        <f>U33+U34+U35+U36+U37+U38+U39+U40+U41</f>
        <v/>
      </c>
      <c r="V42" s="28">
        <f>V33+V34+V35+V36+V37+V38+V39+V40+V41</f>
        <v/>
      </c>
      <c r="W42" s="28">
        <f>W33+W34+W35+W36+W37+W38+W39+W40+W41</f>
        <v/>
      </c>
      <c r="X42" s="28">
        <f>X33+X34+X35+X36+X37+X38+X39+X40+X41</f>
        <v/>
      </c>
      <c r="Y42" s="28">
        <f>Y33+Y34+Y35+Y36+Y37+Y38+Y39+Y40+Y41</f>
        <v/>
      </c>
      <c r="Z42" s="28">
        <f>Z33+Z34+Z35+Z36+Z37+Z38+Z39+Z40+Z41</f>
        <v/>
      </c>
      <c r="AA42" s="28">
        <f>AA33+AA34+AA35+AA36+AA37+AA38+AA39+AA40+AA41</f>
        <v/>
      </c>
      <c r="AB42" s="28">
        <f>AB33+AB34+AB35+AB36+AB37+AB38+AB39+AB40+AB41</f>
        <v/>
      </c>
      <c r="AC42" s="28">
        <f>AC33+AC34+AC35+AC36+AC37+AC38+AC39+AC40+AC41</f>
        <v/>
      </c>
      <c r="AD42" s="28">
        <f>AD33+AD34+AD35+AD36+AD37+AD38+AD39+AD40+AD41</f>
        <v/>
      </c>
      <c r="AE42" s="28">
        <f>AE33+AE34+AE35+AE36+AE37+AE38+AE39+AE40+AE41</f>
        <v/>
      </c>
      <c r="AF42" s="28">
        <f>AF33+AF34+AF35+AF36+AF37+AF38+AF39+AF40+AF41</f>
        <v/>
      </c>
      <c r="AG42" s="28">
        <f>AG33+AG34+AG35+AG36+AG37+AG38+AG39+AG40+AG41</f>
        <v/>
      </c>
      <c r="AH42" s="28">
        <f>AH33+AH34+AH35+AH36+AH37+AH38+AH39+AH40+AH41</f>
        <v/>
      </c>
      <c r="AI42" s="28">
        <f>AI33+AI34+AI35+AI36+AI37+AI38+AI39+AI40+AI41</f>
        <v/>
      </c>
      <c r="AJ42" s="28">
        <f>AJ33+AJ34+AJ35+AJ36+AJ37+AJ38+AJ39+AJ40+AJ41</f>
        <v/>
      </c>
      <c r="AK42" s="11">
        <f>IF(N42&lt;&gt;0,(AB42-N42)/ABS(N42),0)</f>
        <v/>
      </c>
      <c r="AL42" s="11">
        <f>IF(AB42&lt;&gt;0,(AJ42-AB42)/ABS(AB42),0)</f>
        <v/>
      </c>
    </row>
    <row r="43" ht="5" customHeight="1"/>
    <row r="44" ht="13" customHeight="1">
      <c r="A44" s="29" t="inlineStr">
        <is>
          <t>Total Direct Costs</t>
        </is>
      </c>
      <c r="AK44" s="11">
        <f>IF(N44&lt;&gt;0,(AB44-N44)/ABS(N44),0)</f>
        <v/>
      </c>
      <c r="AL44" s="11">
        <f>IF(AB44&lt;&gt;0,(AJ44-AB44)/ABS(AB44),0)</f>
        <v/>
      </c>
    </row>
    <row r="45" ht="5" customHeight="1"/>
    <row r="46" ht="15" customHeight="1">
      <c r="A46" s="30" t="inlineStr">
        <is>
          <t>CONTRIBUTION</t>
        </is>
      </c>
      <c r="B46" s="31">
        <f>B7-B44</f>
        <v/>
      </c>
      <c r="C46" s="31">
        <f>C7-C44</f>
        <v/>
      </c>
      <c r="D46" s="31">
        <f>D7-D44</f>
        <v/>
      </c>
      <c r="E46" s="31">
        <f>E7-E44</f>
        <v/>
      </c>
      <c r="F46" s="31">
        <f>F7-F44</f>
        <v/>
      </c>
      <c r="G46" s="31">
        <f>G7-G44</f>
        <v/>
      </c>
      <c r="H46" s="31">
        <f>H7-H44</f>
        <v/>
      </c>
      <c r="I46" s="31">
        <f>I7-I44</f>
        <v/>
      </c>
      <c r="J46" s="31">
        <f>J7-J44</f>
        <v/>
      </c>
      <c r="K46" s="31">
        <f>K7-K44</f>
        <v/>
      </c>
      <c r="L46" s="31">
        <f>L7-L44</f>
        <v/>
      </c>
      <c r="M46" s="31">
        <f>M7-M44</f>
        <v/>
      </c>
      <c r="N46" s="31">
        <f>N7-N44</f>
        <v/>
      </c>
      <c r="O46" s="31">
        <f>O7-O44</f>
        <v/>
      </c>
      <c r="P46" s="31">
        <f>P7-P44</f>
        <v/>
      </c>
      <c r="Q46" s="31">
        <f>Q7-Q44</f>
        <v/>
      </c>
      <c r="R46" s="31">
        <f>R7-R44</f>
        <v/>
      </c>
      <c r="S46" s="31">
        <f>S7-S44</f>
        <v/>
      </c>
      <c r="T46" s="31">
        <f>T7-T44</f>
        <v/>
      </c>
      <c r="U46" s="31">
        <f>U7-U44</f>
        <v/>
      </c>
      <c r="V46" s="31">
        <f>V7-V44</f>
        <v/>
      </c>
      <c r="W46" s="31">
        <f>W7-W44</f>
        <v/>
      </c>
      <c r="X46" s="31">
        <f>X7-X44</f>
        <v/>
      </c>
      <c r="Y46" s="31">
        <f>Y7-Y44</f>
        <v/>
      </c>
      <c r="Z46" s="31">
        <f>Z7-Z44</f>
        <v/>
      </c>
      <c r="AA46" s="31">
        <f>AA7-AA44</f>
        <v/>
      </c>
      <c r="AB46" s="31">
        <f>AB7-AB44</f>
        <v/>
      </c>
      <c r="AC46" s="31">
        <f>AC7-AC44</f>
        <v/>
      </c>
      <c r="AD46" s="31">
        <f>AD7-AD44</f>
        <v/>
      </c>
      <c r="AE46" s="31">
        <f>AE7-AE44</f>
        <v/>
      </c>
      <c r="AF46" s="31">
        <f>AF7-AF44</f>
        <v/>
      </c>
      <c r="AG46" s="31">
        <f>AG7-AG44</f>
        <v/>
      </c>
      <c r="AH46" s="31">
        <f>AH7-AH44</f>
        <v/>
      </c>
      <c r="AI46" s="31">
        <f>AI7-AI44</f>
        <v/>
      </c>
      <c r="AJ46" s="31">
        <f>AJ7-AJ44</f>
        <v/>
      </c>
      <c r="AK46" s="11">
        <f>IF(N46&lt;&gt;0,(AB46-N46)/ABS(N46),0)</f>
        <v/>
      </c>
      <c r="AL46" s="11">
        <f>IF(AB46&lt;&gt;0,(AJ46-AB46)/ABS(AB46),0)</f>
        <v/>
      </c>
    </row>
  </sheetData>
  <mergeCells count="8">
    <mergeCell ref="A10:AL10"/>
    <mergeCell ref="B1:N1"/>
    <mergeCell ref="A23:AL23"/>
    <mergeCell ref="A32:AL32"/>
    <mergeCell ref="AC1:AJ1"/>
    <mergeCell ref="A9:AL9"/>
    <mergeCell ref="A3:AL3"/>
    <mergeCell ref="O1:AB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L4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9.5" customWidth="1" min="27" max="27"/>
    <col width="9.5" customWidth="1" min="28" max="28"/>
    <col width="9.5" customWidth="1" min="29" max="29"/>
    <col width="9.5" customWidth="1" min="30" max="30"/>
    <col width="9.5" customWidth="1" min="31" max="31"/>
    <col width="9.5" customWidth="1" min="32" max="32"/>
    <col width="9.5" customWidth="1" min="33" max="33"/>
    <col width="9.5" customWidth="1" min="34" max="34"/>
    <col width="9.5" customWidth="1" min="35" max="35"/>
    <col width="11" customWidth="1" min="36" max="36"/>
    <col width="10" customWidth="1" min="37" max="37"/>
    <col width="10" customWidth="1" min="38" max="38"/>
  </cols>
  <sheetData>
    <row r="1" ht="18" customHeight="1">
      <c r="A1" s="1" t="inlineStr">
        <is>
          <t>Smart Tots</t>
        </is>
      </c>
      <c r="B1" s="2" t="inlineStr">
        <is>
          <t>Actuals 2025</t>
        </is>
      </c>
      <c r="O1" s="2" t="inlineStr">
        <is>
          <t>2026 Actual / Forecast</t>
        </is>
      </c>
      <c r="AC1" s="2" t="inlineStr">
        <is>
          <t>2027 Forecast</t>
        </is>
      </c>
      <c r="AK1" s="3" t="inlineStr">
        <is>
          <t>YoY</t>
        </is>
      </c>
      <c r="AL1" s="3" t="inlineStr">
        <is>
          <t>YoY</t>
        </is>
      </c>
    </row>
    <row r="2" ht="22" customHeight="1">
      <c r="B2" s="4" t="inlineStr">
        <is>
          <t>Jan</t>
        </is>
      </c>
      <c r="C2" s="4" t="inlineStr">
        <is>
          <t>Feb</t>
        </is>
      </c>
      <c r="D2" s="4" t="inlineStr">
        <is>
          <t>Mar</t>
        </is>
      </c>
      <c r="E2" s="4" t="inlineStr">
        <is>
          <t>Apr</t>
        </is>
      </c>
      <c r="F2" s="4" t="inlineStr">
        <is>
          <t>May</t>
        </is>
      </c>
      <c r="G2" s="4" t="inlineStr">
        <is>
          <t>Jun</t>
        </is>
      </c>
      <c r="H2" s="4" t="inlineStr">
        <is>
          <t>Jul</t>
        </is>
      </c>
      <c r="I2" s="4" t="inlineStr">
        <is>
          <t>Aug</t>
        </is>
      </c>
      <c r="J2" s="4" t="inlineStr">
        <is>
          <t>Sep</t>
        </is>
      </c>
      <c r="K2" s="4" t="inlineStr">
        <is>
          <t>Oct</t>
        </is>
      </c>
      <c r="L2" s="4" t="inlineStr">
        <is>
          <t>Nov</t>
        </is>
      </c>
      <c r="M2" s="4" t="inlineStr">
        <is>
          <t>Dec</t>
        </is>
      </c>
      <c r="N2" s="5" t="inlineStr">
        <is>
          <t>FY2025
Total</t>
        </is>
      </c>
      <c r="O2" s="4" t="inlineStr">
        <is>
          <t>Jan</t>
        </is>
      </c>
      <c r="P2" s="4" t="inlineStr">
        <is>
          <t>Feb</t>
        </is>
      </c>
      <c r="Q2" s="4" t="inlineStr">
        <is>
          <t>Mar</t>
        </is>
      </c>
      <c r="R2" s="4" t="inlineStr">
        <is>
          <t>Apr</t>
        </is>
      </c>
      <c r="S2" s="4" t="inlineStr">
        <is>
          <t>May</t>
        </is>
      </c>
      <c r="T2" s="4" t="inlineStr">
        <is>
          <t>Jun</t>
        </is>
      </c>
      <c r="U2" s="4" t="inlineStr">
        <is>
          <t>Jul</t>
        </is>
      </c>
      <c r="V2" s="4" t="inlineStr">
        <is>
          <t>Aug</t>
        </is>
      </c>
      <c r="W2" s="4" t="inlineStr">
        <is>
          <t>Sep</t>
        </is>
      </c>
      <c r="X2" s="4" t="inlineStr">
        <is>
          <t>Oct</t>
        </is>
      </c>
      <c r="Y2" s="4" t="inlineStr">
        <is>
          <t>Nov</t>
        </is>
      </c>
      <c r="Z2" s="4" t="inlineStr">
        <is>
          <t>Dec</t>
        </is>
      </c>
      <c r="AA2" s="4" t="inlineStr">
        <is>
          <t>YTD</t>
        </is>
      </c>
      <c r="AB2" s="5" t="inlineStr">
        <is>
          <t>FY2026
Outlook</t>
        </is>
      </c>
      <c r="AC2" s="4" t="inlineStr">
        <is>
          <t>Jan</t>
        </is>
      </c>
      <c r="AD2" s="4" t="inlineStr">
        <is>
          <t>Feb</t>
        </is>
      </c>
      <c r="AE2" s="4" t="inlineStr">
        <is>
          <t>Mar</t>
        </is>
      </c>
      <c r="AF2" s="4" t="inlineStr">
        <is>
          <t>Apr</t>
        </is>
      </c>
      <c r="AG2" s="4" t="inlineStr">
        <is>
          <t>May</t>
        </is>
      </c>
      <c r="AH2" s="4" t="inlineStr">
        <is>
          <t>Jun</t>
        </is>
      </c>
      <c r="AI2" s="6" t="inlineStr">
        <is>
          <t>Jul-Dec
Proj.</t>
        </is>
      </c>
      <c r="AJ2" s="4" t="inlineStr">
        <is>
          <t>FY2027</t>
        </is>
      </c>
      <c r="AK2" s="6" t="inlineStr">
        <is>
          <t>25→26
%</t>
        </is>
      </c>
      <c r="AL2" s="6" t="inlineStr">
        <is>
          <t>26→27
%</t>
        </is>
      </c>
    </row>
    <row r="3" ht="15" customHeight="1">
      <c r="A3" s="7" t="inlineStr">
        <is>
          <t>INCOME</t>
        </is>
      </c>
    </row>
    <row r="4" ht="13" customHeight="1">
      <c r="A4" s="8" t="inlineStr">
        <is>
          <t xml:space="preserve">    Fee Income Regular</t>
        </is>
      </c>
      <c r="B4" s="9" t="n">
        <v>35136.66</v>
      </c>
      <c r="C4" s="9" t="n">
        <v>31904.12</v>
      </c>
      <c r="D4" s="9" t="n">
        <v>37428.88</v>
      </c>
      <c r="E4" s="9" t="n">
        <v>44109.71</v>
      </c>
      <c r="F4" s="9" t="n">
        <v>35175.74</v>
      </c>
      <c r="G4" s="9" t="n">
        <v>35630.7</v>
      </c>
      <c r="H4" s="9" t="n">
        <v>48545.23</v>
      </c>
      <c r="I4" s="9" t="n">
        <v>36978.69</v>
      </c>
      <c r="J4" s="9" t="n">
        <v>23539.81</v>
      </c>
      <c r="K4" s="9" t="n">
        <v>21638.64</v>
      </c>
      <c r="L4" s="9" t="n">
        <v>21476.5</v>
      </c>
      <c r="M4" s="9" t="n">
        <v>29823.68</v>
      </c>
      <c r="N4" s="9">
        <f>SUM(B4:M4)</f>
        <v/>
      </c>
      <c r="O4" s="9" t="n">
        <v>27048.5</v>
      </c>
      <c r="P4" s="9" t="n">
        <v>29446.3</v>
      </c>
      <c r="Q4" s="9" t="n">
        <v>33209</v>
      </c>
      <c r="R4" s="9" t="n">
        <v>39710.4</v>
      </c>
      <c r="S4" s="9" t="n">
        <v>34102.1</v>
      </c>
      <c r="T4" s="9" t="n">
        <v>39117.5</v>
      </c>
      <c r="U4" s="9" t="n">
        <v>48092.35000000001</v>
      </c>
      <c r="AA4" s="9">
        <f>SUM(O4:U4)</f>
        <v/>
      </c>
      <c r="AB4" s="9">
        <f>SUM(O4:Z4)</f>
        <v/>
      </c>
      <c r="AC4" s="9" t="n">
        <v>51523.8</v>
      </c>
      <c r="AD4" s="9" t="n">
        <v>47675.55</v>
      </c>
      <c r="AE4" s="9" t="n">
        <v>57134.76</v>
      </c>
      <c r="AF4" s="9" t="n">
        <v>48560.52</v>
      </c>
      <c r="AG4" s="9" t="n">
        <v>49676.32</v>
      </c>
      <c r="AH4" s="9" t="n">
        <v>51026.35</v>
      </c>
      <c r="AI4" s="10">
        <f>SUM(AC4:AH4)</f>
        <v/>
      </c>
      <c r="AJ4" s="9">
        <f>SUM(AC4:AH4)+AI4</f>
        <v/>
      </c>
      <c r="AK4" s="11">
        <f>IF(N4&lt;&gt;0,(AB4-N4)/ABS(N4),0)</f>
        <v/>
      </c>
      <c r="AL4" s="11">
        <f>IF(AB4&lt;&gt;0,(AJ4-AB4)/ABS(AB4),0)</f>
        <v/>
      </c>
    </row>
    <row r="5" ht="13" customHeight="1">
      <c r="A5" s="8" t="inlineStr">
        <is>
          <t xml:space="preserve">    EEEF Embedded</t>
        </is>
      </c>
      <c r="B5" s="9" t="n">
        <v>13402.32</v>
      </c>
      <c r="C5" s="9" t="n">
        <v>26714.04</v>
      </c>
      <c r="D5" s="9" t="n">
        <v>26714.04</v>
      </c>
      <c r="E5" s="9" t="n">
        <v>8615.389999999999</v>
      </c>
      <c r="F5" s="9" t="n">
        <v>8615.389999999999</v>
      </c>
      <c r="G5" s="9" t="n">
        <v>22603.64</v>
      </c>
      <c r="H5" s="9" t="n">
        <v>22603.63</v>
      </c>
      <c r="I5" s="9" t="n">
        <v>0</v>
      </c>
      <c r="J5" s="9" t="n">
        <v>9695.389999999999</v>
      </c>
      <c r="K5" s="9" t="n">
        <v>9695.379999999999</v>
      </c>
      <c r="L5" s="9" t="n">
        <v>23858.64</v>
      </c>
      <c r="M5" s="9" t="n">
        <v>23858.64</v>
      </c>
      <c r="N5" s="9">
        <f>SUM(B5:M5)</f>
        <v/>
      </c>
      <c r="O5" s="9" t="n">
        <v>11734.8</v>
      </c>
      <c r="P5" s="9" t="n">
        <v>29745.6</v>
      </c>
      <c r="Q5" s="9" t="n">
        <v>32438.4</v>
      </c>
      <c r="R5" s="9" t="n">
        <v>26264.3</v>
      </c>
      <c r="S5" s="9" t="n">
        <v>24020.2</v>
      </c>
      <c r="T5" s="9" t="n">
        <v>23531.2</v>
      </c>
      <c r="U5" s="9" t="n">
        <v>26524.66</v>
      </c>
      <c r="AA5" s="9">
        <f>SUM(O5:U5)</f>
        <v/>
      </c>
      <c r="AB5" s="9">
        <f>SUM(O5:Z5)</f>
        <v/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10">
        <f>SUM(AC5:AH5)</f>
        <v/>
      </c>
      <c r="AJ5" s="9">
        <f>SUM(AC5:AH5)+AI5</f>
        <v/>
      </c>
      <c r="AK5" s="11">
        <f>IF(N5&lt;&gt;0,(AB5-N5)/ABS(N5),0)</f>
        <v/>
      </c>
      <c r="AL5" s="11">
        <f>IF(AB5&lt;&gt;0,(AJ5-AB5)/ABS(AB5),0)</f>
        <v/>
      </c>
    </row>
    <row r="6" ht="13" customHeight="1">
      <c r="A6" s="8" t="inlineStr">
        <is>
          <t xml:space="preserve">    Other Income</t>
        </is>
      </c>
      <c r="B6" s="9" t="n">
        <v>193.25</v>
      </c>
      <c r="C6" s="9" t="n">
        <v>100</v>
      </c>
      <c r="D6" s="9" t="n">
        <v>240</v>
      </c>
      <c r="E6" s="9" t="n">
        <v>150</v>
      </c>
      <c r="F6" s="9" t="n">
        <v>150</v>
      </c>
      <c r="G6" s="9" t="n">
        <v>180</v>
      </c>
      <c r="H6" s="9" t="n">
        <v>722.6900000000001</v>
      </c>
      <c r="I6" s="9" t="n">
        <v>3954.91</v>
      </c>
      <c r="J6" s="9" t="n">
        <v>0</v>
      </c>
      <c r="K6" s="9" t="n">
        <v>30</v>
      </c>
      <c r="L6" s="9" t="n">
        <v>0</v>
      </c>
      <c r="M6" s="9" t="n">
        <v>90</v>
      </c>
      <c r="N6" s="9">
        <f>SUM(B6:M6)</f>
        <v/>
      </c>
      <c r="O6" s="9" t="n">
        <v>59.5</v>
      </c>
      <c r="P6" s="9" t="n">
        <v>0</v>
      </c>
      <c r="Q6" s="9" t="n">
        <v>30</v>
      </c>
      <c r="R6" s="9" t="n">
        <v>0</v>
      </c>
      <c r="S6" s="9" t="n">
        <v>0</v>
      </c>
      <c r="T6" s="9" t="n">
        <v>0</v>
      </c>
      <c r="U6" s="9" t="n">
        <v>0</v>
      </c>
      <c r="AA6" s="9">
        <f>SUM(O6:U6)</f>
        <v/>
      </c>
      <c r="AB6" s="9">
        <f>SUM(O6:Z6)</f>
        <v/>
      </c>
      <c r="AC6" s="9" t="n">
        <v>0</v>
      </c>
      <c r="AD6" s="9" t="n">
        <v>0</v>
      </c>
      <c r="AE6" s="9" t="n">
        <v>0</v>
      </c>
      <c r="AF6" s="9" t="n">
        <v>0</v>
      </c>
      <c r="AG6" s="9" t="n">
        <v>0</v>
      </c>
      <c r="AH6" s="9" t="n">
        <v>0</v>
      </c>
      <c r="AI6" s="10">
        <f>SUM(AC6:AH6)</f>
        <v/>
      </c>
      <c r="AJ6" s="9">
        <f>SUM(AC6:AH6)+AI6</f>
        <v/>
      </c>
      <c r="AK6" s="11">
        <f>IF(N6&lt;&gt;0,(AB6-N6)/ABS(N6),0)</f>
        <v/>
      </c>
      <c r="AL6" s="11">
        <f>IF(AB6&lt;&gt;0,(AJ6-AB6)/ABS(AB6),0)</f>
        <v/>
      </c>
    </row>
    <row r="7" ht="13" customHeight="1">
      <c r="A7" s="12" t="inlineStr">
        <is>
          <t>Total Income</t>
        </is>
      </c>
      <c r="B7" s="13">
        <f>B4+B5+B6</f>
        <v/>
      </c>
      <c r="C7" s="13">
        <f>C4+C5+C6</f>
        <v/>
      </c>
      <c r="D7" s="13">
        <f>D4+D5+D6</f>
        <v/>
      </c>
      <c r="E7" s="13">
        <f>E4+E5+E6</f>
        <v/>
      </c>
      <c r="F7" s="13">
        <f>F4+F5+F6</f>
        <v/>
      </c>
      <c r="G7" s="13">
        <f>G4+G5+G6</f>
        <v/>
      </c>
      <c r="H7" s="13">
        <f>H4+H5+H6</f>
        <v/>
      </c>
      <c r="I7" s="13">
        <f>I4+I5+I6</f>
        <v/>
      </c>
      <c r="J7" s="13">
        <f>J4+J5+J6</f>
        <v/>
      </c>
      <c r="K7" s="13">
        <f>K4+K5+K6</f>
        <v/>
      </c>
      <c r="L7" s="13">
        <f>L4+L5+L6</f>
        <v/>
      </c>
      <c r="M7" s="13">
        <f>M4+M5+M6</f>
        <v/>
      </c>
      <c r="N7" s="13">
        <f>N4+N5+N6</f>
        <v/>
      </c>
      <c r="O7" s="13">
        <f>O4+O5+O6</f>
        <v/>
      </c>
      <c r="P7" s="13">
        <f>P4+P5+P6</f>
        <v/>
      </c>
      <c r="Q7" s="13">
        <f>Q4+Q5+Q6</f>
        <v/>
      </c>
      <c r="R7" s="13">
        <f>R4+R5+R6</f>
        <v/>
      </c>
      <c r="S7" s="13">
        <f>S4+S5+S6</f>
        <v/>
      </c>
      <c r="T7" s="13">
        <f>T4+T5+T6</f>
        <v/>
      </c>
      <c r="U7" s="13">
        <f>U4+U5+U6</f>
        <v/>
      </c>
      <c r="V7" s="13">
        <f>V4+V5+V6</f>
        <v/>
      </c>
      <c r="W7" s="13">
        <f>W4+W5+W6</f>
        <v/>
      </c>
      <c r="X7" s="13">
        <f>X4+X5+X6</f>
        <v/>
      </c>
      <c r="Y7" s="13">
        <f>Y4+Y5+Y6</f>
        <v/>
      </c>
      <c r="Z7" s="13">
        <f>Z4+Z5+Z6</f>
        <v/>
      </c>
      <c r="AA7" s="13">
        <f>AA4+AA5+AA6</f>
        <v/>
      </c>
      <c r="AB7" s="13">
        <f>AB4+AB5+AB6</f>
        <v/>
      </c>
      <c r="AC7" s="13">
        <f>AC4+AC5+AC6</f>
        <v/>
      </c>
      <c r="AD7" s="13">
        <f>AD4+AD5+AD6</f>
        <v/>
      </c>
      <c r="AE7" s="13">
        <f>AE4+AE5+AE6</f>
        <v/>
      </c>
      <c r="AF7" s="13">
        <f>AF4+AF5+AF6</f>
        <v/>
      </c>
      <c r="AG7" s="13">
        <f>AG4+AG5+AG6</f>
        <v/>
      </c>
      <c r="AH7" s="13">
        <f>AH4+AH5+AH6</f>
        <v/>
      </c>
      <c r="AI7" s="13">
        <f>AI4+AI5+AI6</f>
        <v/>
      </c>
      <c r="AJ7" s="13">
        <f>AJ4+AJ5+AJ6</f>
        <v/>
      </c>
      <c r="AK7" s="11">
        <f>IF(N7&lt;&gt;0,(AB7-N7)/ABS(N7),0)</f>
        <v/>
      </c>
      <c r="AL7" s="11">
        <f>IF(AB7&lt;&gt;0,(AJ7-AB7)/ABS(AB7),0)</f>
        <v/>
      </c>
    </row>
    <row r="8" ht="5" customHeight="1"/>
    <row r="9" ht="15" customHeight="1">
      <c r="A9" s="7" t="inlineStr">
        <is>
          <t>DIRECT COSTS</t>
        </is>
      </c>
    </row>
    <row r="10" ht="13" customHeight="1">
      <c r="A10" s="14" t="inlineStr">
        <is>
          <t>Personnel</t>
        </is>
      </c>
    </row>
    <row r="11" ht="13" customHeight="1">
      <c r="A11" s="15" t="inlineStr">
        <is>
          <t xml:space="preserve">    Nursery Salaries</t>
        </is>
      </c>
      <c r="B11" s="16" t="n">
        <v>30287.19</v>
      </c>
      <c r="C11" s="16" t="n">
        <v>28161.92</v>
      </c>
      <c r="D11" s="16" t="n">
        <v>25110.5</v>
      </c>
      <c r="E11" s="16" t="n">
        <v>28269.59</v>
      </c>
      <c r="F11" s="16" t="n">
        <v>32973.91</v>
      </c>
      <c r="G11" s="16" t="n">
        <v>26527.48</v>
      </c>
      <c r="H11" s="16" t="n">
        <v>26525.69</v>
      </c>
      <c r="I11" s="16" t="n">
        <v>24730.92</v>
      </c>
      <c r="J11" s="16" t="n">
        <v>23058.19</v>
      </c>
      <c r="K11" s="16" t="n">
        <v>26098.63</v>
      </c>
      <c r="L11" s="16" t="n">
        <v>25153.72</v>
      </c>
      <c r="M11" s="16" t="n">
        <v>28256.28</v>
      </c>
      <c r="N11" s="16">
        <f>SUM(B11:M11)</f>
        <v/>
      </c>
      <c r="O11" s="16" t="n">
        <v>29983.84</v>
      </c>
      <c r="P11" s="16" t="n">
        <v>29098.5</v>
      </c>
      <c r="Q11" s="16" t="n">
        <v>32556.97</v>
      </c>
      <c r="R11" s="16" t="n">
        <v>34842.43</v>
      </c>
      <c r="S11" s="16" t="n">
        <v>34444.71</v>
      </c>
      <c r="T11" s="16" t="n">
        <v>37619.83</v>
      </c>
      <c r="U11" s="16" t="n">
        <v>36454.3</v>
      </c>
      <c r="AA11" s="16">
        <f>SUM(O11:U11)</f>
        <v/>
      </c>
      <c r="AB11" s="16">
        <f>SUM(O11:Z11)</f>
        <v/>
      </c>
      <c r="AC11" s="16" t="n">
        <v>36454.3</v>
      </c>
      <c r="AD11" s="16" t="n">
        <v>36454.3</v>
      </c>
      <c r="AE11" s="16" t="n">
        <v>36454.3</v>
      </c>
      <c r="AF11" s="16" t="n">
        <v>36454.3</v>
      </c>
      <c r="AG11" s="16" t="n">
        <v>36454.3</v>
      </c>
      <c r="AH11" s="16" t="n">
        <v>36454.3</v>
      </c>
      <c r="AI11" s="10">
        <f>SUM(AC11:AH11)</f>
        <v/>
      </c>
      <c r="AJ11" s="16">
        <f>SUM(AC11:AH11)+AI11</f>
        <v/>
      </c>
      <c r="AK11" s="11">
        <f>IF(N11&lt;&gt;0,(AB11-N11)/ABS(N11),0)</f>
        <v/>
      </c>
      <c r="AL11" s="11">
        <f>IF(AB11&lt;&gt;0,(AJ11-AB11)/ABS(AB11),0)</f>
        <v/>
      </c>
    </row>
    <row r="12" ht="13" customHeight="1">
      <c r="A12" s="15" t="inlineStr">
        <is>
          <t xml:space="preserve">    Nursery NI</t>
        </is>
      </c>
      <c r="B12" s="16" t="n">
        <v>2317.34</v>
      </c>
      <c r="C12" s="16" t="n">
        <v>2017.92</v>
      </c>
      <c r="D12" s="16" t="n">
        <v>1979.38</v>
      </c>
      <c r="E12" s="16" t="n">
        <v>2908.34</v>
      </c>
      <c r="F12" s="16" t="n">
        <v>3305.33</v>
      </c>
      <c r="G12" s="16" t="n">
        <v>2920.15</v>
      </c>
      <c r="H12" s="16" t="n">
        <v>3181.89</v>
      </c>
      <c r="I12" s="16" t="n">
        <v>2824.01</v>
      </c>
      <c r="J12" s="16" t="n">
        <v>2565.3</v>
      </c>
      <c r="K12" s="16" t="n">
        <v>2981.29</v>
      </c>
      <c r="L12" s="16" t="n">
        <v>2854.93</v>
      </c>
      <c r="M12" s="16" t="n">
        <v>3162.72</v>
      </c>
      <c r="N12" s="16">
        <f>SUM(B12:M12)</f>
        <v/>
      </c>
      <c r="O12" s="16" t="n">
        <v>3426.49</v>
      </c>
      <c r="P12" s="16" t="n">
        <v>3529.84</v>
      </c>
      <c r="Q12" s="16" t="n">
        <v>3556.72</v>
      </c>
      <c r="R12" s="16" t="n">
        <v>3836.75</v>
      </c>
      <c r="S12" s="16" t="n">
        <v>3836.73</v>
      </c>
      <c r="T12" s="16" t="n">
        <v>4158.21</v>
      </c>
      <c r="U12" s="16" t="n">
        <v>4331.47</v>
      </c>
      <c r="AA12" s="16">
        <f>SUM(O12:U12)</f>
        <v/>
      </c>
      <c r="AB12" s="16">
        <f>SUM(O12:Z12)</f>
        <v/>
      </c>
      <c r="AC12" s="16" t="n">
        <v>4331.47</v>
      </c>
      <c r="AD12" s="16" t="n">
        <v>4331.47</v>
      </c>
      <c r="AE12" s="16" t="n">
        <v>4331.47</v>
      </c>
      <c r="AF12" s="16" t="n">
        <v>4331.47</v>
      </c>
      <c r="AG12" s="16" t="n">
        <v>4331.47</v>
      </c>
      <c r="AH12" s="16" t="n">
        <v>4331.47</v>
      </c>
      <c r="AI12" s="10">
        <f>SUM(AC12:AH12)</f>
        <v/>
      </c>
      <c r="AJ12" s="16">
        <f>SUM(AC12:AH12)+AI12</f>
        <v/>
      </c>
      <c r="AK12" s="11">
        <f>IF(N12&lt;&gt;0,(AB12-N12)/ABS(N12),0)</f>
        <v/>
      </c>
      <c r="AL12" s="11">
        <f>IF(AB12&lt;&gt;0,(AJ12-AB12)/ABS(AB12),0)</f>
        <v/>
      </c>
    </row>
    <row r="13" ht="13" customHeight="1">
      <c r="A13" s="15" t="inlineStr">
        <is>
          <t xml:space="preserve">    Nursery Pension</t>
        </is>
      </c>
      <c r="B13" s="16" t="n">
        <v>544.37</v>
      </c>
      <c r="C13" s="16" t="n">
        <v>517.16</v>
      </c>
      <c r="D13" s="16" t="n">
        <v>508.79</v>
      </c>
      <c r="E13" s="16" t="n">
        <v>544.54</v>
      </c>
      <c r="F13" s="16" t="n">
        <v>503.06</v>
      </c>
      <c r="G13" s="16" t="n">
        <v>476.9</v>
      </c>
      <c r="H13" s="16" t="n">
        <v>596.13</v>
      </c>
      <c r="I13" s="16" t="n">
        <v>527.66</v>
      </c>
      <c r="J13" s="16" t="n">
        <v>475.92</v>
      </c>
      <c r="K13" s="16" t="n">
        <v>557.97</v>
      </c>
      <c r="L13" s="16" t="n">
        <v>531.24</v>
      </c>
      <c r="M13" s="16" t="n">
        <v>587.5599999999999</v>
      </c>
      <c r="N13" s="16">
        <f>SUM(B13:M13)</f>
        <v/>
      </c>
      <c r="O13" s="16" t="n">
        <v>612.9299999999999</v>
      </c>
      <c r="P13" s="16" t="n">
        <v>578.4400000000001</v>
      </c>
      <c r="Q13" s="16" t="n">
        <v>606.5700000000001</v>
      </c>
      <c r="R13" s="16" t="n">
        <v>659.52</v>
      </c>
      <c r="S13" s="16" t="n">
        <v>659.99</v>
      </c>
      <c r="T13" s="16" t="n">
        <v>662.76</v>
      </c>
      <c r="U13" s="16" t="n">
        <v>650.65</v>
      </c>
      <c r="AA13" s="16">
        <f>SUM(O13:U13)</f>
        <v/>
      </c>
      <c r="AB13" s="16">
        <f>SUM(O13:Z13)</f>
        <v/>
      </c>
      <c r="AC13" s="16" t="n">
        <v>650.65</v>
      </c>
      <c r="AD13" s="16" t="n">
        <v>650.65</v>
      </c>
      <c r="AE13" s="16" t="n">
        <v>650.65</v>
      </c>
      <c r="AF13" s="16" t="n">
        <v>650.65</v>
      </c>
      <c r="AG13" s="16" t="n">
        <v>650.65</v>
      </c>
      <c r="AH13" s="16" t="n">
        <v>650.65</v>
      </c>
      <c r="AI13" s="10">
        <f>SUM(AC13:AH13)</f>
        <v/>
      </c>
      <c r="AJ13" s="16">
        <f>SUM(AC13:AH13)+AI13</f>
        <v/>
      </c>
      <c r="AK13" s="11">
        <f>IF(N13&lt;&gt;0,(AB13-N13)/ABS(N13),0)</f>
        <v/>
      </c>
      <c r="AL13" s="11">
        <f>IF(AB13&lt;&gt;0,(AJ13-AB13)/ABS(AB13),0)</f>
        <v/>
      </c>
    </row>
    <row r="14" ht="13" customHeight="1">
      <c r="A14" s="15" t="inlineStr">
        <is>
          <t xml:space="preserve">    Uniform</t>
        </is>
      </c>
      <c r="B14" s="16" t="n">
        <v>0</v>
      </c>
      <c r="C14" s="16" t="n">
        <v>0</v>
      </c>
      <c r="D14" s="16" t="n">
        <v>47.28</v>
      </c>
      <c r="E14" s="16" t="n">
        <v>0</v>
      </c>
      <c r="F14" s="16" t="n">
        <v>0</v>
      </c>
      <c r="G14" s="16" t="n">
        <v>0</v>
      </c>
      <c r="H14" s="16" t="n">
        <v>91.14</v>
      </c>
      <c r="I14" s="16" t="n">
        <v>100.14</v>
      </c>
      <c r="J14" s="16" t="n">
        <v>0</v>
      </c>
      <c r="K14" s="16" t="n">
        <v>0</v>
      </c>
      <c r="L14" s="16" t="n">
        <v>39.54</v>
      </c>
      <c r="M14" s="16" t="n">
        <v>24.98</v>
      </c>
      <c r="N14" s="16">
        <f>SUM(B14:M14)</f>
        <v/>
      </c>
      <c r="O14" s="16" t="n">
        <v>0</v>
      </c>
      <c r="P14" s="16" t="n">
        <v>152.88</v>
      </c>
      <c r="Q14" s="16" t="n">
        <v>0</v>
      </c>
      <c r="R14" s="16" t="n">
        <v>119.88</v>
      </c>
      <c r="S14" s="16" t="n">
        <v>0</v>
      </c>
      <c r="T14" s="16" t="n">
        <v>51.24</v>
      </c>
      <c r="U14" s="16" t="n">
        <v>0</v>
      </c>
      <c r="AA14" s="16">
        <f>SUM(O14:U14)</f>
        <v/>
      </c>
      <c r="AB14" s="16">
        <f>SUM(O14:Z14)</f>
        <v/>
      </c>
      <c r="AC14" s="16" t="n">
        <v>73.35000000000001</v>
      </c>
      <c r="AD14" s="16" t="n">
        <v>73.35000000000001</v>
      </c>
      <c r="AE14" s="16" t="n">
        <v>73.35000000000001</v>
      </c>
      <c r="AF14" s="16" t="n">
        <v>73.35000000000001</v>
      </c>
      <c r="AG14" s="16" t="n">
        <v>73.35000000000001</v>
      </c>
      <c r="AH14" s="16" t="n">
        <v>73.35000000000001</v>
      </c>
      <c r="AI14" s="10">
        <f>SUM(AC14:AH14)</f>
        <v/>
      </c>
      <c r="AJ14" s="16">
        <f>SUM(AC14:AH14)+AI14</f>
        <v/>
      </c>
      <c r="AK14" s="11">
        <f>IF(N14&lt;&gt;0,(AB14-N14)/ABS(N14),0)</f>
        <v/>
      </c>
      <c r="AL14" s="11">
        <f>IF(AB14&lt;&gt;0,(AJ14-AB14)/ABS(AB14),0)</f>
        <v/>
      </c>
    </row>
    <row r="15" ht="13" customHeight="1">
      <c r="A15" s="15" t="inlineStr">
        <is>
          <t xml:space="preserve">    Training</t>
        </is>
      </c>
      <c r="B15" s="16" t="n">
        <v>0</v>
      </c>
      <c r="C15" s="16" t="n">
        <v>0</v>
      </c>
      <c r="D15" s="16" t="n">
        <v>0</v>
      </c>
      <c r="E15" s="16" t="n">
        <v>0</v>
      </c>
      <c r="F15" s="16" t="n">
        <v>0</v>
      </c>
      <c r="G15" s="16" t="n">
        <v>0</v>
      </c>
      <c r="H15" s="16" t="n">
        <v>162</v>
      </c>
      <c r="I15" s="16" t="n">
        <v>0</v>
      </c>
      <c r="J15" s="16" t="n">
        <v>180.76</v>
      </c>
      <c r="K15" s="16" t="n">
        <v>37.2</v>
      </c>
      <c r="L15" s="16" t="n">
        <v>0</v>
      </c>
      <c r="M15" s="16" t="n">
        <v>13</v>
      </c>
      <c r="N15" s="16">
        <f>SUM(B15:M15)</f>
        <v/>
      </c>
      <c r="O15" s="16" t="n">
        <v>13</v>
      </c>
      <c r="P15" s="16" t="n">
        <v>326</v>
      </c>
      <c r="Q15" s="16" t="n">
        <v>325.2</v>
      </c>
      <c r="R15" s="16" t="n">
        <v>72</v>
      </c>
      <c r="S15" s="16" t="n">
        <v>48</v>
      </c>
      <c r="T15" s="16" t="n">
        <v>0</v>
      </c>
      <c r="U15" s="16" t="n">
        <v>0</v>
      </c>
      <c r="AA15" s="16">
        <f>SUM(O15:U15)</f>
        <v/>
      </c>
      <c r="AB15" s="16">
        <f>SUM(O15:Z15)</f>
        <v/>
      </c>
      <c r="AC15" s="16" t="n">
        <v>100</v>
      </c>
      <c r="AD15" s="16" t="n">
        <v>100</v>
      </c>
      <c r="AE15" s="16" t="n">
        <v>100</v>
      </c>
      <c r="AF15" s="16" t="n">
        <v>100</v>
      </c>
      <c r="AG15" s="16" t="n">
        <v>100</v>
      </c>
      <c r="AH15" s="16" t="n">
        <v>100</v>
      </c>
      <c r="AI15" s="10">
        <f>SUM(AC15:AH15)</f>
        <v/>
      </c>
      <c r="AJ15" s="16">
        <f>SUM(AC15:AH15)+AI15</f>
        <v/>
      </c>
      <c r="AK15" s="11">
        <f>IF(N15&lt;&gt;0,(AB15-N15)/ABS(N15),0)</f>
        <v/>
      </c>
      <c r="AL15" s="11">
        <f>IF(AB15&lt;&gt;0,(AJ15-AB15)/ABS(AB15),0)</f>
        <v/>
      </c>
    </row>
    <row r="16" ht="13" customHeight="1">
      <c r="A16" s="15" t="inlineStr">
        <is>
          <t xml:space="preserve">    Staff Welfare</t>
        </is>
      </c>
      <c r="B16" s="16" t="n">
        <v>113.59</v>
      </c>
      <c r="C16" s="16" t="n">
        <v>168.36</v>
      </c>
      <c r="D16" s="16" t="n">
        <v>51.79</v>
      </c>
      <c r="E16" s="16" t="n">
        <v>150.6</v>
      </c>
      <c r="F16" s="16" t="n">
        <v>120.41</v>
      </c>
      <c r="G16" s="16" t="n">
        <v>113.1</v>
      </c>
      <c r="H16" s="16" t="n">
        <v>47.23</v>
      </c>
      <c r="I16" s="16" t="n">
        <v>145.53</v>
      </c>
      <c r="J16" s="16" t="n">
        <v>0</v>
      </c>
      <c r="K16" s="16" t="n">
        <v>110.87</v>
      </c>
      <c r="L16" s="16" t="n">
        <v>175.33</v>
      </c>
      <c r="M16" s="16" t="n">
        <v>89.36</v>
      </c>
      <c r="N16" s="16">
        <f>SUM(B16:M16)</f>
        <v/>
      </c>
      <c r="O16" s="16" t="n">
        <v>80.19</v>
      </c>
      <c r="P16" s="16" t="n">
        <v>40.29</v>
      </c>
      <c r="Q16" s="16" t="n">
        <v>48.98</v>
      </c>
      <c r="R16" s="16" t="n">
        <v>7</v>
      </c>
      <c r="S16" s="16" t="n">
        <v>141.26</v>
      </c>
      <c r="T16" s="16" t="n">
        <v>79.87</v>
      </c>
      <c r="U16" s="16" t="n">
        <v>7.39</v>
      </c>
      <c r="AA16" s="16">
        <f>SUM(O16:U16)</f>
        <v/>
      </c>
      <c r="AB16" s="16">
        <f>SUM(O16:Z16)</f>
        <v/>
      </c>
      <c r="AC16" s="16" t="n">
        <v>150</v>
      </c>
      <c r="AD16" s="16" t="n">
        <v>150</v>
      </c>
      <c r="AE16" s="16" t="n">
        <v>150</v>
      </c>
      <c r="AF16" s="16" t="n">
        <v>150</v>
      </c>
      <c r="AG16" s="16" t="n">
        <v>150</v>
      </c>
      <c r="AH16" s="16" t="n">
        <v>150</v>
      </c>
      <c r="AI16" s="10">
        <f>SUM(AC16:AH16)</f>
        <v/>
      </c>
      <c r="AJ16" s="16">
        <f>SUM(AC16:AH16)+AI16</f>
        <v/>
      </c>
      <c r="AK16" s="11">
        <f>IF(N16&lt;&gt;0,(AB16-N16)/ABS(N16),0)</f>
        <v/>
      </c>
      <c r="AL16" s="11">
        <f>IF(AB16&lt;&gt;0,(AJ16-AB16)/ABS(AB16),0)</f>
        <v/>
      </c>
    </row>
    <row r="17" ht="13" customHeight="1">
      <c r="A17" s="15" t="inlineStr">
        <is>
          <t xml:space="preserve">    Recruitment</t>
        </is>
      </c>
      <c r="B17" s="16" t="n">
        <v>0</v>
      </c>
      <c r="C17" s="16" t="n">
        <v>0</v>
      </c>
      <c r="D17" s="16" t="n">
        <v>0</v>
      </c>
      <c r="E17" s="16" t="n">
        <v>0</v>
      </c>
      <c r="F17" s="16" t="n">
        <v>0</v>
      </c>
      <c r="G17" s="16" t="n">
        <v>0</v>
      </c>
      <c r="H17" s="16" t="n">
        <v>0</v>
      </c>
      <c r="I17" s="16" t="n">
        <v>0</v>
      </c>
      <c r="J17" s="16" t="n">
        <v>0</v>
      </c>
      <c r="K17" s="16" t="n">
        <v>0</v>
      </c>
      <c r="L17" s="16" t="n">
        <v>0</v>
      </c>
      <c r="M17" s="16" t="n">
        <v>0</v>
      </c>
      <c r="N17" s="16">
        <f>SUM(B17:M17)</f>
        <v/>
      </c>
      <c r="O17" s="16" t="n">
        <v>0</v>
      </c>
      <c r="P17" s="16" t="n">
        <v>0</v>
      </c>
      <c r="Q17" s="16" t="n">
        <v>0</v>
      </c>
      <c r="R17" s="16" t="n">
        <v>0</v>
      </c>
      <c r="S17" s="16" t="n">
        <v>0</v>
      </c>
      <c r="T17" s="16" t="n">
        <v>0</v>
      </c>
      <c r="U17" s="16" t="n">
        <v>0</v>
      </c>
      <c r="V17" s="16" t="n">
        <v>0</v>
      </c>
      <c r="W17" s="16" t="n">
        <v>0</v>
      </c>
      <c r="X17" s="16" t="n">
        <v>0</v>
      </c>
      <c r="Y17" s="16" t="n">
        <v>0</v>
      </c>
      <c r="Z17" s="16" t="n">
        <v>0</v>
      </c>
      <c r="AA17" s="16">
        <f>SUM(O17:U17)</f>
        <v/>
      </c>
      <c r="AB17" s="16">
        <f>SUM(O17:Z17)</f>
        <v/>
      </c>
      <c r="AC17" s="16" t="n">
        <v>0</v>
      </c>
      <c r="AD17" s="16" t="n">
        <v>0</v>
      </c>
      <c r="AE17" s="16" t="n">
        <v>0</v>
      </c>
      <c r="AF17" s="16" t="n">
        <v>0</v>
      </c>
      <c r="AG17" s="16" t="n">
        <v>0</v>
      </c>
      <c r="AH17" s="16" t="n">
        <v>0</v>
      </c>
      <c r="AI17" s="10">
        <f>SUM(AC17:AH17)</f>
        <v/>
      </c>
      <c r="AJ17" s="16">
        <f>SUM(AC17:AH17)+AI17</f>
        <v/>
      </c>
      <c r="AK17" s="11">
        <f>IF(N17&lt;&gt;0,(AB17-N17)/ABS(N17),0)</f>
        <v/>
      </c>
      <c r="AL17" s="11">
        <f>IF(AB17&lt;&gt;0,(AJ17-AB17)/ABS(AB17),0)</f>
        <v/>
      </c>
    </row>
    <row r="18" ht="13" customHeight="1">
      <c r="A18" s="15" t="inlineStr">
        <is>
          <t xml:space="preserve">    Rewards &amp; Recognition</t>
        </is>
      </c>
      <c r="B18" s="16" t="n">
        <v>0</v>
      </c>
      <c r="C18" s="16" t="n">
        <v>0</v>
      </c>
      <c r="D18" s="16" t="n">
        <v>0</v>
      </c>
      <c r="E18" s="16" t="n">
        <v>0</v>
      </c>
      <c r="F18" s="16" t="n">
        <v>0</v>
      </c>
      <c r="G18" s="16" t="n">
        <v>0</v>
      </c>
      <c r="H18" s="16" t="n">
        <v>0</v>
      </c>
      <c r="I18" s="16" t="n">
        <v>0</v>
      </c>
      <c r="J18" s="16" t="n">
        <v>0</v>
      </c>
      <c r="K18" s="16" t="n">
        <v>51</v>
      </c>
      <c r="L18" s="16" t="n">
        <v>0</v>
      </c>
      <c r="M18" s="16" t="n">
        <v>0</v>
      </c>
      <c r="N18" s="16">
        <f>SUM(B18:M18)</f>
        <v/>
      </c>
      <c r="O18" s="16" t="n">
        <v>0</v>
      </c>
      <c r="P18" s="16" t="n">
        <v>0</v>
      </c>
      <c r="Q18" s="16" t="n">
        <v>0</v>
      </c>
      <c r="R18" s="16" t="n">
        <v>0</v>
      </c>
      <c r="S18" s="16" t="n">
        <v>0</v>
      </c>
      <c r="T18" s="16" t="n">
        <v>11.39</v>
      </c>
      <c r="U18" s="16" t="n">
        <v>77.97</v>
      </c>
      <c r="AA18" s="16">
        <f>SUM(O18:U18)</f>
        <v/>
      </c>
      <c r="AB18" s="16">
        <f>SUM(O18:Z18)</f>
        <v/>
      </c>
      <c r="AC18" s="16" t="n">
        <v>63</v>
      </c>
      <c r="AD18" s="16" t="n">
        <v>63</v>
      </c>
      <c r="AE18" s="16" t="n">
        <v>63</v>
      </c>
      <c r="AF18" s="16" t="n">
        <v>63</v>
      </c>
      <c r="AG18" s="16" t="n">
        <v>63</v>
      </c>
      <c r="AH18" s="16" t="n">
        <v>63</v>
      </c>
      <c r="AI18" s="10">
        <f>SUM(AC18:AH18)</f>
        <v/>
      </c>
      <c r="AJ18" s="16">
        <f>SUM(AC18:AH18)+AI18</f>
        <v/>
      </c>
      <c r="AK18" s="11">
        <f>IF(N18&lt;&gt;0,(AB18-N18)/ABS(N18),0)</f>
        <v/>
      </c>
      <c r="AL18" s="11">
        <f>IF(AB18&lt;&gt;0,(AJ18-AB18)/ABS(AB18),0)</f>
        <v/>
      </c>
    </row>
    <row r="19" ht="13" customHeight="1">
      <c r="A19" s="15" t="inlineStr">
        <is>
          <t xml:space="preserve">    Temps</t>
        </is>
      </c>
      <c r="B19" s="16" t="n">
        <v>0</v>
      </c>
      <c r="C19" s="16" t="n">
        <v>0</v>
      </c>
      <c r="D19" s="16" t="n">
        <v>0</v>
      </c>
      <c r="E19" s="16" t="n">
        <v>0</v>
      </c>
      <c r="F19" s="16" t="n">
        <v>0</v>
      </c>
      <c r="G19" s="16" t="n">
        <v>0</v>
      </c>
      <c r="H19" s="16" t="n">
        <v>0</v>
      </c>
      <c r="I19" s="16" t="n">
        <v>0</v>
      </c>
      <c r="J19" s="16" t="n">
        <v>0</v>
      </c>
      <c r="K19" s="16" t="n">
        <v>0</v>
      </c>
      <c r="L19" s="16" t="n">
        <v>0</v>
      </c>
      <c r="M19" s="16" t="n">
        <v>0</v>
      </c>
      <c r="N19" s="16">
        <f>SUM(B19:M19)</f>
        <v/>
      </c>
      <c r="O19" s="16" t="n">
        <v>0</v>
      </c>
      <c r="P19" s="16" t="n">
        <v>0</v>
      </c>
      <c r="Q19" s="16" t="n">
        <v>0</v>
      </c>
      <c r="R19" s="16" t="n">
        <v>0</v>
      </c>
      <c r="S19" s="16" t="n">
        <v>0</v>
      </c>
      <c r="T19" s="16" t="n">
        <v>0</v>
      </c>
      <c r="U19" s="16" t="n">
        <v>0</v>
      </c>
      <c r="V19" s="16" t="n">
        <v>0</v>
      </c>
      <c r="W19" s="16" t="n">
        <v>0</v>
      </c>
      <c r="X19" s="16" t="n">
        <v>0</v>
      </c>
      <c r="Y19" s="16" t="n">
        <v>0</v>
      </c>
      <c r="Z19" s="16" t="n">
        <v>0</v>
      </c>
      <c r="AA19" s="16">
        <f>SUM(O19:U19)</f>
        <v/>
      </c>
      <c r="AB19" s="16">
        <f>SUM(O19:Z19)</f>
        <v/>
      </c>
      <c r="AC19" s="16" t="n">
        <v>0</v>
      </c>
      <c r="AD19" s="16" t="n">
        <v>0</v>
      </c>
      <c r="AE19" s="16" t="n">
        <v>0</v>
      </c>
      <c r="AF19" s="16" t="n">
        <v>0</v>
      </c>
      <c r="AG19" s="16" t="n">
        <v>0</v>
      </c>
      <c r="AH19" s="16" t="n">
        <v>0</v>
      </c>
      <c r="AI19" s="10">
        <f>SUM(AC19:AH19)</f>
        <v/>
      </c>
      <c r="AJ19" s="16">
        <f>SUM(AC19:AH19)+AI19</f>
        <v/>
      </c>
      <c r="AK19" s="11">
        <f>IF(N19&lt;&gt;0,(AB19-N19)/ABS(N19),0)</f>
        <v/>
      </c>
      <c r="AL19" s="11">
        <f>IF(AB19&lt;&gt;0,(AJ19-AB19)/ABS(AB19),0)</f>
        <v/>
      </c>
    </row>
    <row r="20" ht="13" customHeight="1">
      <c r="A20" s="17" t="inlineStr">
        <is>
          <t>Total Personnel</t>
        </is>
      </c>
      <c r="B20" s="18">
        <f>B11+B12+B13+B14+B15+B16+B17+B18+B19</f>
        <v/>
      </c>
      <c r="C20" s="18">
        <f>C11+C12+C13+C14+C15+C16+C17+C18+C19</f>
        <v/>
      </c>
      <c r="D20" s="18">
        <f>D11+D12+D13+D14+D15+D16+D17+D18+D19</f>
        <v/>
      </c>
      <c r="E20" s="18">
        <f>E11+E12+E13+E14+E15+E16+E17+E18+E19</f>
        <v/>
      </c>
      <c r="F20" s="18">
        <f>F11+F12+F13+F14+F15+F16+F17+F18+F19</f>
        <v/>
      </c>
      <c r="G20" s="18">
        <f>G11+G12+G13+G14+G15+G16+G17+G18+G19</f>
        <v/>
      </c>
      <c r="H20" s="18">
        <f>H11+H12+H13+H14+H15+H16+H17+H18+H19</f>
        <v/>
      </c>
      <c r="I20" s="18">
        <f>I11+I12+I13+I14+I15+I16+I17+I18+I19</f>
        <v/>
      </c>
      <c r="J20" s="18">
        <f>J11+J12+J13+J14+J15+J16+J17+J18+J19</f>
        <v/>
      </c>
      <c r="K20" s="18">
        <f>K11+K12+K13+K14+K15+K16+K17+K18+K19</f>
        <v/>
      </c>
      <c r="L20" s="18">
        <f>L11+L12+L13+L14+L15+L16+L17+L18+L19</f>
        <v/>
      </c>
      <c r="M20" s="18">
        <f>M11+M12+M13+M14+M15+M16+M17+M18+M19</f>
        <v/>
      </c>
      <c r="N20" s="18">
        <f>N11+N12+N13+N14+N15+N16+N17+N18+N19</f>
        <v/>
      </c>
      <c r="O20" s="18">
        <f>O11+O12+O13+O14+O15+O16+O17+O18+O19</f>
        <v/>
      </c>
      <c r="P20" s="18">
        <f>P11+P12+P13+P14+P15+P16+P17+P18+P19</f>
        <v/>
      </c>
      <c r="Q20" s="18">
        <f>Q11+Q12+Q13+Q14+Q15+Q16+Q17+Q18+Q19</f>
        <v/>
      </c>
      <c r="R20" s="18">
        <f>R11+R12+R13+R14+R15+R16+R17+R18+R19</f>
        <v/>
      </c>
      <c r="S20" s="18">
        <f>S11+S12+S13+S14+S15+S16+S17+S18+S19</f>
        <v/>
      </c>
      <c r="T20" s="18">
        <f>T11+T12+T13+T14+T15+T16+T17+T18+T19</f>
        <v/>
      </c>
      <c r="U20" s="18">
        <f>U11+U12+U13+U14+U15+U16+U17+U18+U19</f>
        <v/>
      </c>
      <c r="V20" s="18">
        <f>V11+V12+V13+V14+V15+V16+V17+V18+V19</f>
        <v/>
      </c>
      <c r="W20" s="18">
        <f>W11+W12+W13+W14+W15+W16+W17+W18+W19</f>
        <v/>
      </c>
      <c r="X20" s="18">
        <f>X11+X12+X13+X14+X15+X16+X17+X18+X19</f>
        <v/>
      </c>
      <c r="Y20" s="18">
        <f>Y11+Y12+Y13+Y14+Y15+Y16+Y17+Y18+Y19</f>
        <v/>
      </c>
      <c r="Z20" s="18">
        <f>Z11+Z12+Z13+Z14+Z15+Z16+Z17+Z18+Z19</f>
        <v/>
      </c>
      <c r="AA20" s="18">
        <f>AA11+AA12+AA13+AA14+AA15+AA16+AA17+AA18+AA19</f>
        <v/>
      </c>
      <c r="AB20" s="18">
        <f>AB11+AB12+AB13+AB14+AB15+AB16+AB17+AB18+AB19</f>
        <v/>
      </c>
      <c r="AC20" s="18">
        <f>AC11+AC12+AC13+AC14+AC15+AC16+AC17+AC18+AC19</f>
        <v/>
      </c>
      <c r="AD20" s="18">
        <f>AD11+AD12+AD13+AD14+AD15+AD16+AD17+AD18+AD19</f>
        <v/>
      </c>
      <c r="AE20" s="18">
        <f>AE11+AE12+AE13+AE14+AE15+AE16+AE17+AE18+AE19</f>
        <v/>
      </c>
      <c r="AF20" s="18">
        <f>AF11+AF12+AF13+AF14+AF15+AF16+AF17+AF18+AF19</f>
        <v/>
      </c>
      <c r="AG20" s="18">
        <f>AG11+AG12+AG13+AG14+AG15+AG16+AG17+AG18+AG19</f>
        <v/>
      </c>
      <c r="AH20" s="18">
        <f>AH11+AH12+AH13+AH14+AH15+AH16+AH17+AH18+AH19</f>
        <v/>
      </c>
      <c r="AI20" s="18">
        <f>AI11+AI12+AI13+AI14+AI15+AI16+AI17+AI18+AI19</f>
        <v/>
      </c>
      <c r="AJ20" s="18">
        <f>AJ11+AJ12+AJ13+AJ14+AJ15+AJ16+AJ17+AJ18+AJ19</f>
        <v/>
      </c>
      <c r="AK20" s="11">
        <f>IF(N20&lt;&gt;0,(AB20-N20)/ABS(N20),0)</f>
        <v/>
      </c>
      <c r="AL20" s="11">
        <f>IF(AB20&lt;&gt;0,(AJ20-AB20)/ABS(AB20),0)</f>
        <v/>
      </c>
    </row>
    <row r="21" ht="13" customHeight="1">
      <c r="A21" s="19" t="inlineStr">
        <is>
          <t xml:space="preserve">    Sal:Rev</t>
        </is>
      </c>
      <c r="B21" s="20">
        <f>IF(B7&gt;0,B20/B7,0)</f>
        <v/>
      </c>
      <c r="C21" s="20">
        <f>IF(C7&gt;0,C20/C7,0)</f>
        <v/>
      </c>
      <c r="D21" s="20">
        <f>IF(D7&gt;0,D20/D7,0)</f>
        <v/>
      </c>
      <c r="E21" s="20">
        <f>IF(E7&gt;0,E20/E7,0)</f>
        <v/>
      </c>
      <c r="F21" s="20">
        <f>IF(F7&gt;0,F20/F7,0)</f>
        <v/>
      </c>
      <c r="G21" s="20">
        <f>IF(G7&gt;0,G20/G7,0)</f>
        <v/>
      </c>
      <c r="H21" s="20">
        <f>IF(H7&gt;0,H20/H7,0)</f>
        <v/>
      </c>
      <c r="I21" s="20">
        <f>IF(I7&gt;0,I20/I7,0)</f>
        <v/>
      </c>
      <c r="J21" s="20">
        <f>IF(J7&gt;0,J20/J7,0)</f>
        <v/>
      </c>
      <c r="K21" s="20">
        <f>IF(K7&gt;0,K20/K7,0)</f>
        <v/>
      </c>
      <c r="L21" s="20">
        <f>IF(L7&gt;0,L20/L7,0)</f>
        <v/>
      </c>
      <c r="M21" s="20">
        <f>IF(M7&gt;0,M20/M7,0)</f>
        <v/>
      </c>
      <c r="N21" s="20">
        <f>IF(N7&gt;0,N20/N7,0)</f>
        <v/>
      </c>
      <c r="O21" s="20">
        <f>IF(O7&gt;0,O20/O7,0)</f>
        <v/>
      </c>
      <c r="P21" s="20">
        <f>IF(P7&gt;0,P20/P7,0)</f>
        <v/>
      </c>
      <c r="Q21" s="20">
        <f>IF(Q7&gt;0,Q20/Q7,0)</f>
        <v/>
      </c>
      <c r="R21" s="20">
        <f>IF(R7&gt;0,R20/R7,0)</f>
        <v/>
      </c>
      <c r="S21" s="20">
        <f>IF(S7&gt;0,S20/S7,0)</f>
        <v/>
      </c>
      <c r="T21" s="20">
        <f>IF(T7&gt;0,T20/T7,0)</f>
        <v/>
      </c>
      <c r="U21" s="20">
        <f>IF(U7&gt;0,U20/U7,0)</f>
        <v/>
      </c>
      <c r="V21" s="20">
        <f>IF(V7&gt;0,V20/V7,0)</f>
        <v/>
      </c>
      <c r="W21" s="20">
        <f>IF(W7&gt;0,W20/W7,0)</f>
        <v/>
      </c>
      <c r="X21" s="20">
        <f>IF(X7&gt;0,X20/X7,0)</f>
        <v/>
      </c>
      <c r="Y21" s="20">
        <f>IF(Y7&gt;0,Y20/Y7,0)</f>
        <v/>
      </c>
      <c r="Z21" s="20">
        <f>IF(Z7&gt;0,Z20/Z7,0)</f>
        <v/>
      </c>
      <c r="AA21" s="20">
        <f>IF(AA7&gt;0,AA20/AA7,0)</f>
        <v/>
      </c>
      <c r="AB21" s="20">
        <f>IF(AB7&gt;0,AB20/AB7,0)</f>
        <v/>
      </c>
      <c r="AC21" s="20">
        <f>IF(AC7&gt;0,AC20/AC7,0)</f>
        <v/>
      </c>
      <c r="AD21" s="20">
        <f>IF(AD7&gt;0,AD20/AD7,0)</f>
        <v/>
      </c>
      <c r="AE21" s="20">
        <f>IF(AE7&gt;0,AE20/AE7,0)</f>
        <v/>
      </c>
      <c r="AF21" s="20">
        <f>IF(AF7&gt;0,AF20/AF7,0)</f>
        <v/>
      </c>
      <c r="AG21" s="20">
        <f>IF(AG7&gt;0,AG20/AG7,0)</f>
        <v/>
      </c>
      <c r="AH21" s="20">
        <f>IF(AH7&gt;0,AH20/AH7,0)</f>
        <v/>
      </c>
      <c r="AI21" s="20">
        <f>IF(AI7&gt;0,AI20/AI7,0)</f>
        <v/>
      </c>
      <c r="AJ21" s="20">
        <f>IF(AJ7&gt;0,AJ20/AJ7,0)</f>
        <v/>
      </c>
    </row>
    <row r="22" ht="5" customHeight="1"/>
    <row r="23" ht="13" customHeight="1">
      <c r="A23" s="14" t="inlineStr">
        <is>
          <t>Childcare</t>
        </is>
      </c>
    </row>
    <row r="24" ht="13" customHeight="1">
      <c r="A24" s="21" t="inlineStr">
        <is>
          <t xml:space="preserve">    Catering Costs</t>
        </is>
      </c>
      <c r="N24" s="22">
        <f>SUM(B24:M24)</f>
        <v/>
      </c>
      <c r="O24" s="22" t="n">
        <v>1155.49</v>
      </c>
      <c r="P24" s="22" t="n">
        <v>1469.05</v>
      </c>
      <c r="Q24" s="22" t="n">
        <v>1299.06</v>
      </c>
      <c r="R24" s="22" t="n">
        <v>1308.33</v>
      </c>
      <c r="S24" s="22" t="n">
        <v>1167.54</v>
      </c>
      <c r="T24" s="22" t="n">
        <v>1673.38</v>
      </c>
      <c r="U24" s="22" t="n">
        <v>1315.27</v>
      </c>
      <c r="V24" s="22" t="n">
        <v>1294.706088</v>
      </c>
      <c r="W24" s="22" t="n">
        <v>1654.7856</v>
      </c>
      <c r="X24" s="22" t="n">
        <v>1686.6096</v>
      </c>
      <c r="Y24" s="22" t="n">
        <v>1610.8872</v>
      </c>
      <c r="Z24" s="22" t="n">
        <v>1445.1528</v>
      </c>
      <c r="AA24" s="22">
        <f>SUM(O24:U24)</f>
        <v/>
      </c>
      <c r="AB24" s="22">
        <f>SUM(O24:Z24)</f>
        <v/>
      </c>
      <c r="AC24" s="22" t="n">
        <v>1607.54256</v>
      </c>
      <c r="AD24" s="22" t="n">
        <v>1487.47716</v>
      </c>
      <c r="AE24" s="22" t="n">
        <v>1782.604512</v>
      </c>
      <c r="AF24" s="22" t="n">
        <v>1515.088224</v>
      </c>
      <c r="AG24" s="22" t="n">
        <v>1549.901184</v>
      </c>
      <c r="AH24" s="22" t="n">
        <v>1592.02212</v>
      </c>
      <c r="AI24" s="10">
        <f>SUM(AC24:AH24)</f>
        <v/>
      </c>
      <c r="AJ24" s="22">
        <f>SUM(AC24:AH24)+AI24</f>
        <v/>
      </c>
      <c r="AK24" s="11">
        <f>IF(N24&lt;&gt;0,(AB24-N24)/ABS(N24),0)</f>
        <v/>
      </c>
      <c r="AL24" s="11">
        <f>IF(AB24&lt;&gt;0,(AJ24-AB24)/ABS(AB24),0)</f>
        <v/>
      </c>
    </row>
    <row r="25" ht="13" customHeight="1">
      <c r="A25" s="21" t="inlineStr">
        <is>
          <t xml:space="preserve">    Toys and Games</t>
        </is>
      </c>
      <c r="B25" s="22" t="n">
        <v>222.62</v>
      </c>
      <c r="C25" s="22" t="n">
        <v>59.73999999999999</v>
      </c>
      <c r="D25" s="22" t="n">
        <v>73.67999999999999</v>
      </c>
      <c r="E25" s="22" t="n">
        <v>488.16</v>
      </c>
      <c r="F25" s="22" t="n">
        <v>415.09</v>
      </c>
      <c r="G25" s="22" t="n">
        <v>429.36</v>
      </c>
      <c r="H25" s="22" t="n">
        <v>221.83</v>
      </c>
      <c r="I25" s="22" t="n">
        <v>213.52</v>
      </c>
      <c r="J25" s="22" t="n">
        <v>155</v>
      </c>
      <c r="K25" s="22" t="n">
        <v>76.69</v>
      </c>
      <c r="L25" s="22" t="n">
        <v>104.83</v>
      </c>
      <c r="M25" s="22" t="n">
        <v>51.49</v>
      </c>
      <c r="N25" s="22">
        <f>SUM(B25:M25)</f>
        <v/>
      </c>
      <c r="O25" s="22" t="n">
        <v>250.3</v>
      </c>
      <c r="P25" s="22" t="n">
        <v>182.73</v>
      </c>
      <c r="Q25" s="22" t="n">
        <v>119.59</v>
      </c>
      <c r="R25" s="22" t="n">
        <v>85.17</v>
      </c>
      <c r="S25" s="22" t="n">
        <v>109.19</v>
      </c>
      <c r="T25" s="22" t="n">
        <v>2384.14</v>
      </c>
      <c r="U25" s="22" t="n">
        <v>725.37</v>
      </c>
      <c r="AA25" s="22">
        <f>SUM(O25:U25)</f>
        <v/>
      </c>
      <c r="AB25" s="22">
        <f>SUM(O25:Z25)</f>
        <v/>
      </c>
      <c r="AC25" s="22" t="n">
        <v>50</v>
      </c>
      <c r="AD25" s="22" t="n">
        <v>50</v>
      </c>
      <c r="AE25" s="22" t="n">
        <v>50</v>
      </c>
      <c r="AF25" s="22" t="n">
        <v>50</v>
      </c>
      <c r="AG25" s="22" t="n">
        <v>50</v>
      </c>
      <c r="AH25" s="22" t="n">
        <v>50</v>
      </c>
      <c r="AI25" s="10">
        <f>SUM(AC25:AH25)</f>
        <v/>
      </c>
      <c r="AJ25" s="22">
        <f>SUM(AC25:AH25)+AI25</f>
        <v/>
      </c>
      <c r="AK25" s="11">
        <f>IF(N25&lt;&gt;0,(AB25-N25)/ABS(N25),0)</f>
        <v/>
      </c>
      <c r="AL25" s="11">
        <f>IF(AB25&lt;&gt;0,(AJ25-AB25)/ABS(AB25),0)</f>
        <v/>
      </c>
    </row>
    <row r="26" ht="13" customHeight="1">
      <c r="A26" s="21" t="inlineStr">
        <is>
          <t xml:space="preserve">    Art Materials</t>
        </is>
      </c>
      <c r="N26" s="22">
        <f>SUM(B26:M26)</f>
        <v/>
      </c>
      <c r="O26" s="22" t="n">
        <v>58.43</v>
      </c>
      <c r="P26" s="22" t="n">
        <v>156.27</v>
      </c>
      <c r="Q26" s="22" t="n">
        <v>14.3</v>
      </c>
      <c r="R26" s="22" t="n">
        <v>120.24</v>
      </c>
      <c r="S26" s="22" t="n">
        <v>106.68</v>
      </c>
      <c r="T26" s="22" t="n">
        <v>0</v>
      </c>
      <c r="U26" s="22" t="n">
        <v>114.74</v>
      </c>
      <c r="V26" s="22" t="n">
        <v>86.31373919999999</v>
      </c>
      <c r="W26" s="22" t="n">
        <v>110.31904</v>
      </c>
      <c r="X26" s="22" t="n">
        <v>112.44064</v>
      </c>
      <c r="Y26" s="22" t="n">
        <v>107.39248</v>
      </c>
      <c r="Z26" s="22" t="n">
        <v>96.34352</v>
      </c>
      <c r="AA26" s="22">
        <f>SUM(O26:U26)</f>
        <v/>
      </c>
      <c r="AB26" s="22">
        <f>SUM(O26:Z26)</f>
        <v/>
      </c>
      <c r="AC26" s="22" t="n">
        <v>107.169504</v>
      </c>
      <c r="AD26" s="22" t="n">
        <v>99.165144</v>
      </c>
      <c r="AE26" s="22" t="n">
        <v>118.8403008</v>
      </c>
      <c r="AF26" s="22" t="n">
        <v>101.0058816</v>
      </c>
      <c r="AG26" s="22" t="n">
        <v>103.3267456</v>
      </c>
      <c r="AH26" s="22" t="n">
        <v>106.134808</v>
      </c>
      <c r="AI26" s="10">
        <f>SUM(AC26:AH26)</f>
        <v/>
      </c>
      <c r="AJ26" s="22">
        <f>SUM(AC26:AH26)+AI26</f>
        <v/>
      </c>
      <c r="AK26" s="11">
        <f>IF(N26&lt;&gt;0,(AB26-N26)/ABS(N26),0)</f>
        <v/>
      </c>
      <c r="AL26" s="11">
        <f>IF(AB26&lt;&gt;0,(AJ26-AB26)/ABS(AB26),0)</f>
        <v/>
      </c>
    </row>
    <row r="27" ht="13" customHeight="1">
      <c r="A27" s="21" t="inlineStr">
        <is>
          <t xml:space="preserve">    Nursery Stationery</t>
        </is>
      </c>
      <c r="B27" s="22" t="n">
        <v>0</v>
      </c>
      <c r="C27" s="22" t="n">
        <v>0</v>
      </c>
      <c r="D27" s="22" t="n">
        <v>0</v>
      </c>
      <c r="E27" s="22" t="n">
        <v>0</v>
      </c>
      <c r="F27" s="22" t="n">
        <v>0</v>
      </c>
      <c r="G27" s="22" t="n">
        <v>0</v>
      </c>
      <c r="H27" s="22" t="n">
        <v>0</v>
      </c>
      <c r="I27" s="22" t="n">
        <v>0</v>
      </c>
      <c r="J27" s="22" t="n">
        <v>0</v>
      </c>
      <c r="K27" s="22" t="n">
        <v>0</v>
      </c>
      <c r="L27" s="22" t="n">
        <v>0</v>
      </c>
      <c r="M27" s="22" t="n">
        <v>0</v>
      </c>
      <c r="N27" s="22">
        <f>SUM(B27:M27)</f>
        <v/>
      </c>
      <c r="O27" s="22" t="n">
        <v>0</v>
      </c>
      <c r="P27" s="22" t="n">
        <v>0</v>
      </c>
      <c r="Q27" s="22" t="n">
        <v>0</v>
      </c>
      <c r="R27" s="22" t="n">
        <v>0</v>
      </c>
      <c r="S27" s="22" t="n">
        <v>0</v>
      </c>
      <c r="T27" s="22" t="n">
        <v>0</v>
      </c>
      <c r="U27" s="22" t="n">
        <v>0</v>
      </c>
      <c r="V27" s="22" t="n">
        <v>0</v>
      </c>
      <c r="W27" s="22" t="n">
        <v>0</v>
      </c>
      <c r="X27" s="22" t="n">
        <v>0</v>
      </c>
      <c r="Y27" s="22" t="n">
        <v>0</v>
      </c>
      <c r="Z27" s="22" t="n">
        <v>0</v>
      </c>
      <c r="AA27" s="22">
        <f>SUM(O27:U27)</f>
        <v/>
      </c>
      <c r="AB27" s="22">
        <f>SUM(O27:Z27)</f>
        <v/>
      </c>
      <c r="AC27" s="22" t="n">
        <v>100</v>
      </c>
      <c r="AD27" s="22" t="n">
        <v>100</v>
      </c>
      <c r="AE27" s="22" t="n">
        <v>100</v>
      </c>
      <c r="AF27" s="22" t="n">
        <v>100</v>
      </c>
      <c r="AG27" s="22" t="n">
        <v>100</v>
      </c>
      <c r="AH27" s="22" t="n">
        <v>100</v>
      </c>
      <c r="AI27" s="10">
        <f>SUM(AC27:AH27)</f>
        <v/>
      </c>
      <c r="AJ27" s="22">
        <f>SUM(AC27:AH27)+AI27</f>
        <v/>
      </c>
      <c r="AK27" s="11">
        <f>IF(N27&lt;&gt;0,(AB27-N27)/ABS(N27),0)</f>
        <v/>
      </c>
      <c r="AL27" s="11">
        <f>IF(AB27&lt;&gt;0,(AJ27-AB27)/ABS(AB27),0)</f>
        <v/>
      </c>
    </row>
    <row r="28" ht="13" customHeight="1">
      <c r="A28" s="21" t="inlineStr">
        <is>
          <t xml:space="preserve">    Nursery Equipment</t>
        </is>
      </c>
      <c r="B28" s="22" t="n">
        <v>0</v>
      </c>
      <c r="C28" s="22" t="n">
        <v>306.01</v>
      </c>
      <c r="D28" s="22" t="n">
        <v>335.76</v>
      </c>
      <c r="E28" s="22" t="n">
        <v>5.49</v>
      </c>
      <c r="F28" s="22" t="n">
        <v>344.88</v>
      </c>
      <c r="G28" s="22" t="n">
        <v>0</v>
      </c>
      <c r="H28" s="22" t="n">
        <v>159.56</v>
      </c>
      <c r="I28" s="22" t="n">
        <v>34.84999999999999</v>
      </c>
      <c r="J28" s="22" t="n">
        <v>146.99</v>
      </c>
      <c r="K28" s="22" t="n">
        <v>99.87</v>
      </c>
      <c r="L28" s="22" t="n">
        <v>14.99</v>
      </c>
      <c r="M28" s="22" t="n">
        <v>49.87</v>
      </c>
      <c r="N28" s="22">
        <f>SUM(B28:M28)</f>
        <v/>
      </c>
      <c r="O28" s="22" t="n">
        <v>6.98</v>
      </c>
      <c r="P28" s="22" t="n">
        <v>29.99</v>
      </c>
      <c r="Q28" s="22" t="n">
        <v>39.57</v>
      </c>
      <c r="R28" s="22" t="n">
        <v>0</v>
      </c>
      <c r="S28" s="22" t="n">
        <v>0</v>
      </c>
      <c r="T28" s="22" t="n">
        <v>74.03</v>
      </c>
      <c r="U28" s="22" t="n">
        <v>5.87</v>
      </c>
      <c r="AA28" s="22">
        <f>SUM(O28:U28)</f>
        <v/>
      </c>
      <c r="AB28" s="22">
        <f>SUM(O28:Z28)</f>
        <v/>
      </c>
      <c r="AC28" s="22" t="n">
        <v>50</v>
      </c>
      <c r="AD28" s="22" t="n">
        <v>50</v>
      </c>
      <c r="AE28" s="22" t="n">
        <v>50</v>
      </c>
      <c r="AF28" s="22" t="n">
        <v>50</v>
      </c>
      <c r="AG28" s="22" t="n">
        <v>50</v>
      </c>
      <c r="AH28" s="22" t="n">
        <v>50</v>
      </c>
      <c r="AI28" s="10">
        <f>SUM(AC28:AH28)</f>
        <v/>
      </c>
      <c r="AJ28" s="22">
        <f>SUM(AC28:AH28)+AI28</f>
        <v/>
      </c>
      <c r="AK28" s="11">
        <f>IF(N28&lt;&gt;0,(AB28-N28)/ABS(N28),0)</f>
        <v/>
      </c>
      <c r="AL28" s="11">
        <f>IF(AB28&lt;&gt;0,(AJ28-AB28)/ABS(AB28),0)</f>
        <v/>
      </c>
    </row>
    <row r="29" ht="13" customHeight="1">
      <c r="A29" s="21" t="inlineStr">
        <is>
          <t xml:space="preserve">    Nursery Consumables</t>
        </is>
      </c>
      <c r="N29" s="22">
        <f>SUM(B29:M29)</f>
        <v/>
      </c>
      <c r="O29" s="22" t="n">
        <v>88.5</v>
      </c>
      <c r="P29" s="22" t="n">
        <v>326.58</v>
      </c>
      <c r="Q29" s="22" t="n">
        <v>346.91</v>
      </c>
      <c r="R29" s="22" t="n">
        <v>286.34</v>
      </c>
      <c r="S29" s="22" t="n">
        <v>443.89</v>
      </c>
      <c r="T29" s="22" t="n">
        <v>296.29</v>
      </c>
      <c r="U29" s="22" t="n">
        <v>171.34</v>
      </c>
      <c r="V29" s="22" t="n">
        <v>215.784348</v>
      </c>
      <c r="W29" s="22" t="n">
        <v>275.7976</v>
      </c>
      <c r="X29" s="22" t="n">
        <v>281.1016</v>
      </c>
      <c r="Y29" s="22" t="n">
        <v>268.4812000000001</v>
      </c>
      <c r="Z29" s="22" t="n">
        <v>240.8588</v>
      </c>
      <c r="AA29" s="22">
        <f>SUM(O29:U29)</f>
        <v/>
      </c>
      <c r="AB29" s="22">
        <f>SUM(O29:Z29)</f>
        <v/>
      </c>
      <c r="AC29" s="22" t="n">
        <v>267.9237600000001</v>
      </c>
      <c r="AD29" s="22" t="n">
        <v>247.9128600000001</v>
      </c>
      <c r="AE29" s="22" t="n">
        <v>297.1007520000001</v>
      </c>
      <c r="AF29" s="22" t="n">
        <v>252.514704</v>
      </c>
      <c r="AG29" s="22" t="n">
        <v>258.316864</v>
      </c>
      <c r="AH29" s="22" t="n">
        <v>265.3370200000001</v>
      </c>
      <c r="AI29" s="10">
        <f>SUM(AC29:AH29)</f>
        <v/>
      </c>
      <c r="AJ29" s="22">
        <f>SUM(AC29:AH29)+AI29</f>
        <v/>
      </c>
      <c r="AK29" s="11">
        <f>IF(N29&lt;&gt;0,(AB29-N29)/ABS(N29),0)</f>
        <v/>
      </c>
      <c r="AL29" s="11">
        <f>IF(AB29&lt;&gt;0,(AJ29-AB29)/ABS(AB29),0)</f>
        <v/>
      </c>
    </row>
    <row r="30" ht="13" customHeight="1">
      <c r="A30" s="23" t="inlineStr">
        <is>
          <t>Total Childcare Costs</t>
        </is>
      </c>
      <c r="B30" s="24">
        <f>B24+B25+B26+B27+B28+B29</f>
        <v/>
      </c>
      <c r="C30" s="24">
        <f>C24+C25+C26+C27+C28+C29</f>
        <v/>
      </c>
      <c r="D30" s="24">
        <f>D24+D25+D26+D27+D28+D29</f>
        <v/>
      </c>
      <c r="E30" s="24">
        <f>E24+E25+E26+E27+E28+E29</f>
        <v/>
      </c>
      <c r="F30" s="24">
        <f>F24+F25+F26+F27+F28+F29</f>
        <v/>
      </c>
      <c r="G30" s="24">
        <f>G24+G25+G26+G27+G28+G29</f>
        <v/>
      </c>
      <c r="H30" s="24">
        <f>H24+H25+H26+H27+H28+H29</f>
        <v/>
      </c>
      <c r="I30" s="24">
        <f>I24+I25+I26+I27+I28+I29</f>
        <v/>
      </c>
      <c r="J30" s="24">
        <f>J24+J25+J26+J27+J28+J29</f>
        <v/>
      </c>
      <c r="K30" s="24">
        <f>K24+K25+K26+K27+K28+K29</f>
        <v/>
      </c>
      <c r="L30" s="24">
        <f>L24+L25+L26+L27+L28+L29</f>
        <v/>
      </c>
      <c r="M30" s="24">
        <f>M24+M25+M26+M27+M28+M29</f>
        <v/>
      </c>
      <c r="N30" s="24">
        <f>N24+N25+N26+N27+N28+N29</f>
        <v/>
      </c>
      <c r="O30" s="24">
        <f>O24+O25+O26+O27+O28+O29</f>
        <v/>
      </c>
      <c r="P30" s="24">
        <f>P24+P25+P26+P27+P28+P29</f>
        <v/>
      </c>
      <c r="Q30" s="24">
        <f>Q24+Q25+Q26+Q27+Q28+Q29</f>
        <v/>
      </c>
      <c r="R30" s="24">
        <f>R24+R25+R26+R27+R28+R29</f>
        <v/>
      </c>
      <c r="S30" s="24">
        <f>S24+S25+S26+S27+S28+S29</f>
        <v/>
      </c>
      <c r="T30" s="24">
        <f>T24+T25+T26+T27+T28+T29</f>
        <v/>
      </c>
      <c r="U30" s="24">
        <f>U24+U25+U26+U27+U28+U29</f>
        <v/>
      </c>
      <c r="V30" s="24">
        <f>V24+V25+V26+V27+V28+V29</f>
        <v/>
      </c>
      <c r="W30" s="24">
        <f>W24+W25+W26+W27+W28+W29</f>
        <v/>
      </c>
      <c r="X30" s="24">
        <f>X24+X25+X26+X27+X28+X29</f>
        <v/>
      </c>
      <c r="Y30" s="24">
        <f>Y24+Y25+Y26+Y27+Y28+Y29</f>
        <v/>
      </c>
      <c r="Z30" s="24">
        <f>Z24+Z25+Z26+Z27+Z28+Z29</f>
        <v/>
      </c>
      <c r="AA30" s="24">
        <f>AA24+AA25+AA26+AA27+AA28+AA29</f>
        <v/>
      </c>
      <c r="AB30" s="24">
        <f>AB24+AB25+AB26+AB27+AB28+AB29</f>
        <v/>
      </c>
      <c r="AC30" s="24">
        <f>AC24+AC25+AC26+AC27+AC28+AC29</f>
        <v/>
      </c>
      <c r="AD30" s="24">
        <f>AD24+AD25+AD26+AD27+AD28+AD29</f>
        <v/>
      </c>
      <c r="AE30" s="24">
        <f>AE24+AE25+AE26+AE27+AE28+AE29</f>
        <v/>
      </c>
      <c r="AF30" s="24">
        <f>AF24+AF25+AF26+AF27+AF28+AF29</f>
        <v/>
      </c>
      <c r="AG30" s="24">
        <f>AG24+AG25+AG26+AG27+AG28+AG29</f>
        <v/>
      </c>
      <c r="AH30" s="24">
        <f>AH24+AH25+AH26+AH27+AH28+AH29</f>
        <v/>
      </c>
      <c r="AI30" s="24">
        <f>AI24+AI25+AI26+AI27+AI28+AI29</f>
        <v/>
      </c>
      <c r="AJ30" s="24">
        <f>AJ24+AJ25+AJ26+AJ27+AJ28+AJ29</f>
        <v/>
      </c>
      <c r="AK30" s="11">
        <f>IF(N30&lt;&gt;0,(AB30-N30)/ABS(N30),0)</f>
        <v/>
      </c>
      <c r="AL30" s="11">
        <f>IF(AB30&lt;&gt;0,(AJ30-AB30)/ABS(AB30),0)</f>
        <v/>
      </c>
    </row>
    <row r="31" ht="5" customHeight="1"/>
    <row r="32" ht="13" customHeight="1">
      <c r="A32" s="14" t="inlineStr">
        <is>
          <t>Premises &amp; Admin</t>
        </is>
      </c>
    </row>
    <row r="33" ht="13" customHeight="1">
      <c r="A33" s="25" t="inlineStr">
        <is>
          <t xml:space="preserve">    Rent</t>
        </is>
      </c>
      <c r="B33" s="26" t="n">
        <v>0</v>
      </c>
      <c r="C33" s="26" t="n">
        <v>0</v>
      </c>
      <c r="D33" s="26" t="n">
        <v>0</v>
      </c>
      <c r="E33" s="26" t="n">
        <v>0</v>
      </c>
      <c r="F33" s="26" t="n">
        <v>0</v>
      </c>
      <c r="G33" s="26" t="n">
        <v>0</v>
      </c>
      <c r="H33" s="26" t="n">
        <v>0</v>
      </c>
      <c r="I33" s="26" t="n">
        <v>0</v>
      </c>
      <c r="J33" s="26" t="n">
        <v>0</v>
      </c>
      <c r="K33" s="26" t="n">
        <v>0</v>
      </c>
      <c r="L33" s="26" t="n">
        <v>0</v>
      </c>
      <c r="M33" s="26" t="n">
        <v>0</v>
      </c>
      <c r="N33" s="26">
        <f>SUM(B33:M33)</f>
        <v/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  <c r="V33" s="26" t="n">
        <v>0</v>
      </c>
      <c r="W33" s="26" t="n">
        <v>0</v>
      </c>
      <c r="X33" s="26" t="n">
        <v>0</v>
      </c>
      <c r="Y33" s="26" t="n">
        <v>0</v>
      </c>
      <c r="Z33" s="26" t="n">
        <v>0</v>
      </c>
      <c r="AA33" s="26">
        <f>SUM(O33:U33)</f>
        <v/>
      </c>
      <c r="AB33" s="26">
        <f>SUM(O33:Z33)</f>
        <v/>
      </c>
      <c r="AC33" s="26" t="n">
        <v>0</v>
      </c>
      <c r="AD33" s="26" t="n">
        <v>0</v>
      </c>
      <c r="AE33" s="26" t="n">
        <v>0</v>
      </c>
      <c r="AF33" s="26" t="n">
        <v>0</v>
      </c>
      <c r="AG33" s="26" t="n">
        <v>0</v>
      </c>
      <c r="AH33" s="26" t="n">
        <v>0</v>
      </c>
      <c r="AI33" s="10">
        <f>SUM(AC33:AH33)</f>
        <v/>
      </c>
      <c r="AJ33" s="26">
        <f>SUM(AC33:AH33)+AI33</f>
        <v/>
      </c>
      <c r="AK33" s="11">
        <f>IF(N33&lt;&gt;0,(AB33-N33)/ABS(N33),0)</f>
        <v/>
      </c>
      <c r="AL33" s="11">
        <f>IF(AB33&lt;&gt;0,(AJ33-AB33)/ABS(AB33),0)</f>
        <v/>
      </c>
    </row>
    <row r="34" ht="13" customHeight="1">
      <c r="A34" s="25" t="inlineStr">
        <is>
          <t xml:space="preserve">    Business Rates</t>
        </is>
      </c>
      <c r="B34" s="26" t="n">
        <v>1263.58</v>
      </c>
      <c r="C34" s="26" t="n">
        <v>1263.58</v>
      </c>
      <c r="D34" s="26" t="n">
        <v>1300.46</v>
      </c>
      <c r="E34" s="26" t="n">
        <v>1263.58</v>
      </c>
      <c r="F34" s="26" t="n">
        <v>1263.59</v>
      </c>
      <c r="G34" s="26" t="n">
        <v>1263.58</v>
      </c>
      <c r="H34" s="26" t="n">
        <v>1263.58</v>
      </c>
      <c r="I34" s="26" t="n">
        <v>1263.58</v>
      </c>
      <c r="J34" s="26" t="n">
        <v>1263.58</v>
      </c>
      <c r="K34" s="26" t="n">
        <v>1263.58</v>
      </c>
      <c r="L34" s="26" t="n">
        <v>1263.58</v>
      </c>
      <c r="M34" s="26" t="n">
        <v>1263.58</v>
      </c>
      <c r="N34" s="26">
        <f>SUM(B34:M34)</f>
        <v/>
      </c>
      <c r="O34" s="26" t="n">
        <v>1263.61</v>
      </c>
      <c r="P34" s="26" t="n">
        <v>1263.59</v>
      </c>
      <c r="Q34" s="26" t="n">
        <v>1226.7</v>
      </c>
      <c r="R34" s="26" t="n">
        <v>1502.59</v>
      </c>
      <c r="S34" s="26" t="n">
        <v>1502.59</v>
      </c>
      <c r="T34" s="26" t="n">
        <v>1502.59</v>
      </c>
      <c r="U34" s="26" t="n">
        <v>1502.59</v>
      </c>
      <c r="AA34" s="26">
        <f>SUM(O34:U34)</f>
        <v/>
      </c>
      <c r="AB34" s="26">
        <f>SUM(O34:Z34)</f>
        <v/>
      </c>
      <c r="AC34" s="26" t="n">
        <v>1503</v>
      </c>
      <c r="AD34" s="26" t="n">
        <v>1503</v>
      </c>
      <c r="AE34" s="26" t="n">
        <v>1503</v>
      </c>
      <c r="AF34" s="26" t="n">
        <v>1503</v>
      </c>
      <c r="AG34" s="26" t="n">
        <v>1503</v>
      </c>
      <c r="AH34" s="26" t="n">
        <v>1503</v>
      </c>
      <c r="AI34" s="10">
        <f>SUM(AC34:AH34)</f>
        <v/>
      </c>
      <c r="AJ34" s="26">
        <f>SUM(AC34:AH34)+AI34</f>
        <v/>
      </c>
      <c r="AK34" s="11">
        <f>IF(N34&lt;&gt;0,(AB34-N34)/ABS(N34),0)</f>
        <v/>
      </c>
      <c r="AL34" s="11">
        <f>IF(AB34&lt;&gt;0,(AJ34-AB34)/ABS(AB34),0)</f>
        <v/>
      </c>
    </row>
    <row r="35" ht="13" customHeight="1">
      <c r="A35" s="25" t="inlineStr">
        <is>
          <t xml:space="preserve">    Utilities</t>
        </is>
      </c>
      <c r="B35" s="26" t="n">
        <v>1548.48</v>
      </c>
      <c r="C35" s="26" t="n">
        <v>1795.97</v>
      </c>
      <c r="D35" s="26" t="n">
        <v>1775.8</v>
      </c>
      <c r="E35" s="26" t="n">
        <v>1821.43</v>
      </c>
      <c r="F35" s="26" t="n">
        <v>994.7900000000001</v>
      </c>
      <c r="G35" s="26" t="n">
        <v>965.26</v>
      </c>
      <c r="H35" s="26" t="n">
        <v>867.74</v>
      </c>
      <c r="I35" s="26" t="n">
        <v>930.28</v>
      </c>
      <c r="J35" s="26" t="n">
        <v>882.15</v>
      </c>
      <c r="K35" s="26" t="n">
        <v>955.24</v>
      </c>
      <c r="L35" s="26" t="n">
        <v>1003.91</v>
      </c>
      <c r="M35" s="26" t="n">
        <v>347.26</v>
      </c>
      <c r="N35" s="26">
        <f>SUM(B35:M35)</f>
        <v/>
      </c>
      <c r="O35" s="26" t="n">
        <v>575.26</v>
      </c>
      <c r="P35" s="26" t="n">
        <v>953.1100000000001</v>
      </c>
      <c r="Q35" s="26" t="n">
        <v>662.26</v>
      </c>
      <c r="R35" s="26" t="n">
        <v>865.9299999999999</v>
      </c>
      <c r="S35" s="26" t="n">
        <v>733.6800000000001</v>
      </c>
      <c r="T35" s="26" t="n">
        <v>1252</v>
      </c>
      <c r="U35" s="26" t="n">
        <v>0</v>
      </c>
      <c r="AA35" s="26">
        <f>SUM(O35:U35)</f>
        <v/>
      </c>
      <c r="AB35" s="26">
        <f>SUM(O35:Z35)</f>
        <v/>
      </c>
      <c r="AC35" s="26" t="n">
        <v>840</v>
      </c>
      <c r="AD35" s="26" t="n">
        <v>840</v>
      </c>
      <c r="AE35" s="26" t="n">
        <v>840</v>
      </c>
      <c r="AF35" s="26" t="n">
        <v>840</v>
      </c>
      <c r="AG35" s="26" t="n">
        <v>840</v>
      </c>
      <c r="AH35" s="26" t="n">
        <v>840</v>
      </c>
      <c r="AI35" s="10">
        <f>SUM(AC35:AH35)</f>
        <v/>
      </c>
      <c r="AJ35" s="26">
        <f>SUM(AC35:AH35)+AI35</f>
        <v/>
      </c>
      <c r="AK35" s="11">
        <f>IF(N35&lt;&gt;0,(AB35-N35)/ABS(N35),0)</f>
        <v/>
      </c>
      <c r="AL35" s="11">
        <f>IF(AB35&lt;&gt;0,(AJ35-AB35)/ABS(AB35),0)</f>
        <v/>
      </c>
    </row>
    <row r="36" ht="13" customHeight="1">
      <c r="A36" s="25" t="inlineStr">
        <is>
          <t xml:space="preserve">    Repairs &amp; Maintenance</t>
        </is>
      </c>
      <c r="B36" s="26" t="n">
        <v>524.33</v>
      </c>
      <c r="C36" s="26" t="n">
        <v>390.5599999999999</v>
      </c>
      <c r="D36" s="26" t="n">
        <v>512.22</v>
      </c>
      <c r="E36" s="26" t="n">
        <v>57.92</v>
      </c>
      <c r="F36" s="26" t="n">
        <v>489.11</v>
      </c>
      <c r="G36" s="26" t="n">
        <v>201.13</v>
      </c>
      <c r="H36" s="26" t="n">
        <v>134.13</v>
      </c>
      <c r="I36" s="26" t="n">
        <v>373.59</v>
      </c>
      <c r="J36" s="26" t="n">
        <v>106.35</v>
      </c>
      <c r="K36" s="26" t="n">
        <v>161.51</v>
      </c>
      <c r="L36" s="26" t="n">
        <v>300.59</v>
      </c>
      <c r="M36" s="26" t="n">
        <v>430.6</v>
      </c>
      <c r="N36" s="26">
        <f>SUM(B36:M36)</f>
        <v/>
      </c>
      <c r="O36" s="26" t="n">
        <v>84.8</v>
      </c>
      <c r="P36" s="26" t="n">
        <v>338.51</v>
      </c>
      <c r="Q36" s="26" t="n">
        <v>38.8</v>
      </c>
      <c r="R36" s="26" t="n">
        <v>60.25</v>
      </c>
      <c r="S36" s="26" t="n">
        <v>38.8</v>
      </c>
      <c r="T36" s="26" t="n">
        <v>38.8</v>
      </c>
      <c r="U36" s="26" t="n">
        <v>423.74</v>
      </c>
      <c r="AA36" s="26">
        <f>SUM(O36:U36)</f>
        <v/>
      </c>
      <c r="AB36" s="26">
        <f>SUM(O36:Z36)</f>
        <v/>
      </c>
      <c r="AC36" s="26" t="n">
        <v>0</v>
      </c>
      <c r="AD36" s="26" t="n">
        <v>0</v>
      </c>
      <c r="AE36" s="26" t="n">
        <v>0</v>
      </c>
      <c r="AF36" s="26" t="n">
        <v>0</v>
      </c>
      <c r="AG36" s="26" t="n">
        <v>0</v>
      </c>
      <c r="AH36" s="26" t="n">
        <v>0</v>
      </c>
      <c r="AI36" s="10">
        <f>SUM(AC36:AH36)</f>
        <v/>
      </c>
      <c r="AJ36" s="26">
        <f>SUM(AC36:AH36)+AI36</f>
        <v/>
      </c>
      <c r="AK36" s="11">
        <f>IF(N36&lt;&gt;0,(AB36-N36)/ABS(N36),0)</f>
        <v/>
      </c>
      <c r="AL36" s="11">
        <f>IF(AB36&lt;&gt;0,(AJ36-AB36)/ABS(AB36),0)</f>
        <v/>
      </c>
    </row>
    <row r="37" ht="13" customHeight="1">
      <c r="A37" s="25" t="inlineStr">
        <is>
          <t xml:space="preserve">    Cleaning</t>
        </is>
      </c>
      <c r="B37" s="26" t="n">
        <v>396.5600000000001</v>
      </c>
      <c r="C37" s="26" t="n">
        <v>271</v>
      </c>
      <c r="D37" s="26" t="n">
        <v>270.02</v>
      </c>
      <c r="E37" s="26" t="n">
        <v>362.36</v>
      </c>
      <c r="F37" s="26" t="n">
        <v>392.06</v>
      </c>
      <c r="G37" s="26" t="n">
        <v>280.72</v>
      </c>
      <c r="H37" s="26" t="n">
        <v>264.16</v>
      </c>
      <c r="I37" s="26" t="n">
        <v>300.25</v>
      </c>
      <c r="J37" s="26" t="n">
        <v>193.25</v>
      </c>
      <c r="K37" s="26" t="n">
        <v>369.08</v>
      </c>
      <c r="L37" s="26" t="n">
        <v>339.99</v>
      </c>
      <c r="M37" s="26" t="n">
        <v>119.65</v>
      </c>
      <c r="N37" s="26">
        <f>SUM(B37:M37)</f>
        <v/>
      </c>
      <c r="O37" s="26" t="n">
        <v>283.96</v>
      </c>
      <c r="P37" s="26" t="n">
        <v>153.09</v>
      </c>
      <c r="Q37" s="26" t="n">
        <v>338.52</v>
      </c>
      <c r="R37" s="26" t="n">
        <v>221.29</v>
      </c>
      <c r="S37" s="26" t="n">
        <v>202.63</v>
      </c>
      <c r="T37" s="26" t="n">
        <v>251.9</v>
      </c>
      <c r="U37" s="26" t="n">
        <v>296.34</v>
      </c>
      <c r="AA37" s="26">
        <f>SUM(O37:U37)</f>
        <v/>
      </c>
      <c r="AB37" s="26">
        <f>SUM(O37:Z37)</f>
        <v/>
      </c>
      <c r="AC37" s="26" t="n">
        <v>242</v>
      </c>
      <c r="AD37" s="26" t="n">
        <v>242</v>
      </c>
      <c r="AE37" s="26" t="n">
        <v>242</v>
      </c>
      <c r="AF37" s="26" t="n">
        <v>242</v>
      </c>
      <c r="AG37" s="26" t="n">
        <v>242</v>
      </c>
      <c r="AH37" s="26" t="n">
        <v>242</v>
      </c>
      <c r="AI37" s="10">
        <f>SUM(AC37:AH37)</f>
        <v/>
      </c>
      <c r="AJ37" s="26">
        <f>SUM(AC37:AH37)+AI37</f>
        <v/>
      </c>
      <c r="AK37" s="11">
        <f>IF(N37&lt;&gt;0,(AB37-N37)/ABS(N37),0)</f>
        <v/>
      </c>
      <c r="AL37" s="11">
        <f>IF(AB37&lt;&gt;0,(AJ37-AB37)/ABS(AB37),0)</f>
        <v/>
      </c>
    </row>
    <row r="38" ht="13" customHeight="1">
      <c r="A38" s="25" t="inlineStr">
        <is>
          <t xml:space="preserve">    Waste Disposal</t>
        </is>
      </c>
      <c r="B38" s="26" t="n">
        <v>308.93</v>
      </c>
      <c r="C38" s="26" t="n">
        <v>362.03</v>
      </c>
      <c r="D38" s="26" t="n">
        <v>281.93</v>
      </c>
      <c r="E38" s="26" t="n">
        <v>329.99</v>
      </c>
      <c r="F38" s="26" t="n">
        <v>314.02</v>
      </c>
      <c r="G38" s="26" t="n">
        <v>314.02</v>
      </c>
      <c r="H38" s="26" t="n">
        <v>389.84</v>
      </c>
      <c r="I38" s="26" t="n">
        <v>314.02</v>
      </c>
      <c r="J38" s="26" t="n">
        <v>540.8200000000001</v>
      </c>
      <c r="K38" s="26" t="n">
        <v>341.02</v>
      </c>
      <c r="L38" s="26" t="n">
        <v>314.02</v>
      </c>
      <c r="M38" s="26" t="n">
        <v>361.42</v>
      </c>
      <c r="N38" s="26">
        <f>SUM(B38:M38)</f>
        <v/>
      </c>
      <c r="O38" s="26" t="n">
        <v>169.69</v>
      </c>
      <c r="P38" s="26" t="n">
        <v>344.25</v>
      </c>
      <c r="Q38" s="26" t="n">
        <v>355.64</v>
      </c>
      <c r="R38" s="26" t="n">
        <v>190.59</v>
      </c>
      <c r="S38" s="26" t="n">
        <v>537.84</v>
      </c>
      <c r="T38" s="26" t="n">
        <v>192.13</v>
      </c>
      <c r="U38" s="26" t="n">
        <v>640</v>
      </c>
      <c r="AA38" s="26">
        <f>SUM(O38:U38)</f>
        <v/>
      </c>
      <c r="AB38" s="26">
        <f>SUM(O38:Z38)</f>
        <v/>
      </c>
      <c r="AC38" s="26" t="n">
        <v>298</v>
      </c>
      <c r="AD38" s="26" t="n">
        <v>298</v>
      </c>
      <c r="AE38" s="26" t="n">
        <v>298</v>
      </c>
      <c r="AF38" s="26" t="n">
        <v>298</v>
      </c>
      <c r="AG38" s="26" t="n">
        <v>298</v>
      </c>
      <c r="AH38" s="26" t="n">
        <v>298</v>
      </c>
      <c r="AI38" s="10">
        <f>SUM(AC38:AH38)</f>
        <v/>
      </c>
      <c r="AJ38" s="26">
        <f>SUM(AC38:AH38)+AI38</f>
        <v/>
      </c>
      <c r="AK38" s="11">
        <f>IF(N38&lt;&gt;0,(AB38-N38)/ABS(N38),0)</f>
        <v/>
      </c>
      <c r="AL38" s="11">
        <f>IF(AB38&lt;&gt;0,(AJ38-AB38)/ABS(AB38),0)</f>
        <v/>
      </c>
    </row>
    <row r="39" ht="13" customHeight="1">
      <c r="A39" s="25" t="inlineStr">
        <is>
          <t xml:space="preserve">    Postage/Printing/Stationery</t>
        </is>
      </c>
      <c r="B39" s="26" t="n">
        <v>557.6900000000001</v>
      </c>
      <c r="C39" s="26" t="n">
        <v>106.55</v>
      </c>
      <c r="D39" s="26" t="n">
        <v>240.41</v>
      </c>
      <c r="E39" s="26" t="n">
        <v>125.88</v>
      </c>
      <c r="F39" s="26" t="n">
        <v>167.31</v>
      </c>
      <c r="G39" s="26" t="n">
        <v>183.93</v>
      </c>
      <c r="H39" s="26" t="n">
        <v>95.75999999999999</v>
      </c>
      <c r="I39" s="26" t="n">
        <v>90.22</v>
      </c>
      <c r="J39" s="26" t="n">
        <v>53.93000000000001</v>
      </c>
      <c r="K39" s="26" t="n">
        <v>168.56</v>
      </c>
      <c r="L39" s="26" t="n">
        <v>112.62</v>
      </c>
      <c r="M39" s="26" t="n">
        <v>144.07</v>
      </c>
      <c r="N39" s="26">
        <f>SUM(B39:M39)</f>
        <v/>
      </c>
      <c r="O39" s="26" t="n">
        <v>42.06</v>
      </c>
      <c r="P39" s="26" t="n">
        <v>19.49</v>
      </c>
      <c r="Q39" s="26" t="n">
        <v>296.73</v>
      </c>
      <c r="R39" s="26" t="n">
        <v>95.23999999999999</v>
      </c>
      <c r="S39" s="26" t="n">
        <v>79.67</v>
      </c>
      <c r="T39" s="26" t="n">
        <v>89.72</v>
      </c>
      <c r="U39" s="26" t="n">
        <v>126.27</v>
      </c>
      <c r="AA39" s="26">
        <f>SUM(O39:U39)</f>
        <v/>
      </c>
      <c r="AB39" s="26">
        <f>SUM(O39:Z39)</f>
        <v/>
      </c>
      <c r="AC39" s="26" t="n">
        <v>0</v>
      </c>
      <c r="AD39" s="26" t="n">
        <v>0</v>
      </c>
      <c r="AE39" s="26" t="n">
        <v>0</v>
      </c>
      <c r="AF39" s="26" t="n">
        <v>0</v>
      </c>
      <c r="AG39" s="26" t="n">
        <v>0</v>
      </c>
      <c r="AH39" s="26" t="n">
        <v>0</v>
      </c>
      <c r="AI39" s="10">
        <f>SUM(AC39:AH39)</f>
        <v/>
      </c>
      <c r="AJ39" s="26">
        <f>SUM(AC39:AH39)+AI39</f>
        <v/>
      </c>
      <c r="AK39" s="11">
        <f>IF(N39&lt;&gt;0,(AB39-N39)/ABS(N39),0)</f>
        <v/>
      </c>
      <c r="AL39" s="11">
        <f>IF(AB39&lt;&gt;0,(AJ39-AB39)/ABS(AB39),0)</f>
        <v/>
      </c>
    </row>
    <row r="40" ht="13" customHeight="1">
      <c r="A40" s="25" t="inlineStr">
        <is>
          <t xml:space="preserve">    Telephone</t>
        </is>
      </c>
      <c r="B40" s="26" t="n">
        <v>0</v>
      </c>
      <c r="C40" s="26" t="n">
        <v>0</v>
      </c>
      <c r="D40" s="26" t="n">
        <v>0</v>
      </c>
      <c r="E40" s="26" t="n">
        <v>0</v>
      </c>
      <c r="F40" s="26" t="n">
        <v>0</v>
      </c>
      <c r="G40" s="26" t="n">
        <v>0</v>
      </c>
      <c r="H40" s="26" t="n">
        <v>0</v>
      </c>
      <c r="I40" s="26" t="n">
        <v>0</v>
      </c>
      <c r="J40" s="26" t="n">
        <v>0</v>
      </c>
      <c r="K40" s="26" t="n">
        <v>0</v>
      </c>
      <c r="L40" s="26" t="n">
        <v>0</v>
      </c>
      <c r="M40" s="26" t="n">
        <v>0</v>
      </c>
      <c r="N40" s="26">
        <f>SUM(B40:M40)</f>
        <v/>
      </c>
      <c r="O40" s="26" t="n">
        <v>54.7</v>
      </c>
      <c r="P40" s="26" t="n">
        <v>23.94</v>
      </c>
      <c r="Q40" s="26" t="n">
        <v>66.09999999999999</v>
      </c>
      <c r="R40" s="26" t="n">
        <v>71.94</v>
      </c>
      <c r="S40" s="26" t="n">
        <v>19.94</v>
      </c>
      <c r="T40" s="26" t="n">
        <v>81.72</v>
      </c>
      <c r="U40" s="26" t="n">
        <v>0</v>
      </c>
      <c r="AA40" s="26">
        <f>SUM(O40:U40)</f>
        <v/>
      </c>
      <c r="AB40" s="26">
        <f>SUM(O40:Z40)</f>
        <v/>
      </c>
      <c r="AC40" s="26" t="n">
        <v>0</v>
      </c>
      <c r="AD40" s="26" t="n">
        <v>0</v>
      </c>
      <c r="AE40" s="26" t="n">
        <v>0</v>
      </c>
      <c r="AF40" s="26" t="n">
        <v>0</v>
      </c>
      <c r="AG40" s="26" t="n">
        <v>0</v>
      </c>
      <c r="AH40" s="26" t="n">
        <v>0</v>
      </c>
      <c r="AI40" s="10">
        <f>SUM(AC40:AH40)</f>
        <v/>
      </c>
      <c r="AJ40" s="26">
        <f>SUM(AC40:AH40)+AI40</f>
        <v/>
      </c>
      <c r="AK40" s="11">
        <f>IF(N40&lt;&gt;0,(AB40-N40)/ABS(N40),0)</f>
        <v/>
      </c>
      <c r="AL40" s="11">
        <f>IF(AB40&lt;&gt;0,(AJ40-AB40)/ABS(AB40),0)</f>
        <v/>
      </c>
    </row>
    <row r="41" ht="13" customHeight="1">
      <c r="A41" s="25" t="inlineStr">
        <is>
          <t xml:space="preserve">    Marketing</t>
        </is>
      </c>
      <c r="B41" s="26" t="n">
        <v>0</v>
      </c>
      <c r="C41" s="26" t="n">
        <v>0</v>
      </c>
      <c r="D41" s="26" t="n">
        <v>0</v>
      </c>
      <c r="E41" s="26" t="n">
        <v>0</v>
      </c>
      <c r="F41" s="26" t="n">
        <v>0</v>
      </c>
      <c r="G41" s="26" t="n">
        <v>0</v>
      </c>
      <c r="H41" s="26" t="n">
        <v>0</v>
      </c>
      <c r="I41" s="26" t="n">
        <v>0</v>
      </c>
      <c r="J41" s="26" t="n">
        <v>57</v>
      </c>
      <c r="K41" s="26" t="n">
        <v>324.79</v>
      </c>
      <c r="L41" s="26" t="n">
        <v>0</v>
      </c>
      <c r="M41" s="26" t="n">
        <v>0</v>
      </c>
      <c r="N41" s="26">
        <f>SUM(B41:M41)</f>
        <v/>
      </c>
      <c r="O41" s="26" t="n">
        <v>0</v>
      </c>
      <c r="P41" s="26" t="n">
        <v>0</v>
      </c>
      <c r="Q41" s="26" t="n">
        <v>0</v>
      </c>
      <c r="R41" s="26" t="n">
        <v>0</v>
      </c>
      <c r="S41" s="26" t="n">
        <v>0</v>
      </c>
      <c r="T41" s="26" t="n">
        <v>0</v>
      </c>
      <c r="U41" s="26" t="n">
        <v>0</v>
      </c>
      <c r="V41" s="26" t="n">
        <v>0</v>
      </c>
      <c r="W41" s="26" t="n">
        <v>0</v>
      </c>
      <c r="X41" s="26" t="n">
        <v>0</v>
      </c>
      <c r="Y41" s="26" t="n">
        <v>0</v>
      </c>
      <c r="Z41" s="26" t="n">
        <v>0</v>
      </c>
      <c r="AA41" s="26">
        <f>SUM(O41:U41)</f>
        <v/>
      </c>
      <c r="AB41" s="26">
        <f>SUM(O41:Z41)</f>
        <v/>
      </c>
      <c r="AC41" s="26" t="n">
        <v>100</v>
      </c>
      <c r="AD41" s="26" t="n">
        <v>100</v>
      </c>
      <c r="AE41" s="26" t="n">
        <v>100</v>
      </c>
      <c r="AF41" s="26" t="n">
        <v>100</v>
      </c>
      <c r="AG41" s="26" t="n">
        <v>100</v>
      </c>
      <c r="AH41" s="26" t="n">
        <v>100</v>
      </c>
      <c r="AI41" s="10">
        <f>SUM(AC41:AH41)</f>
        <v/>
      </c>
      <c r="AJ41" s="26">
        <f>SUM(AC41:AH41)+AI41</f>
        <v/>
      </c>
      <c r="AK41" s="11">
        <f>IF(N41&lt;&gt;0,(AB41-N41)/ABS(N41),0)</f>
        <v/>
      </c>
      <c r="AL41" s="11">
        <f>IF(AB41&lt;&gt;0,(AJ41-AB41)/ABS(AB41),0)</f>
        <v/>
      </c>
    </row>
    <row r="42" ht="13" customHeight="1">
      <c r="A42" s="27" t="inlineStr">
        <is>
          <t>Total Premises &amp; Admin</t>
        </is>
      </c>
      <c r="B42" s="28">
        <f>B33+B34+B35+B36+B37+B38+B39+B40+B41</f>
        <v/>
      </c>
      <c r="C42" s="28">
        <f>C33+C34+C35+C36+C37+C38+C39+C40+C41</f>
        <v/>
      </c>
      <c r="D42" s="28">
        <f>D33+D34+D35+D36+D37+D38+D39+D40+D41</f>
        <v/>
      </c>
      <c r="E42" s="28">
        <f>E33+E34+E35+E36+E37+E38+E39+E40+E41</f>
        <v/>
      </c>
      <c r="F42" s="28">
        <f>F33+F34+F35+F36+F37+F38+F39+F40+F41</f>
        <v/>
      </c>
      <c r="G42" s="28">
        <f>G33+G34+G35+G36+G37+G38+G39+G40+G41</f>
        <v/>
      </c>
      <c r="H42" s="28">
        <f>H33+H34+H35+H36+H37+H38+H39+H40+H41</f>
        <v/>
      </c>
      <c r="I42" s="28">
        <f>I33+I34+I35+I36+I37+I38+I39+I40+I41</f>
        <v/>
      </c>
      <c r="J42" s="28">
        <f>J33+J34+J35+J36+J37+J38+J39+J40+J41</f>
        <v/>
      </c>
      <c r="K42" s="28">
        <f>K33+K34+K35+K36+K37+K38+K39+K40+K41</f>
        <v/>
      </c>
      <c r="L42" s="28">
        <f>L33+L34+L35+L36+L37+L38+L39+L40+L41</f>
        <v/>
      </c>
      <c r="M42" s="28">
        <f>M33+M34+M35+M36+M37+M38+M39+M40+M41</f>
        <v/>
      </c>
      <c r="N42" s="28">
        <f>N33+N34+N35+N36+N37+N38+N39+N40+N41</f>
        <v/>
      </c>
      <c r="O42" s="28">
        <f>O33+O34+O35+O36+O37+O38+O39+O40+O41</f>
        <v/>
      </c>
      <c r="P42" s="28">
        <f>P33+P34+P35+P36+P37+P38+P39+P40+P41</f>
        <v/>
      </c>
      <c r="Q42" s="28">
        <f>Q33+Q34+Q35+Q36+Q37+Q38+Q39+Q40+Q41</f>
        <v/>
      </c>
      <c r="R42" s="28">
        <f>R33+R34+R35+R36+R37+R38+R39+R40+R41</f>
        <v/>
      </c>
      <c r="S42" s="28">
        <f>S33+S34+S35+S36+S37+S38+S39+S40+S41</f>
        <v/>
      </c>
      <c r="T42" s="28">
        <f>T33+T34+T35+T36+T37+T38+T39+T40+T41</f>
        <v/>
      </c>
      <c r="U42" s="28">
        <f>U33+U34+U35+U36+U37+U38+U39+U40+U41</f>
        <v/>
      </c>
      <c r="V42" s="28">
        <f>V33+V34+V35+V36+V37+V38+V39+V40+V41</f>
        <v/>
      </c>
      <c r="W42" s="28">
        <f>W33+W34+W35+W36+W37+W38+W39+W40+W41</f>
        <v/>
      </c>
      <c r="X42" s="28">
        <f>X33+X34+X35+X36+X37+X38+X39+X40+X41</f>
        <v/>
      </c>
      <c r="Y42" s="28">
        <f>Y33+Y34+Y35+Y36+Y37+Y38+Y39+Y40+Y41</f>
        <v/>
      </c>
      <c r="Z42" s="28">
        <f>Z33+Z34+Z35+Z36+Z37+Z38+Z39+Z40+Z41</f>
        <v/>
      </c>
      <c r="AA42" s="28">
        <f>AA33+AA34+AA35+AA36+AA37+AA38+AA39+AA40+AA41</f>
        <v/>
      </c>
      <c r="AB42" s="28">
        <f>AB33+AB34+AB35+AB36+AB37+AB38+AB39+AB40+AB41</f>
        <v/>
      </c>
      <c r="AC42" s="28">
        <f>AC33+AC34+AC35+AC36+AC37+AC38+AC39+AC40+AC41</f>
        <v/>
      </c>
      <c r="AD42" s="28">
        <f>AD33+AD34+AD35+AD36+AD37+AD38+AD39+AD40+AD41</f>
        <v/>
      </c>
      <c r="AE42" s="28">
        <f>AE33+AE34+AE35+AE36+AE37+AE38+AE39+AE40+AE41</f>
        <v/>
      </c>
      <c r="AF42" s="28">
        <f>AF33+AF34+AF35+AF36+AF37+AF38+AF39+AF40+AF41</f>
        <v/>
      </c>
      <c r="AG42" s="28">
        <f>AG33+AG34+AG35+AG36+AG37+AG38+AG39+AG40+AG41</f>
        <v/>
      </c>
      <c r="AH42" s="28">
        <f>AH33+AH34+AH35+AH36+AH37+AH38+AH39+AH40+AH41</f>
        <v/>
      </c>
      <c r="AI42" s="28">
        <f>AI33+AI34+AI35+AI36+AI37+AI38+AI39+AI40+AI41</f>
        <v/>
      </c>
      <c r="AJ42" s="28">
        <f>AJ33+AJ34+AJ35+AJ36+AJ37+AJ38+AJ39+AJ40+AJ41</f>
        <v/>
      </c>
      <c r="AK42" s="11">
        <f>IF(N42&lt;&gt;0,(AB42-N42)/ABS(N42),0)</f>
        <v/>
      </c>
      <c r="AL42" s="11">
        <f>IF(AB42&lt;&gt;0,(AJ42-AB42)/ABS(AB42),0)</f>
        <v/>
      </c>
    </row>
    <row r="43" ht="5" customHeight="1"/>
    <row r="44" ht="13" customHeight="1">
      <c r="A44" s="29" t="inlineStr">
        <is>
          <t>Total Direct Costs</t>
        </is>
      </c>
      <c r="AK44" s="11">
        <f>IF(N44&lt;&gt;0,(AB44-N44)/ABS(N44),0)</f>
        <v/>
      </c>
      <c r="AL44" s="11">
        <f>IF(AB44&lt;&gt;0,(AJ44-AB44)/ABS(AB44),0)</f>
        <v/>
      </c>
    </row>
    <row r="45" ht="5" customHeight="1"/>
    <row r="46" ht="15" customHeight="1">
      <c r="A46" s="30" t="inlineStr">
        <is>
          <t>CONTRIBUTION</t>
        </is>
      </c>
      <c r="B46" s="31">
        <f>B7-B44</f>
        <v/>
      </c>
      <c r="C46" s="31">
        <f>C7-C44</f>
        <v/>
      </c>
      <c r="D46" s="31">
        <f>D7-D44</f>
        <v/>
      </c>
      <c r="E46" s="31">
        <f>E7-E44</f>
        <v/>
      </c>
      <c r="F46" s="31">
        <f>F7-F44</f>
        <v/>
      </c>
      <c r="G46" s="31">
        <f>G7-G44</f>
        <v/>
      </c>
      <c r="H46" s="31">
        <f>H7-H44</f>
        <v/>
      </c>
      <c r="I46" s="31">
        <f>I7-I44</f>
        <v/>
      </c>
      <c r="J46" s="31">
        <f>J7-J44</f>
        <v/>
      </c>
      <c r="K46" s="31">
        <f>K7-K44</f>
        <v/>
      </c>
      <c r="L46" s="31">
        <f>L7-L44</f>
        <v/>
      </c>
      <c r="M46" s="31">
        <f>M7-M44</f>
        <v/>
      </c>
      <c r="N46" s="31">
        <f>N7-N44</f>
        <v/>
      </c>
      <c r="O46" s="31">
        <f>O7-O44</f>
        <v/>
      </c>
      <c r="P46" s="31">
        <f>P7-P44</f>
        <v/>
      </c>
      <c r="Q46" s="31">
        <f>Q7-Q44</f>
        <v/>
      </c>
      <c r="R46" s="31">
        <f>R7-R44</f>
        <v/>
      </c>
      <c r="S46" s="31">
        <f>S7-S44</f>
        <v/>
      </c>
      <c r="T46" s="31">
        <f>T7-T44</f>
        <v/>
      </c>
      <c r="U46" s="31">
        <f>U7-U44</f>
        <v/>
      </c>
      <c r="V46" s="31">
        <f>V7-V44</f>
        <v/>
      </c>
      <c r="W46" s="31">
        <f>W7-W44</f>
        <v/>
      </c>
      <c r="X46" s="31">
        <f>X7-X44</f>
        <v/>
      </c>
      <c r="Y46" s="31">
        <f>Y7-Y44</f>
        <v/>
      </c>
      <c r="Z46" s="31">
        <f>Z7-Z44</f>
        <v/>
      </c>
      <c r="AA46" s="31">
        <f>AA7-AA44</f>
        <v/>
      </c>
      <c r="AB46" s="31">
        <f>AB7-AB44</f>
        <v/>
      </c>
      <c r="AC46" s="31">
        <f>AC7-AC44</f>
        <v/>
      </c>
      <c r="AD46" s="31">
        <f>AD7-AD44</f>
        <v/>
      </c>
      <c r="AE46" s="31">
        <f>AE7-AE44</f>
        <v/>
      </c>
      <c r="AF46" s="31">
        <f>AF7-AF44</f>
        <v/>
      </c>
      <c r="AG46" s="31">
        <f>AG7-AG44</f>
        <v/>
      </c>
      <c r="AH46" s="31">
        <f>AH7-AH44</f>
        <v/>
      </c>
      <c r="AI46" s="31">
        <f>AI7-AI44</f>
        <v/>
      </c>
      <c r="AJ46" s="31">
        <f>AJ7-AJ44</f>
        <v/>
      </c>
      <c r="AK46" s="11">
        <f>IF(N46&lt;&gt;0,(AB46-N46)/ABS(N46),0)</f>
        <v/>
      </c>
      <c r="AL46" s="11">
        <f>IF(AB46&lt;&gt;0,(AJ46-AB46)/ABS(AB46),0)</f>
        <v/>
      </c>
    </row>
  </sheetData>
  <mergeCells count="8">
    <mergeCell ref="A10:AL10"/>
    <mergeCell ref="B1:N1"/>
    <mergeCell ref="A23:AL23"/>
    <mergeCell ref="A32:AL32"/>
    <mergeCell ref="AC1:AJ1"/>
    <mergeCell ref="A9:AL9"/>
    <mergeCell ref="A3:AL3"/>
    <mergeCell ref="O1:AB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L4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9.5" customWidth="1" min="27" max="27"/>
    <col width="9.5" customWidth="1" min="28" max="28"/>
    <col width="9.5" customWidth="1" min="29" max="29"/>
    <col width="9.5" customWidth="1" min="30" max="30"/>
    <col width="9.5" customWidth="1" min="31" max="31"/>
    <col width="9.5" customWidth="1" min="32" max="32"/>
    <col width="9.5" customWidth="1" min="33" max="33"/>
    <col width="9.5" customWidth="1" min="34" max="34"/>
    <col width="9.5" customWidth="1" min="35" max="35"/>
    <col width="11" customWidth="1" min="36" max="36"/>
    <col width="10" customWidth="1" min="37" max="37"/>
    <col width="10" customWidth="1" min="38" max="38"/>
  </cols>
  <sheetData>
    <row r="1" ht="18" customHeight="1">
      <c r="A1" s="1" t="inlineStr">
        <is>
          <t>Stepping Stones</t>
        </is>
      </c>
      <c r="B1" s="2" t="inlineStr">
        <is>
          <t>Actuals 2025</t>
        </is>
      </c>
      <c r="O1" s="2" t="inlineStr">
        <is>
          <t>2026 Actual / Forecast</t>
        </is>
      </c>
      <c r="AC1" s="2" t="inlineStr">
        <is>
          <t>2027 Forecast</t>
        </is>
      </c>
      <c r="AK1" s="3" t="inlineStr">
        <is>
          <t>YoY</t>
        </is>
      </c>
      <c r="AL1" s="3" t="inlineStr">
        <is>
          <t>YoY</t>
        </is>
      </c>
    </row>
    <row r="2" ht="22" customHeight="1">
      <c r="B2" s="4" t="inlineStr">
        <is>
          <t>Jan</t>
        </is>
      </c>
      <c r="C2" s="4" t="inlineStr">
        <is>
          <t>Feb</t>
        </is>
      </c>
      <c r="D2" s="4" t="inlineStr">
        <is>
          <t>Mar</t>
        </is>
      </c>
      <c r="E2" s="4" t="inlineStr">
        <is>
          <t>Apr</t>
        </is>
      </c>
      <c r="F2" s="4" t="inlineStr">
        <is>
          <t>May</t>
        </is>
      </c>
      <c r="G2" s="4" t="inlineStr">
        <is>
          <t>Jun</t>
        </is>
      </c>
      <c r="H2" s="4" t="inlineStr">
        <is>
          <t>Jul</t>
        </is>
      </c>
      <c r="I2" s="4" t="inlineStr">
        <is>
          <t>Aug</t>
        </is>
      </c>
      <c r="J2" s="4" t="inlineStr">
        <is>
          <t>Sep</t>
        </is>
      </c>
      <c r="K2" s="4" t="inlineStr">
        <is>
          <t>Oct</t>
        </is>
      </c>
      <c r="L2" s="4" t="inlineStr">
        <is>
          <t>Nov</t>
        </is>
      </c>
      <c r="M2" s="4" t="inlineStr">
        <is>
          <t>Dec</t>
        </is>
      </c>
      <c r="N2" s="5" t="inlineStr">
        <is>
          <t>FY2025
Total</t>
        </is>
      </c>
      <c r="O2" s="4" t="inlineStr">
        <is>
          <t>Jan</t>
        </is>
      </c>
      <c r="P2" s="4" t="inlineStr">
        <is>
          <t>Feb</t>
        </is>
      </c>
      <c r="Q2" s="4" t="inlineStr">
        <is>
          <t>Mar</t>
        </is>
      </c>
      <c r="R2" s="4" t="inlineStr">
        <is>
          <t>Apr</t>
        </is>
      </c>
      <c r="S2" s="4" t="inlineStr">
        <is>
          <t>May</t>
        </is>
      </c>
      <c r="T2" s="4" t="inlineStr">
        <is>
          <t>Jun</t>
        </is>
      </c>
      <c r="U2" s="4" t="inlineStr">
        <is>
          <t>Jul</t>
        </is>
      </c>
      <c r="V2" s="4" t="inlineStr">
        <is>
          <t>Aug</t>
        </is>
      </c>
      <c r="W2" s="4" t="inlineStr">
        <is>
          <t>Sep</t>
        </is>
      </c>
      <c r="X2" s="4" t="inlineStr">
        <is>
          <t>Oct</t>
        </is>
      </c>
      <c r="Y2" s="4" t="inlineStr">
        <is>
          <t>Nov</t>
        </is>
      </c>
      <c r="Z2" s="4" t="inlineStr">
        <is>
          <t>Dec</t>
        </is>
      </c>
      <c r="AA2" s="4" t="inlineStr">
        <is>
          <t>YTD</t>
        </is>
      </c>
      <c r="AB2" s="5" t="inlineStr">
        <is>
          <t>FY2026
Outlook</t>
        </is>
      </c>
      <c r="AC2" s="4" t="inlineStr">
        <is>
          <t>Jan</t>
        </is>
      </c>
      <c r="AD2" s="4" t="inlineStr">
        <is>
          <t>Feb</t>
        </is>
      </c>
      <c r="AE2" s="4" t="inlineStr">
        <is>
          <t>Mar</t>
        </is>
      </c>
      <c r="AF2" s="4" t="inlineStr">
        <is>
          <t>Apr</t>
        </is>
      </c>
      <c r="AG2" s="4" t="inlineStr">
        <is>
          <t>May</t>
        </is>
      </c>
      <c r="AH2" s="4" t="inlineStr">
        <is>
          <t>Jun</t>
        </is>
      </c>
      <c r="AI2" s="6" t="inlineStr">
        <is>
          <t>Jul-Dec
Proj.</t>
        </is>
      </c>
      <c r="AJ2" s="4" t="inlineStr">
        <is>
          <t>FY2027</t>
        </is>
      </c>
      <c r="AK2" s="6" t="inlineStr">
        <is>
          <t>25→26
%</t>
        </is>
      </c>
      <c r="AL2" s="6" t="inlineStr">
        <is>
          <t>26→27
%</t>
        </is>
      </c>
    </row>
    <row r="3" ht="15" customHeight="1">
      <c r="A3" s="7" t="inlineStr">
        <is>
          <t>INCOME</t>
        </is>
      </c>
    </row>
    <row r="4" ht="13" customHeight="1">
      <c r="A4" s="8" t="inlineStr">
        <is>
          <t xml:space="preserve">    Fee Income Regular</t>
        </is>
      </c>
      <c r="B4" s="9" t="n">
        <v>47272.73</v>
      </c>
      <c r="C4" s="9" t="n">
        <v>41439.07</v>
      </c>
      <c r="D4" s="9" t="n">
        <v>47933.15</v>
      </c>
      <c r="E4" s="9" t="n">
        <v>50993.37</v>
      </c>
      <c r="F4" s="9" t="n">
        <v>45605.89</v>
      </c>
      <c r="G4" s="9" t="n">
        <v>43338.36</v>
      </c>
      <c r="H4" s="9" t="n">
        <v>49651.73</v>
      </c>
      <c r="I4" s="9" t="n">
        <v>45155.16</v>
      </c>
      <c r="J4" s="9" t="n">
        <v>35763.55</v>
      </c>
      <c r="K4" s="9" t="n">
        <v>37137.94</v>
      </c>
      <c r="L4" s="9" t="n">
        <v>34126.29</v>
      </c>
      <c r="M4" s="9" t="n">
        <v>43136.03</v>
      </c>
      <c r="N4" s="9">
        <f>SUM(B4:M4)</f>
        <v/>
      </c>
      <c r="O4" s="9" t="n">
        <v>39923</v>
      </c>
      <c r="P4" s="9" t="n">
        <v>37444.52</v>
      </c>
      <c r="Q4" s="9" t="n">
        <v>38993.25999999999</v>
      </c>
      <c r="R4" s="9" t="n">
        <v>44955.40999999999</v>
      </c>
      <c r="S4" s="9" t="n">
        <v>36870.75999999999</v>
      </c>
      <c r="T4" s="9" t="n">
        <v>38820.41</v>
      </c>
      <c r="U4" s="9" t="n">
        <v>49058.80000000001</v>
      </c>
      <c r="AA4" s="9">
        <f>SUM(O4:U4)</f>
        <v/>
      </c>
      <c r="AB4" s="9">
        <f>SUM(O4:Z4)</f>
        <v/>
      </c>
      <c r="AC4" s="9" t="n">
        <v>42836.88</v>
      </c>
      <c r="AD4" s="9" t="n">
        <v>32424.51</v>
      </c>
      <c r="AE4" s="9" t="n">
        <v>55090.04</v>
      </c>
      <c r="AF4" s="9" t="n">
        <v>42857.01</v>
      </c>
      <c r="AG4" s="9" t="n">
        <v>43360.87</v>
      </c>
      <c r="AH4" s="9" t="n">
        <v>39588.43</v>
      </c>
      <c r="AI4" s="10">
        <f>SUM(AC4:AH4)</f>
        <v/>
      </c>
      <c r="AJ4" s="9">
        <f>SUM(AC4:AH4)+AI4</f>
        <v/>
      </c>
      <c r="AK4" s="11">
        <f>IF(N4&lt;&gt;0,(AB4-N4)/ABS(N4),0)</f>
        <v/>
      </c>
      <c r="AL4" s="11">
        <f>IF(AB4&lt;&gt;0,(AJ4-AB4)/ABS(AB4),0)</f>
        <v/>
      </c>
    </row>
    <row r="5" ht="13" customHeight="1">
      <c r="A5" s="8" t="inlineStr">
        <is>
          <t xml:space="preserve">    EEEF Embedded</t>
        </is>
      </c>
      <c r="B5" s="9" t="n">
        <v>13845.22</v>
      </c>
      <c r="C5" s="9" t="n">
        <v>13845.22</v>
      </c>
      <c r="D5" s="9" t="n">
        <v>14298.7</v>
      </c>
      <c r="E5" s="9" t="n">
        <v>12728.52</v>
      </c>
      <c r="F5" s="9" t="n">
        <v>12728.52</v>
      </c>
      <c r="G5" s="9" t="n">
        <v>12728.53</v>
      </c>
      <c r="H5" s="9" t="n">
        <v>23643.93</v>
      </c>
      <c r="I5" s="9" t="n">
        <v>0</v>
      </c>
      <c r="J5" s="9" t="n">
        <v>11531.5</v>
      </c>
      <c r="K5" s="9" t="n">
        <v>11531.5</v>
      </c>
      <c r="L5" s="9" t="n">
        <v>26935.88999999999</v>
      </c>
      <c r="M5" s="9" t="n">
        <v>27141.4</v>
      </c>
      <c r="N5" s="9">
        <f>SUM(B5:M5)</f>
        <v/>
      </c>
      <c r="O5" s="9" t="n">
        <v>19933.58</v>
      </c>
      <c r="P5" s="9" t="n">
        <v>19933.58</v>
      </c>
      <c r="Q5" s="9" t="n">
        <v>31311.67</v>
      </c>
      <c r="R5" s="9" t="n">
        <v>17938.48</v>
      </c>
      <c r="S5" s="9" t="n">
        <v>17938.48</v>
      </c>
      <c r="T5" s="9" t="n">
        <v>32496.22</v>
      </c>
      <c r="U5" s="9" t="n">
        <v>22791.06</v>
      </c>
      <c r="AA5" s="9">
        <f>SUM(O5:U5)</f>
        <v/>
      </c>
      <c r="AB5" s="9">
        <f>SUM(O5:Z5)</f>
        <v/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10">
        <f>SUM(AC5:AH5)</f>
        <v/>
      </c>
      <c r="AJ5" s="9">
        <f>SUM(AC5:AH5)+AI5</f>
        <v/>
      </c>
      <c r="AK5" s="11">
        <f>IF(N5&lt;&gt;0,(AB5-N5)/ABS(N5),0)</f>
        <v/>
      </c>
      <c r="AL5" s="11">
        <f>IF(AB5&lt;&gt;0,(AJ5-AB5)/ABS(AB5),0)</f>
        <v/>
      </c>
    </row>
    <row r="6" ht="13" customHeight="1">
      <c r="A6" s="8" t="inlineStr">
        <is>
          <t xml:space="preserve">    Other Income</t>
        </is>
      </c>
      <c r="B6" s="9" t="n">
        <v>0</v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2971.91</v>
      </c>
      <c r="J6" s="9" t="n">
        <v>0</v>
      </c>
      <c r="K6" s="9" t="n">
        <v>0</v>
      </c>
      <c r="L6" s="9" t="n">
        <v>0</v>
      </c>
      <c r="M6" s="9" t="n">
        <v>0</v>
      </c>
      <c r="N6" s="9">
        <f>SUM(B6:M6)</f>
        <v/>
      </c>
      <c r="O6" s="9" t="n">
        <v>0</v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0</v>
      </c>
      <c r="W6" s="9" t="n">
        <v>0</v>
      </c>
      <c r="X6" s="9" t="n">
        <v>0</v>
      </c>
      <c r="Y6" s="9" t="n">
        <v>0</v>
      </c>
      <c r="Z6" s="9" t="n">
        <v>0</v>
      </c>
      <c r="AA6" s="9">
        <f>SUM(O6:U6)</f>
        <v/>
      </c>
      <c r="AB6" s="9">
        <f>SUM(O6:Z6)</f>
        <v/>
      </c>
      <c r="AC6" s="9" t="n">
        <v>0</v>
      </c>
      <c r="AD6" s="9" t="n">
        <v>0</v>
      </c>
      <c r="AE6" s="9" t="n">
        <v>0</v>
      </c>
      <c r="AF6" s="9" t="n">
        <v>0</v>
      </c>
      <c r="AG6" s="9" t="n">
        <v>0</v>
      </c>
      <c r="AH6" s="9" t="n">
        <v>0</v>
      </c>
      <c r="AI6" s="10">
        <f>SUM(AC6:AH6)</f>
        <v/>
      </c>
      <c r="AJ6" s="9">
        <f>SUM(AC6:AH6)+AI6</f>
        <v/>
      </c>
      <c r="AK6" s="11">
        <f>IF(N6&lt;&gt;0,(AB6-N6)/ABS(N6),0)</f>
        <v/>
      </c>
      <c r="AL6" s="11">
        <f>IF(AB6&lt;&gt;0,(AJ6-AB6)/ABS(AB6),0)</f>
        <v/>
      </c>
    </row>
    <row r="7" ht="13" customHeight="1">
      <c r="A7" s="12" t="inlineStr">
        <is>
          <t>Total Income</t>
        </is>
      </c>
      <c r="B7" s="13">
        <f>B4+B5+B6</f>
        <v/>
      </c>
      <c r="C7" s="13">
        <f>C4+C5+C6</f>
        <v/>
      </c>
      <c r="D7" s="13">
        <f>D4+D5+D6</f>
        <v/>
      </c>
      <c r="E7" s="13">
        <f>E4+E5+E6</f>
        <v/>
      </c>
      <c r="F7" s="13">
        <f>F4+F5+F6</f>
        <v/>
      </c>
      <c r="G7" s="13">
        <f>G4+G5+G6</f>
        <v/>
      </c>
      <c r="H7" s="13">
        <f>H4+H5+H6</f>
        <v/>
      </c>
      <c r="I7" s="13">
        <f>I4+I5+I6</f>
        <v/>
      </c>
      <c r="J7" s="13">
        <f>J4+J5+J6</f>
        <v/>
      </c>
      <c r="K7" s="13">
        <f>K4+K5+K6</f>
        <v/>
      </c>
      <c r="L7" s="13">
        <f>L4+L5+L6</f>
        <v/>
      </c>
      <c r="M7" s="13">
        <f>M4+M5+M6</f>
        <v/>
      </c>
      <c r="N7" s="13">
        <f>N4+N5+N6</f>
        <v/>
      </c>
      <c r="O7" s="13">
        <f>O4+O5+O6</f>
        <v/>
      </c>
      <c r="P7" s="13">
        <f>P4+P5+P6</f>
        <v/>
      </c>
      <c r="Q7" s="13">
        <f>Q4+Q5+Q6</f>
        <v/>
      </c>
      <c r="R7" s="13">
        <f>R4+R5+R6</f>
        <v/>
      </c>
      <c r="S7" s="13">
        <f>S4+S5+S6</f>
        <v/>
      </c>
      <c r="T7" s="13">
        <f>T4+T5+T6</f>
        <v/>
      </c>
      <c r="U7" s="13">
        <f>U4+U5+U6</f>
        <v/>
      </c>
      <c r="V7" s="13">
        <f>V4+V5+V6</f>
        <v/>
      </c>
      <c r="W7" s="13">
        <f>W4+W5+W6</f>
        <v/>
      </c>
      <c r="X7" s="13">
        <f>X4+X5+X6</f>
        <v/>
      </c>
      <c r="Y7" s="13">
        <f>Y4+Y5+Y6</f>
        <v/>
      </c>
      <c r="Z7" s="13">
        <f>Z4+Z5+Z6</f>
        <v/>
      </c>
      <c r="AA7" s="13">
        <f>AA4+AA5+AA6</f>
        <v/>
      </c>
      <c r="AB7" s="13">
        <f>AB4+AB5+AB6</f>
        <v/>
      </c>
      <c r="AC7" s="13">
        <f>AC4+AC5+AC6</f>
        <v/>
      </c>
      <c r="AD7" s="13">
        <f>AD4+AD5+AD6</f>
        <v/>
      </c>
      <c r="AE7" s="13">
        <f>AE4+AE5+AE6</f>
        <v/>
      </c>
      <c r="AF7" s="13">
        <f>AF4+AF5+AF6</f>
        <v/>
      </c>
      <c r="AG7" s="13">
        <f>AG4+AG5+AG6</f>
        <v/>
      </c>
      <c r="AH7" s="13">
        <f>AH4+AH5+AH6</f>
        <v/>
      </c>
      <c r="AI7" s="13">
        <f>AI4+AI5+AI6</f>
        <v/>
      </c>
      <c r="AJ7" s="13">
        <f>AJ4+AJ5+AJ6</f>
        <v/>
      </c>
      <c r="AK7" s="11">
        <f>IF(N7&lt;&gt;0,(AB7-N7)/ABS(N7),0)</f>
        <v/>
      </c>
      <c r="AL7" s="11">
        <f>IF(AB7&lt;&gt;0,(AJ7-AB7)/ABS(AB7),0)</f>
        <v/>
      </c>
    </row>
    <row r="8" ht="5" customHeight="1"/>
    <row r="9" ht="15" customHeight="1">
      <c r="A9" s="7" t="inlineStr">
        <is>
          <t>DIRECT COSTS</t>
        </is>
      </c>
    </row>
    <row r="10" ht="13" customHeight="1">
      <c r="A10" s="14" t="inlineStr">
        <is>
          <t>Personnel</t>
        </is>
      </c>
    </row>
    <row r="11" ht="13" customHeight="1">
      <c r="A11" s="15" t="inlineStr">
        <is>
          <t xml:space="preserve">    Nursery Salaries</t>
        </is>
      </c>
      <c r="B11" s="16" t="n">
        <v>21607.1</v>
      </c>
      <c r="C11" s="16" t="n">
        <v>18599.12</v>
      </c>
      <c r="D11" s="16" t="n">
        <v>18828.61</v>
      </c>
      <c r="E11" s="16" t="n">
        <v>30196.38</v>
      </c>
      <c r="F11" s="16" t="n">
        <v>21271.92</v>
      </c>
      <c r="G11" s="16" t="n">
        <v>21185.22</v>
      </c>
      <c r="H11" s="16" t="n">
        <v>20748.59</v>
      </c>
      <c r="I11" s="16" t="n">
        <v>15728.54</v>
      </c>
      <c r="J11" s="16" t="n">
        <v>13769.68</v>
      </c>
      <c r="K11" s="16" t="n">
        <v>21655.25</v>
      </c>
      <c r="L11" s="16" t="n">
        <v>23068.26</v>
      </c>
      <c r="M11" s="16" t="n">
        <v>25028.67</v>
      </c>
      <c r="N11" s="16">
        <f>SUM(B11:M11)</f>
        <v/>
      </c>
      <c r="O11" s="16" t="n">
        <v>26176.86</v>
      </c>
      <c r="P11" s="16" t="n">
        <v>22930.94</v>
      </c>
      <c r="Q11" s="16" t="n">
        <v>24582.34</v>
      </c>
      <c r="R11" s="16" t="n">
        <v>27353.04</v>
      </c>
      <c r="S11" s="16" t="n">
        <v>25209.56</v>
      </c>
      <c r="T11" s="16" t="n">
        <v>23332.22</v>
      </c>
      <c r="U11" s="16" t="n">
        <v>23764.36</v>
      </c>
      <c r="AA11" s="16">
        <f>SUM(O11:U11)</f>
        <v/>
      </c>
      <c r="AB11" s="16">
        <f>SUM(O11:Z11)</f>
        <v/>
      </c>
      <c r="AC11" s="16" t="n">
        <v>23764.36</v>
      </c>
      <c r="AD11" s="16" t="n">
        <v>23764.36</v>
      </c>
      <c r="AE11" s="16" t="n">
        <v>23764.36</v>
      </c>
      <c r="AF11" s="16" t="n">
        <v>23764.36</v>
      </c>
      <c r="AG11" s="16" t="n">
        <v>23764.36</v>
      </c>
      <c r="AH11" s="16" t="n">
        <v>23764.36</v>
      </c>
      <c r="AI11" s="10">
        <f>SUM(AC11:AH11)</f>
        <v/>
      </c>
      <c r="AJ11" s="16">
        <f>SUM(AC11:AH11)+AI11</f>
        <v/>
      </c>
      <c r="AK11" s="11">
        <f>IF(N11&lt;&gt;0,(AB11-N11)/ABS(N11),0)</f>
        <v/>
      </c>
      <c r="AL11" s="11">
        <f>IF(AB11&lt;&gt;0,(AJ11-AB11)/ABS(AB11),0)</f>
        <v/>
      </c>
    </row>
    <row r="12" ht="13" customHeight="1">
      <c r="A12" s="15" t="inlineStr">
        <is>
          <t xml:space="preserve">    Nursery NI</t>
        </is>
      </c>
      <c r="B12" s="16" t="n">
        <v>1518.87</v>
      </c>
      <c r="C12" s="16" t="n">
        <v>1465.4</v>
      </c>
      <c r="D12" s="16" t="n">
        <v>1387.39</v>
      </c>
      <c r="E12" s="16" t="n">
        <v>3382.54</v>
      </c>
      <c r="F12" s="16" t="n">
        <v>2202.22</v>
      </c>
      <c r="G12" s="16" t="n">
        <v>2183.99</v>
      </c>
      <c r="H12" s="16" t="n">
        <v>2079.75</v>
      </c>
      <c r="I12" s="16" t="n">
        <v>1659.35</v>
      </c>
      <c r="J12" s="16" t="n">
        <v>1486.66</v>
      </c>
      <c r="K12" s="16" t="n">
        <v>2384.28</v>
      </c>
      <c r="L12" s="16" t="n">
        <v>2508.07</v>
      </c>
      <c r="M12" s="16" t="n">
        <v>2817.56</v>
      </c>
      <c r="N12" s="16">
        <f>SUM(B12:M12)</f>
        <v/>
      </c>
      <c r="O12" s="16" t="n">
        <v>3017.58</v>
      </c>
      <c r="P12" s="16" t="n">
        <v>2430.94</v>
      </c>
      <c r="Q12" s="16" t="n">
        <v>2706.76</v>
      </c>
      <c r="R12" s="16" t="n">
        <v>3088.37</v>
      </c>
      <c r="S12" s="16" t="n">
        <v>2683.21</v>
      </c>
      <c r="T12" s="16" t="n">
        <v>2439.34</v>
      </c>
      <c r="U12" s="16" t="n">
        <v>2504.85</v>
      </c>
      <c r="AA12" s="16">
        <f>SUM(O12:U12)</f>
        <v/>
      </c>
      <c r="AB12" s="16">
        <f>SUM(O12:Z12)</f>
        <v/>
      </c>
      <c r="AC12" s="16" t="n">
        <v>2504.85</v>
      </c>
      <c r="AD12" s="16" t="n">
        <v>2504.85</v>
      </c>
      <c r="AE12" s="16" t="n">
        <v>2504.85</v>
      </c>
      <c r="AF12" s="16" t="n">
        <v>2504.85</v>
      </c>
      <c r="AG12" s="16" t="n">
        <v>2504.85</v>
      </c>
      <c r="AH12" s="16" t="n">
        <v>2504.85</v>
      </c>
      <c r="AI12" s="10">
        <f>SUM(AC12:AH12)</f>
        <v/>
      </c>
      <c r="AJ12" s="16">
        <f>SUM(AC12:AH12)+AI12</f>
        <v/>
      </c>
      <c r="AK12" s="11">
        <f>IF(N12&lt;&gt;0,(AB12-N12)/ABS(N12),0)</f>
        <v/>
      </c>
      <c r="AL12" s="11">
        <f>IF(AB12&lt;&gt;0,(AJ12-AB12)/ABS(AB12),0)</f>
        <v/>
      </c>
    </row>
    <row r="13" ht="13" customHeight="1">
      <c r="A13" s="15" t="inlineStr">
        <is>
          <t xml:space="preserve">    Nursery Pension</t>
        </is>
      </c>
      <c r="B13" s="16" t="n">
        <v>380.15</v>
      </c>
      <c r="C13" s="16" t="n">
        <v>368.53</v>
      </c>
      <c r="D13" s="16" t="n">
        <v>351.56</v>
      </c>
      <c r="E13" s="16" t="n">
        <v>312.94</v>
      </c>
      <c r="F13" s="16" t="n">
        <v>271.31</v>
      </c>
      <c r="G13" s="16" t="n">
        <v>268.31</v>
      </c>
      <c r="H13" s="16" t="n">
        <v>299.41</v>
      </c>
      <c r="I13" s="16" t="n">
        <v>266.04</v>
      </c>
      <c r="J13" s="16" t="n">
        <v>278.77</v>
      </c>
      <c r="K13" s="16" t="n">
        <v>424.36</v>
      </c>
      <c r="L13" s="16" t="n">
        <v>387.08</v>
      </c>
      <c r="M13" s="16" t="n">
        <v>532.5699999999999</v>
      </c>
      <c r="N13" s="16">
        <f>SUM(B13:M13)</f>
        <v/>
      </c>
      <c r="O13" s="16" t="n">
        <v>572.58</v>
      </c>
      <c r="P13" s="16" t="n">
        <v>409.34</v>
      </c>
      <c r="Q13" s="16" t="n">
        <v>367.99</v>
      </c>
      <c r="R13" s="16" t="n">
        <v>468.86</v>
      </c>
      <c r="S13" s="16" t="n">
        <v>505.71</v>
      </c>
      <c r="T13" s="16" t="n">
        <v>456.92</v>
      </c>
      <c r="U13" s="16" t="n">
        <v>417</v>
      </c>
      <c r="AA13" s="16">
        <f>SUM(O13:U13)</f>
        <v/>
      </c>
      <c r="AB13" s="16">
        <f>SUM(O13:Z13)</f>
        <v/>
      </c>
      <c r="AC13" s="16" t="n">
        <v>417</v>
      </c>
      <c r="AD13" s="16" t="n">
        <v>417</v>
      </c>
      <c r="AE13" s="16" t="n">
        <v>417</v>
      </c>
      <c r="AF13" s="16" t="n">
        <v>417</v>
      </c>
      <c r="AG13" s="16" t="n">
        <v>417</v>
      </c>
      <c r="AH13" s="16" t="n">
        <v>417</v>
      </c>
      <c r="AI13" s="10">
        <f>SUM(AC13:AH13)</f>
        <v/>
      </c>
      <c r="AJ13" s="16">
        <f>SUM(AC13:AH13)+AI13</f>
        <v/>
      </c>
      <c r="AK13" s="11">
        <f>IF(N13&lt;&gt;0,(AB13-N13)/ABS(N13),0)</f>
        <v/>
      </c>
      <c r="AL13" s="11">
        <f>IF(AB13&lt;&gt;0,(AJ13-AB13)/ABS(AB13),0)</f>
        <v/>
      </c>
    </row>
    <row r="14" ht="13" customHeight="1">
      <c r="A14" s="15" t="inlineStr">
        <is>
          <t xml:space="preserve">    Uniform</t>
        </is>
      </c>
      <c r="B14" s="16" t="n">
        <v>186.12</v>
      </c>
      <c r="C14" s="16" t="n">
        <v>0</v>
      </c>
      <c r="D14" s="16" t="n">
        <v>0</v>
      </c>
      <c r="E14" s="16" t="n">
        <v>67.02</v>
      </c>
      <c r="F14" s="16" t="n">
        <v>0</v>
      </c>
      <c r="G14" s="16" t="n">
        <v>0</v>
      </c>
      <c r="H14" s="16" t="n">
        <v>72.54000000000001</v>
      </c>
      <c r="I14" s="16" t="n">
        <v>0</v>
      </c>
      <c r="J14" s="16" t="n">
        <v>120</v>
      </c>
      <c r="K14" s="16" t="n">
        <v>0</v>
      </c>
      <c r="L14" s="16" t="n">
        <v>128.76</v>
      </c>
      <c r="M14" s="16" t="n">
        <v>0</v>
      </c>
      <c r="N14" s="16">
        <f>SUM(B14:M14)</f>
        <v/>
      </c>
      <c r="O14" s="16" t="n">
        <v>0</v>
      </c>
      <c r="P14" s="16" t="n">
        <v>0</v>
      </c>
      <c r="Q14" s="16" t="n">
        <v>141.3</v>
      </c>
      <c r="R14" s="16" t="n">
        <v>122.4</v>
      </c>
      <c r="S14" s="16" t="n">
        <v>22.72</v>
      </c>
      <c r="T14" s="16" t="n">
        <v>173.22</v>
      </c>
      <c r="U14" s="16" t="n">
        <v>0</v>
      </c>
      <c r="AA14" s="16">
        <f>SUM(O14:U14)</f>
        <v/>
      </c>
      <c r="AB14" s="16">
        <f>SUM(O14:Z14)</f>
        <v/>
      </c>
      <c r="AC14" s="16" t="n">
        <v>60</v>
      </c>
      <c r="AD14" s="16" t="n">
        <v>60</v>
      </c>
      <c r="AE14" s="16" t="n">
        <v>60</v>
      </c>
      <c r="AF14" s="16" t="n">
        <v>60</v>
      </c>
      <c r="AG14" s="16" t="n">
        <v>60</v>
      </c>
      <c r="AH14" s="16" t="n">
        <v>60</v>
      </c>
      <c r="AI14" s="10">
        <f>SUM(AC14:AH14)</f>
        <v/>
      </c>
      <c r="AJ14" s="16">
        <f>SUM(AC14:AH14)+AI14</f>
        <v/>
      </c>
      <c r="AK14" s="11">
        <f>IF(N14&lt;&gt;0,(AB14-N14)/ABS(N14),0)</f>
        <v/>
      </c>
      <c r="AL14" s="11">
        <f>IF(AB14&lt;&gt;0,(AJ14-AB14)/ABS(AB14),0)</f>
        <v/>
      </c>
    </row>
    <row r="15" ht="13" customHeight="1">
      <c r="A15" s="15" t="inlineStr">
        <is>
          <t xml:space="preserve">    Training</t>
        </is>
      </c>
      <c r="B15" s="16" t="n">
        <v>0</v>
      </c>
      <c r="C15" s="16" t="n">
        <v>0</v>
      </c>
      <c r="D15" s="16" t="n">
        <v>0</v>
      </c>
      <c r="E15" s="16" t="n">
        <v>139.2</v>
      </c>
      <c r="F15" s="16" t="n">
        <v>48</v>
      </c>
      <c r="G15" s="16" t="n">
        <v>164.4</v>
      </c>
      <c r="H15" s="16" t="n">
        <v>0</v>
      </c>
      <c r="I15" s="16" t="n">
        <v>115.2</v>
      </c>
      <c r="J15" s="16" t="n">
        <v>0</v>
      </c>
      <c r="K15" s="16" t="n">
        <v>0</v>
      </c>
      <c r="L15" s="16" t="n">
        <v>403.2</v>
      </c>
      <c r="M15" s="16" t="n">
        <v>0</v>
      </c>
      <c r="N15" s="16">
        <f>SUM(B15:M15)</f>
        <v/>
      </c>
      <c r="O15" s="16" t="n">
        <v>192</v>
      </c>
      <c r="P15" s="16" t="n">
        <v>0</v>
      </c>
      <c r="Q15" s="16" t="n">
        <v>0</v>
      </c>
      <c r="R15" s="16" t="n">
        <v>0</v>
      </c>
      <c r="S15" s="16" t="n">
        <v>0</v>
      </c>
      <c r="T15" s="16" t="n">
        <v>0</v>
      </c>
      <c r="U15" s="16" t="n">
        <v>0</v>
      </c>
      <c r="AA15" s="16">
        <f>SUM(O15:U15)</f>
        <v/>
      </c>
      <c r="AB15" s="16">
        <f>SUM(O15:Z15)</f>
        <v/>
      </c>
      <c r="AC15" s="16" t="n">
        <v>100</v>
      </c>
      <c r="AD15" s="16" t="n">
        <v>100</v>
      </c>
      <c r="AE15" s="16" t="n">
        <v>100</v>
      </c>
      <c r="AF15" s="16" t="n">
        <v>100</v>
      </c>
      <c r="AG15" s="16" t="n">
        <v>100</v>
      </c>
      <c r="AH15" s="16" t="n">
        <v>100</v>
      </c>
      <c r="AI15" s="10">
        <f>SUM(AC15:AH15)</f>
        <v/>
      </c>
      <c r="AJ15" s="16">
        <f>SUM(AC15:AH15)+AI15</f>
        <v/>
      </c>
      <c r="AK15" s="11">
        <f>IF(N15&lt;&gt;0,(AB15-N15)/ABS(N15),0)</f>
        <v/>
      </c>
      <c r="AL15" s="11">
        <f>IF(AB15&lt;&gt;0,(AJ15-AB15)/ABS(AB15),0)</f>
        <v/>
      </c>
    </row>
    <row r="16" ht="13" customHeight="1">
      <c r="A16" s="15" t="inlineStr">
        <is>
          <t xml:space="preserve">    Staff Welfare</t>
        </is>
      </c>
      <c r="B16" s="16" t="n">
        <v>106.99</v>
      </c>
      <c r="C16" s="16" t="n">
        <v>173.03</v>
      </c>
      <c r="D16" s="16" t="n">
        <v>86.29000000000001</v>
      </c>
      <c r="E16" s="16" t="n">
        <v>113.6</v>
      </c>
      <c r="F16" s="16" t="n">
        <v>155.62</v>
      </c>
      <c r="G16" s="16" t="n">
        <v>91.43000000000001</v>
      </c>
      <c r="H16" s="16" t="n">
        <v>58.88</v>
      </c>
      <c r="I16" s="16" t="n">
        <v>85.14</v>
      </c>
      <c r="J16" s="16" t="n">
        <v>67.09999999999999</v>
      </c>
      <c r="K16" s="16" t="n">
        <v>62.73</v>
      </c>
      <c r="L16" s="16" t="n">
        <v>40.9</v>
      </c>
      <c r="M16" s="16" t="n">
        <v>86.56</v>
      </c>
      <c r="N16" s="16">
        <f>SUM(B16:M16)</f>
        <v/>
      </c>
      <c r="O16" s="16" t="n">
        <v>0</v>
      </c>
      <c r="P16" s="16" t="n">
        <v>48.03</v>
      </c>
      <c r="Q16" s="16" t="n">
        <v>55.61</v>
      </c>
      <c r="R16" s="16" t="n">
        <v>14</v>
      </c>
      <c r="S16" s="16" t="n">
        <v>69.87</v>
      </c>
      <c r="T16" s="16" t="n">
        <v>106.05</v>
      </c>
      <c r="U16" s="16" t="n">
        <v>207.57</v>
      </c>
      <c r="AA16" s="16">
        <f>SUM(O16:U16)</f>
        <v/>
      </c>
      <c r="AB16" s="16">
        <f>SUM(O16:Z16)</f>
        <v/>
      </c>
      <c r="AC16" s="16" t="n">
        <v>120</v>
      </c>
      <c r="AD16" s="16" t="n">
        <v>120</v>
      </c>
      <c r="AE16" s="16" t="n">
        <v>120</v>
      </c>
      <c r="AF16" s="16" t="n">
        <v>120</v>
      </c>
      <c r="AG16" s="16" t="n">
        <v>120</v>
      </c>
      <c r="AH16" s="16" t="n">
        <v>120</v>
      </c>
      <c r="AI16" s="10">
        <f>SUM(AC16:AH16)</f>
        <v/>
      </c>
      <c r="AJ16" s="16">
        <f>SUM(AC16:AH16)+AI16</f>
        <v/>
      </c>
      <c r="AK16" s="11">
        <f>IF(N16&lt;&gt;0,(AB16-N16)/ABS(N16),0)</f>
        <v/>
      </c>
      <c r="AL16" s="11">
        <f>IF(AB16&lt;&gt;0,(AJ16-AB16)/ABS(AB16),0)</f>
        <v/>
      </c>
    </row>
    <row r="17" ht="13" customHeight="1">
      <c r="A17" s="15" t="inlineStr">
        <is>
          <t xml:space="preserve">    Recruitment</t>
        </is>
      </c>
      <c r="B17" s="16" t="n">
        <v>0</v>
      </c>
      <c r="C17" s="16" t="n">
        <v>0</v>
      </c>
      <c r="D17" s="16" t="n">
        <v>0</v>
      </c>
      <c r="E17" s="16" t="n">
        <v>4169.88</v>
      </c>
      <c r="F17" s="16" t="n">
        <v>0</v>
      </c>
      <c r="G17" s="16" t="n">
        <v>0</v>
      </c>
      <c r="H17" s="16" t="n">
        <v>0</v>
      </c>
      <c r="I17" s="16" t="n">
        <v>0</v>
      </c>
      <c r="J17" s="16" t="n">
        <v>0</v>
      </c>
      <c r="K17" s="16" t="n">
        <v>0</v>
      </c>
      <c r="L17" s="16" t="n">
        <v>0</v>
      </c>
      <c r="M17" s="16" t="n">
        <v>0</v>
      </c>
      <c r="N17" s="16">
        <f>SUM(B17:M17)</f>
        <v/>
      </c>
      <c r="O17" s="16" t="n">
        <v>0</v>
      </c>
      <c r="P17" s="16" t="n">
        <v>4800</v>
      </c>
      <c r="Q17" s="16" t="n">
        <v>0</v>
      </c>
      <c r="R17" s="16" t="n">
        <v>0</v>
      </c>
      <c r="S17" s="16" t="n">
        <v>0</v>
      </c>
      <c r="T17" s="16" t="n">
        <v>0</v>
      </c>
      <c r="U17" s="16" t="n">
        <v>0</v>
      </c>
      <c r="AA17" s="16">
        <f>SUM(O17:U17)</f>
        <v/>
      </c>
      <c r="AB17" s="16">
        <f>SUM(O17:Z17)</f>
        <v/>
      </c>
      <c r="AC17" s="16" t="n">
        <v>0</v>
      </c>
      <c r="AD17" s="16" t="n">
        <v>0</v>
      </c>
      <c r="AE17" s="16" t="n">
        <v>0</v>
      </c>
      <c r="AF17" s="16" t="n">
        <v>0</v>
      </c>
      <c r="AG17" s="16" t="n">
        <v>0</v>
      </c>
      <c r="AH17" s="16" t="n">
        <v>0</v>
      </c>
      <c r="AI17" s="10">
        <f>SUM(AC17:AH17)</f>
        <v/>
      </c>
      <c r="AJ17" s="16">
        <f>SUM(AC17:AH17)+AI17</f>
        <v/>
      </c>
      <c r="AK17" s="11">
        <f>IF(N17&lt;&gt;0,(AB17-N17)/ABS(N17),0)</f>
        <v/>
      </c>
      <c r="AL17" s="11">
        <f>IF(AB17&lt;&gt;0,(AJ17-AB17)/ABS(AB17),0)</f>
        <v/>
      </c>
    </row>
    <row r="18" ht="13" customHeight="1">
      <c r="A18" s="15" t="inlineStr">
        <is>
          <t xml:space="preserve">    Rewards &amp; Recognition</t>
        </is>
      </c>
      <c r="B18" s="16" t="n">
        <v>0</v>
      </c>
      <c r="C18" s="16" t="n">
        <v>0</v>
      </c>
      <c r="D18" s="16" t="n">
        <v>0</v>
      </c>
      <c r="E18" s="16" t="n">
        <v>0</v>
      </c>
      <c r="F18" s="16" t="n">
        <v>0</v>
      </c>
      <c r="G18" s="16" t="n">
        <v>0</v>
      </c>
      <c r="H18" s="16" t="n">
        <v>26.99</v>
      </c>
      <c r="I18" s="16" t="n">
        <v>0</v>
      </c>
      <c r="J18" s="16" t="n">
        <v>64.36</v>
      </c>
      <c r="K18" s="16" t="n">
        <v>0</v>
      </c>
      <c r="L18" s="16" t="n">
        <v>0</v>
      </c>
      <c r="M18" s="16" t="n">
        <v>0</v>
      </c>
      <c r="N18" s="16">
        <f>SUM(B18:M18)</f>
        <v/>
      </c>
      <c r="O18" s="16" t="n">
        <v>0</v>
      </c>
      <c r="P18" s="16" t="n">
        <v>0</v>
      </c>
      <c r="Q18" s="16" t="n">
        <v>0</v>
      </c>
      <c r="R18" s="16" t="n">
        <v>0</v>
      </c>
      <c r="S18" s="16" t="n">
        <v>0</v>
      </c>
      <c r="T18" s="16" t="n">
        <v>0</v>
      </c>
      <c r="U18" s="16" t="n">
        <v>0</v>
      </c>
      <c r="V18" s="16" t="n">
        <v>0</v>
      </c>
      <c r="W18" s="16" t="n">
        <v>0</v>
      </c>
      <c r="X18" s="16" t="n">
        <v>0</v>
      </c>
      <c r="Y18" s="16" t="n">
        <v>0</v>
      </c>
      <c r="Z18" s="16" t="n">
        <v>0</v>
      </c>
      <c r="AA18" s="16">
        <f>SUM(O18:U18)</f>
        <v/>
      </c>
      <c r="AB18" s="16">
        <f>SUM(O18:Z18)</f>
        <v/>
      </c>
      <c r="AC18" s="16" t="n">
        <v>50</v>
      </c>
      <c r="AD18" s="16" t="n">
        <v>50</v>
      </c>
      <c r="AE18" s="16" t="n">
        <v>50</v>
      </c>
      <c r="AF18" s="16" t="n">
        <v>50</v>
      </c>
      <c r="AG18" s="16" t="n">
        <v>50</v>
      </c>
      <c r="AH18" s="16" t="n">
        <v>50</v>
      </c>
      <c r="AI18" s="10">
        <f>SUM(AC18:AH18)</f>
        <v/>
      </c>
      <c r="AJ18" s="16">
        <f>SUM(AC18:AH18)+AI18</f>
        <v/>
      </c>
      <c r="AK18" s="11">
        <f>IF(N18&lt;&gt;0,(AB18-N18)/ABS(N18),0)</f>
        <v/>
      </c>
      <c r="AL18" s="11">
        <f>IF(AB18&lt;&gt;0,(AJ18-AB18)/ABS(AB18),0)</f>
        <v/>
      </c>
    </row>
    <row r="19" ht="13" customHeight="1">
      <c r="A19" s="15" t="inlineStr">
        <is>
          <t xml:space="preserve">    Temps</t>
        </is>
      </c>
      <c r="B19" s="16" t="n">
        <v>0</v>
      </c>
      <c r="C19" s="16" t="n">
        <v>0</v>
      </c>
      <c r="D19" s="16" t="n">
        <v>0</v>
      </c>
      <c r="E19" s="16" t="n">
        <v>0</v>
      </c>
      <c r="F19" s="16" t="n">
        <v>0</v>
      </c>
      <c r="G19" s="16" t="n">
        <v>0</v>
      </c>
      <c r="H19" s="16" t="n">
        <v>0</v>
      </c>
      <c r="I19" s="16" t="n">
        <v>0</v>
      </c>
      <c r="J19" s="16" t="n">
        <v>0</v>
      </c>
      <c r="K19" s="16" t="n">
        <v>0</v>
      </c>
      <c r="L19" s="16" t="n">
        <v>0</v>
      </c>
      <c r="M19" s="16" t="n">
        <v>0</v>
      </c>
      <c r="N19" s="16">
        <f>SUM(B19:M19)</f>
        <v/>
      </c>
      <c r="O19" s="16" t="n">
        <v>0</v>
      </c>
      <c r="P19" s="16" t="n">
        <v>0</v>
      </c>
      <c r="Q19" s="16" t="n">
        <v>0</v>
      </c>
      <c r="R19" s="16" t="n">
        <v>0</v>
      </c>
      <c r="S19" s="16" t="n">
        <v>0</v>
      </c>
      <c r="T19" s="16" t="n">
        <v>0</v>
      </c>
      <c r="U19" s="16" t="n">
        <v>0</v>
      </c>
      <c r="V19" s="16" t="n">
        <v>0</v>
      </c>
      <c r="W19" s="16" t="n">
        <v>0</v>
      </c>
      <c r="X19" s="16" t="n">
        <v>0</v>
      </c>
      <c r="Y19" s="16" t="n">
        <v>0</v>
      </c>
      <c r="Z19" s="16" t="n">
        <v>0</v>
      </c>
      <c r="AA19" s="16">
        <f>SUM(O19:U19)</f>
        <v/>
      </c>
      <c r="AB19" s="16">
        <f>SUM(O19:Z19)</f>
        <v/>
      </c>
      <c r="AC19" s="16" t="n">
        <v>0</v>
      </c>
      <c r="AD19" s="16" t="n">
        <v>0</v>
      </c>
      <c r="AE19" s="16" t="n">
        <v>0</v>
      </c>
      <c r="AF19" s="16" t="n">
        <v>0</v>
      </c>
      <c r="AG19" s="16" t="n">
        <v>0</v>
      </c>
      <c r="AH19" s="16" t="n">
        <v>0</v>
      </c>
      <c r="AI19" s="10">
        <f>SUM(AC19:AH19)</f>
        <v/>
      </c>
      <c r="AJ19" s="16">
        <f>SUM(AC19:AH19)+AI19</f>
        <v/>
      </c>
      <c r="AK19" s="11">
        <f>IF(N19&lt;&gt;0,(AB19-N19)/ABS(N19),0)</f>
        <v/>
      </c>
      <c r="AL19" s="11">
        <f>IF(AB19&lt;&gt;0,(AJ19-AB19)/ABS(AB19),0)</f>
        <v/>
      </c>
    </row>
    <row r="20" ht="13" customHeight="1">
      <c r="A20" s="17" t="inlineStr">
        <is>
          <t>Total Personnel</t>
        </is>
      </c>
      <c r="B20" s="18">
        <f>B11+B12+B13+B14+B15+B16+B17+B18+B19</f>
        <v/>
      </c>
      <c r="C20" s="18">
        <f>C11+C12+C13+C14+C15+C16+C17+C18+C19</f>
        <v/>
      </c>
      <c r="D20" s="18">
        <f>D11+D12+D13+D14+D15+D16+D17+D18+D19</f>
        <v/>
      </c>
      <c r="E20" s="18">
        <f>E11+E12+E13+E14+E15+E16+E17+E18+E19</f>
        <v/>
      </c>
      <c r="F20" s="18">
        <f>F11+F12+F13+F14+F15+F16+F17+F18+F19</f>
        <v/>
      </c>
      <c r="G20" s="18">
        <f>G11+G12+G13+G14+G15+G16+G17+G18+G19</f>
        <v/>
      </c>
      <c r="H20" s="18">
        <f>H11+H12+H13+H14+H15+H16+H17+H18+H19</f>
        <v/>
      </c>
      <c r="I20" s="18">
        <f>I11+I12+I13+I14+I15+I16+I17+I18+I19</f>
        <v/>
      </c>
      <c r="J20" s="18">
        <f>J11+J12+J13+J14+J15+J16+J17+J18+J19</f>
        <v/>
      </c>
      <c r="K20" s="18">
        <f>K11+K12+K13+K14+K15+K16+K17+K18+K19</f>
        <v/>
      </c>
      <c r="L20" s="18">
        <f>L11+L12+L13+L14+L15+L16+L17+L18+L19</f>
        <v/>
      </c>
      <c r="M20" s="18">
        <f>M11+M12+M13+M14+M15+M16+M17+M18+M19</f>
        <v/>
      </c>
      <c r="N20" s="18">
        <f>N11+N12+N13+N14+N15+N16+N17+N18+N19</f>
        <v/>
      </c>
      <c r="O20" s="18">
        <f>O11+O12+O13+O14+O15+O16+O17+O18+O19</f>
        <v/>
      </c>
      <c r="P20" s="18">
        <f>P11+P12+P13+P14+P15+P16+P17+P18+P19</f>
        <v/>
      </c>
      <c r="Q20" s="18">
        <f>Q11+Q12+Q13+Q14+Q15+Q16+Q17+Q18+Q19</f>
        <v/>
      </c>
      <c r="R20" s="18">
        <f>R11+R12+R13+R14+R15+R16+R17+R18+R19</f>
        <v/>
      </c>
      <c r="S20" s="18">
        <f>S11+S12+S13+S14+S15+S16+S17+S18+S19</f>
        <v/>
      </c>
      <c r="T20" s="18">
        <f>T11+T12+T13+T14+T15+T16+T17+T18+T19</f>
        <v/>
      </c>
      <c r="U20" s="18">
        <f>U11+U12+U13+U14+U15+U16+U17+U18+U19</f>
        <v/>
      </c>
      <c r="V20" s="18">
        <f>V11+V12+V13+V14+V15+V16+V17+V18+V19</f>
        <v/>
      </c>
      <c r="W20" s="18">
        <f>W11+W12+W13+W14+W15+W16+W17+W18+W19</f>
        <v/>
      </c>
      <c r="X20" s="18">
        <f>X11+X12+X13+X14+X15+X16+X17+X18+X19</f>
        <v/>
      </c>
      <c r="Y20" s="18">
        <f>Y11+Y12+Y13+Y14+Y15+Y16+Y17+Y18+Y19</f>
        <v/>
      </c>
      <c r="Z20" s="18">
        <f>Z11+Z12+Z13+Z14+Z15+Z16+Z17+Z18+Z19</f>
        <v/>
      </c>
      <c r="AA20" s="18">
        <f>AA11+AA12+AA13+AA14+AA15+AA16+AA17+AA18+AA19</f>
        <v/>
      </c>
      <c r="AB20" s="18">
        <f>AB11+AB12+AB13+AB14+AB15+AB16+AB17+AB18+AB19</f>
        <v/>
      </c>
      <c r="AC20" s="18">
        <f>AC11+AC12+AC13+AC14+AC15+AC16+AC17+AC18+AC19</f>
        <v/>
      </c>
      <c r="AD20" s="18">
        <f>AD11+AD12+AD13+AD14+AD15+AD16+AD17+AD18+AD19</f>
        <v/>
      </c>
      <c r="AE20" s="18">
        <f>AE11+AE12+AE13+AE14+AE15+AE16+AE17+AE18+AE19</f>
        <v/>
      </c>
      <c r="AF20" s="18">
        <f>AF11+AF12+AF13+AF14+AF15+AF16+AF17+AF18+AF19</f>
        <v/>
      </c>
      <c r="AG20" s="18">
        <f>AG11+AG12+AG13+AG14+AG15+AG16+AG17+AG18+AG19</f>
        <v/>
      </c>
      <c r="AH20" s="18">
        <f>AH11+AH12+AH13+AH14+AH15+AH16+AH17+AH18+AH19</f>
        <v/>
      </c>
      <c r="AI20" s="18">
        <f>AI11+AI12+AI13+AI14+AI15+AI16+AI17+AI18+AI19</f>
        <v/>
      </c>
      <c r="AJ20" s="18">
        <f>AJ11+AJ12+AJ13+AJ14+AJ15+AJ16+AJ17+AJ18+AJ19</f>
        <v/>
      </c>
      <c r="AK20" s="11">
        <f>IF(N20&lt;&gt;0,(AB20-N20)/ABS(N20),0)</f>
        <v/>
      </c>
      <c r="AL20" s="11">
        <f>IF(AB20&lt;&gt;0,(AJ20-AB20)/ABS(AB20),0)</f>
        <v/>
      </c>
    </row>
    <row r="21" ht="13" customHeight="1">
      <c r="A21" s="19" t="inlineStr">
        <is>
          <t xml:space="preserve">    Sal:Rev</t>
        </is>
      </c>
      <c r="B21" s="20">
        <f>IF(B7&gt;0,B20/B7,0)</f>
        <v/>
      </c>
      <c r="C21" s="20">
        <f>IF(C7&gt;0,C20/C7,0)</f>
        <v/>
      </c>
      <c r="D21" s="20">
        <f>IF(D7&gt;0,D20/D7,0)</f>
        <v/>
      </c>
      <c r="E21" s="20">
        <f>IF(E7&gt;0,E20/E7,0)</f>
        <v/>
      </c>
      <c r="F21" s="20">
        <f>IF(F7&gt;0,F20/F7,0)</f>
        <v/>
      </c>
      <c r="G21" s="20">
        <f>IF(G7&gt;0,G20/G7,0)</f>
        <v/>
      </c>
      <c r="H21" s="20">
        <f>IF(H7&gt;0,H20/H7,0)</f>
        <v/>
      </c>
      <c r="I21" s="20">
        <f>IF(I7&gt;0,I20/I7,0)</f>
        <v/>
      </c>
      <c r="J21" s="20">
        <f>IF(J7&gt;0,J20/J7,0)</f>
        <v/>
      </c>
      <c r="K21" s="20">
        <f>IF(K7&gt;0,K20/K7,0)</f>
        <v/>
      </c>
      <c r="L21" s="20">
        <f>IF(L7&gt;0,L20/L7,0)</f>
        <v/>
      </c>
      <c r="M21" s="20">
        <f>IF(M7&gt;0,M20/M7,0)</f>
        <v/>
      </c>
      <c r="N21" s="20">
        <f>IF(N7&gt;0,N20/N7,0)</f>
        <v/>
      </c>
      <c r="O21" s="20">
        <f>IF(O7&gt;0,O20/O7,0)</f>
        <v/>
      </c>
      <c r="P21" s="20">
        <f>IF(P7&gt;0,P20/P7,0)</f>
        <v/>
      </c>
      <c r="Q21" s="20">
        <f>IF(Q7&gt;0,Q20/Q7,0)</f>
        <v/>
      </c>
      <c r="R21" s="20">
        <f>IF(R7&gt;0,R20/R7,0)</f>
        <v/>
      </c>
      <c r="S21" s="20">
        <f>IF(S7&gt;0,S20/S7,0)</f>
        <v/>
      </c>
      <c r="T21" s="20">
        <f>IF(T7&gt;0,T20/T7,0)</f>
        <v/>
      </c>
      <c r="U21" s="20">
        <f>IF(U7&gt;0,U20/U7,0)</f>
        <v/>
      </c>
      <c r="V21" s="20">
        <f>IF(V7&gt;0,V20/V7,0)</f>
        <v/>
      </c>
      <c r="W21" s="20">
        <f>IF(W7&gt;0,W20/W7,0)</f>
        <v/>
      </c>
      <c r="X21" s="20">
        <f>IF(X7&gt;0,X20/X7,0)</f>
        <v/>
      </c>
      <c r="Y21" s="20">
        <f>IF(Y7&gt;0,Y20/Y7,0)</f>
        <v/>
      </c>
      <c r="Z21" s="20">
        <f>IF(Z7&gt;0,Z20/Z7,0)</f>
        <v/>
      </c>
      <c r="AA21" s="20">
        <f>IF(AA7&gt;0,AA20/AA7,0)</f>
        <v/>
      </c>
      <c r="AB21" s="20">
        <f>IF(AB7&gt;0,AB20/AB7,0)</f>
        <v/>
      </c>
      <c r="AC21" s="20">
        <f>IF(AC7&gt;0,AC20/AC7,0)</f>
        <v/>
      </c>
      <c r="AD21" s="20">
        <f>IF(AD7&gt;0,AD20/AD7,0)</f>
        <v/>
      </c>
      <c r="AE21" s="20">
        <f>IF(AE7&gt;0,AE20/AE7,0)</f>
        <v/>
      </c>
      <c r="AF21" s="20">
        <f>IF(AF7&gt;0,AF20/AF7,0)</f>
        <v/>
      </c>
      <c r="AG21" s="20">
        <f>IF(AG7&gt;0,AG20/AG7,0)</f>
        <v/>
      </c>
      <c r="AH21" s="20">
        <f>IF(AH7&gt;0,AH20/AH7,0)</f>
        <v/>
      </c>
      <c r="AI21" s="20">
        <f>IF(AI7&gt;0,AI20/AI7,0)</f>
        <v/>
      </c>
      <c r="AJ21" s="20">
        <f>IF(AJ7&gt;0,AJ20/AJ7,0)</f>
        <v/>
      </c>
    </row>
    <row r="22" ht="5" customHeight="1"/>
    <row r="23" ht="13" customHeight="1">
      <c r="A23" s="14" t="inlineStr">
        <is>
          <t>Childcare</t>
        </is>
      </c>
    </row>
    <row r="24" ht="13" customHeight="1">
      <c r="A24" s="21" t="inlineStr">
        <is>
          <t xml:space="preserve">    Catering Costs</t>
        </is>
      </c>
      <c r="N24" s="22">
        <f>SUM(B24:M24)</f>
        <v/>
      </c>
      <c r="O24" s="22" t="n">
        <v>1337.26</v>
      </c>
      <c r="P24" s="22" t="n">
        <v>1507.1</v>
      </c>
      <c r="Q24" s="22" t="n">
        <v>1365.06</v>
      </c>
      <c r="R24" s="22" t="n">
        <v>1339.28</v>
      </c>
      <c r="S24" s="22" t="n">
        <v>1425.53</v>
      </c>
      <c r="T24" s="22" t="n">
        <v>996.95</v>
      </c>
      <c r="U24" s="22" t="n">
        <v>1250.27</v>
      </c>
      <c r="V24" s="22" t="n">
        <v>1354.568592</v>
      </c>
      <c r="W24" s="22" t="n">
        <v>1389.648</v>
      </c>
      <c r="X24" s="22" t="n">
        <v>1405.092</v>
      </c>
      <c r="Y24" s="22" t="n">
        <v>1386.684</v>
      </c>
      <c r="Z24" s="22" t="n">
        <v>1297.7952</v>
      </c>
      <c r="AA24" s="22">
        <f>SUM(O24:U24)</f>
        <v/>
      </c>
      <c r="AB24" s="22">
        <f>SUM(O24:Z24)</f>
        <v/>
      </c>
      <c r="AC24" s="22" t="n">
        <v>1336.510656</v>
      </c>
      <c r="AD24" s="22" t="n">
        <v>1011.644712</v>
      </c>
      <c r="AE24" s="22" t="n">
        <v>1718.809248</v>
      </c>
      <c r="AF24" s="22" t="n">
        <v>1337.138712</v>
      </c>
      <c r="AG24" s="22" t="n">
        <v>1352.859144</v>
      </c>
      <c r="AH24" s="22" t="n">
        <v>1235.159016</v>
      </c>
      <c r="AI24" s="10">
        <f>SUM(AC24:AH24)</f>
        <v/>
      </c>
      <c r="AJ24" s="22">
        <f>SUM(AC24:AH24)+AI24</f>
        <v/>
      </c>
      <c r="AK24" s="11">
        <f>IF(N24&lt;&gt;0,(AB24-N24)/ABS(N24),0)</f>
        <v/>
      </c>
      <c r="AL24" s="11">
        <f>IF(AB24&lt;&gt;0,(AJ24-AB24)/ABS(AB24),0)</f>
        <v/>
      </c>
    </row>
    <row r="25" ht="13" customHeight="1">
      <c r="A25" s="21" t="inlineStr">
        <is>
          <t xml:space="preserve">    Toys and Games</t>
        </is>
      </c>
      <c r="B25" s="22" t="n">
        <v>152.72</v>
      </c>
      <c r="C25" s="22" t="n">
        <v>57.08</v>
      </c>
      <c r="D25" s="22" t="n">
        <v>79.77</v>
      </c>
      <c r="E25" s="22" t="n">
        <v>114.39</v>
      </c>
      <c r="F25" s="22" t="n">
        <v>137.45</v>
      </c>
      <c r="G25" s="22" t="n">
        <v>30.35</v>
      </c>
      <c r="H25" s="22" t="n">
        <v>123.05</v>
      </c>
      <c r="I25" s="22" t="n">
        <v>2545.39</v>
      </c>
      <c r="J25" s="22" t="n">
        <v>573.58</v>
      </c>
      <c r="K25" s="22" t="n">
        <v>36.85</v>
      </c>
      <c r="L25" s="22" t="n">
        <v>46.98</v>
      </c>
      <c r="M25" s="22" t="n">
        <v>8</v>
      </c>
      <c r="N25" s="22">
        <f>SUM(B25:M25)</f>
        <v/>
      </c>
      <c r="O25" s="22" t="n">
        <v>0</v>
      </c>
      <c r="P25" s="22" t="n">
        <v>293.33</v>
      </c>
      <c r="Q25" s="22" t="n">
        <v>97.14999999999998</v>
      </c>
      <c r="R25" s="22" t="n">
        <v>12</v>
      </c>
      <c r="S25" s="22" t="n">
        <v>565.0000000000001</v>
      </c>
      <c r="T25" s="22" t="n">
        <v>118.01</v>
      </c>
      <c r="U25" s="22" t="n">
        <v>151.37</v>
      </c>
      <c r="AA25" s="22">
        <f>SUM(O25:U25)</f>
        <v/>
      </c>
      <c r="AB25" s="22">
        <f>SUM(O25:Z25)</f>
        <v/>
      </c>
      <c r="AC25" s="22" t="n">
        <v>50</v>
      </c>
      <c r="AD25" s="22" t="n">
        <v>50</v>
      </c>
      <c r="AE25" s="22" t="n">
        <v>50</v>
      </c>
      <c r="AF25" s="22" t="n">
        <v>50</v>
      </c>
      <c r="AG25" s="22" t="n">
        <v>50</v>
      </c>
      <c r="AH25" s="22" t="n">
        <v>50</v>
      </c>
      <c r="AI25" s="10">
        <f>SUM(AC25:AH25)</f>
        <v/>
      </c>
      <c r="AJ25" s="22">
        <f>SUM(AC25:AH25)+AI25</f>
        <v/>
      </c>
      <c r="AK25" s="11">
        <f>IF(N25&lt;&gt;0,(AB25-N25)/ABS(N25),0)</f>
        <v/>
      </c>
      <c r="AL25" s="11">
        <f>IF(AB25&lt;&gt;0,(AJ25-AB25)/ABS(AB25),0)</f>
        <v/>
      </c>
    </row>
    <row r="26" ht="13" customHeight="1">
      <c r="A26" s="21" t="inlineStr">
        <is>
          <t xml:space="preserve">    Art Materials</t>
        </is>
      </c>
      <c r="N26" s="22">
        <f>SUM(B26:M26)</f>
        <v/>
      </c>
      <c r="O26" s="22" t="n">
        <v>48.71</v>
      </c>
      <c r="P26" s="22" t="n">
        <v>0</v>
      </c>
      <c r="Q26" s="22" t="n">
        <v>163.03</v>
      </c>
      <c r="R26" s="22" t="n">
        <v>7.82</v>
      </c>
      <c r="S26" s="22" t="n">
        <v>42.65000000000001</v>
      </c>
      <c r="T26" s="22" t="n">
        <v>9.970000000000001</v>
      </c>
      <c r="U26" s="22" t="n">
        <v>111.26</v>
      </c>
      <c r="V26" s="22" t="n">
        <v>90.3045728</v>
      </c>
      <c r="W26" s="22" t="n">
        <v>92.64319999999999</v>
      </c>
      <c r="X26" s="22" t="n">
        <v>93.6728</v>
      </c>
      <c r="Y26" s="22" t="n">
        <v>92.4456</v>
      </c>
      <c r="Z26" s="22" t="n">
        <v>86.51967999999999</v>
      </c>
      <c r="AA26" s="22">
        <f>SUM(O26:U26)</f>
        <v/>
      </c>
      <c r="AB26" s="22">
        <f>SUM(O26:Z26)</f>
        <v/>
      </c>
      <c r="AC26" s="22" t="n">
        <v>89.10071039999998</v>
      </c>
      <c r="AD26" s="22" t="n">
        <v>67.44298079999999</v>
      </c>
      <c r="AE26" s="22" t="n">
        <v>114.5872832</v>
      </c>
      <c r="AF26" s="22" t="n">
        <v>89.14258079999999</v>
      </c>
      <c r="AG26" s="22" t="n">
        <v>90.1906096</v>
      </c>
      <c r="AH26" s="22" t="n">
        <v>82.34393439999999</v>
      </c>
      <c r="AI26" s="10">
        <f>SUM(AC26:AH26)</f>
        <v/>
      </c>
      <c r="AJ26" s="22">
        <f>SUM(AC26:AH26)+AI26</f>
        <v/>
      </c>
      <c r="AK26" s="11">
        <f>IF(N26&lt;&gt;0,(AB26-N26)/ABS(N26),0)</f>
        <v/>
      </c>
      <c r="AL26" s="11">
        <f>IF(AB26&lt;&gt;0,(AJ26-AB26)/ABS(AB26),0)</f>
        <v/>
      </c>
    </row>
    <row r="27" ht="13" customHeight="1">
      <c r="A27" s="21" t="inlineStr">
        <is>
          <t xml:space="preserve">    Nursery Stationery</t>
        </is>
      </c>
      <c r="B27" s="22" t="n">
        <v>72.27000000000001</v>
      </c>
      <c r="C27" s="22" t="n">
        <v>90.23999999999999</v>
      </c>
      <c r="D27" s="22" t="n">
        <v>3.95</v>
      </c>
      <c r="E27" s="22" t="n">
        <v>20.61</v>
      </c>
      <c r="F27" s="22" t="n">
        <v>6.64</v>
      </c>
      <c r="G27" s="22" t="n">
        <v>17.43</v>
      </c>
      <c r="H27" s="22" t="n">
        <v>25.88</v>
      </c>
      <c r="I27" s="22" t="n">
        <v>0</v>
      </c>
      <c r="J27" s="22" t="n">
        <v>0</v>
      </c>
      <c r="K27" s="22" t="n">
        <v>25.42</v>
      </c>
      <c r="L27" s="22" t="n">
        <v>28.11</v>
      </c>
      <c r="M27" s="22" t="n">
        <v>0</v>
      </c>
      <c r="N27" s="22">
        <f>SUM(B27:M27)</f>
        <v/>
      </c>
      <c r="O27" s="22" t="n">
        <v>73.53</v>
      </c>
      <c r="P27" s="22" t="n">
        <v>31.81</v>
      </c>
      <c r="Q27" s="22" t="n">
        <v>74.47</v>
      </c>
      <c r="R27" s="22" t="n">
        <v>80.08</v>
      </c>
      <c r="S27" s="22" t="n">
        <v>4.74</v>
      </c>
      <c r="T27" s="22" t="n">
        <v>23.07</v>
      </c>
      <c r="U27" s="22" t="n">
        <v>31.2</v>
      </c>
      <c r="AA27" s="22">
        <f>SUM(O27:U27)</f>
        <v/>
      </c>
      <c r="AB27" s="22">
        <f>SUM(O27:Z27)</f>
        <v/>
      </c>
      <c r="AC27" s="22" t="n">
        <v>50</v>
      </c>
      <c r="AD27" s="22" t="n">
        <v>50</v>
      </c>
      <c r="AE27" s="22" t="n">
        <v>50</v>
      </c>
      <c r="AF27" s="22" t="n">
        <v>50</v>
      </c>
      <c r="AG27" s="22" t="n">
        <v>50</v>
      </c>
      <c r="AH27" s="22" t="n">
        <v>50</v>
      </c>
      <c r="AI27" s="10">
        <f>SUM(AC27:AH27)</f>
        <v/>
      </c>
      <c r="AJ27" s="22">
        <f>SUM(AC27:AH27)+AI27</f>
        <v/>
      </c>
      <c r="AK27" s="11">
        <f>IF(N27&lt;&gt;0,(AB27-N27)/ABS(N27),0)</f>
        <v/>
      </c>
      <c r="AL27" s="11">
        <f>IF(AB27&lt;&gt;0,(AJ27-AB27)/ABS(AB27),0)</f>
        <v/>
      </c>
    </row>
    <row r="28" ht="13" customHeight="1">
      <c r="A28" s="21" t="inlineStr">
        <is>
          <t xml:space="preserve">    Nursery Equipment</t>
        </is>
      </c>
      <c r="B28" s="22" t="n">
        <v>61.07999999999999</v>
      </c>
      <c r="C28" s="22" t="n">
        <v>408.14</v>
      </c>
      <c r="D28" s="22" t="n">
        <v>0</v>
      </c>
      <c r="E28" s="22" t="n">
        <v>0</v>
      </c>
      <c r="F28" s="22" t="n">
        <v>0</v>
      </c>
      <c r="G28" s="22" t="n">
        <v>137.33</v>
      </c>
      <c r="H28" s="22" t="n">
        <v>0</v>
      </c>
      <c r="I28" s="22" t="n">
        <v>0</v>
      </c>
      <c r="J28" s="22" t="n">
        <v>15.49</v>
      </c>
      <c r="K28" s="22" t="n">
        <v>136.52</v>
      </c>
      <c r="L28" s="22" t="n">
        <v>87.22</v>
      </c>
      <c r="M28" s="22" t="n">
        <v>0</v>
      </c>
      <c r="N28" s="22">
        <f>SUM(B28:M28)</f>
        <v/>
      </c>
      <c r="O28" s="22" t="n">
        <v>39.37</v>
      </c>
      <c r="P28" s="22" t="n">
        <v>15.58</v>
      </c>
      <c r="Q28" s="22" t="n">
        <v>115.35</v>
      </c>
      <c r="R28" s="22" t="n">
        <v>0</v>
      </c>
      <c r="S28" s="22" t="n">
        <v>256.93</v>
      </c>
      <c r="T28" s="22" t="n">
        <v>4.99</v>
      </c>
      <c r="U28" s="22" t="n">
        <v>30.91</v>
      </c>
      <c r="AA28" s="22">
        <f>SUM(O28:U28)</f>
        <v/>
      </c>
      <c r="AB28" s="22">
        <f>SUM(O28:Z28)</f>
        <v/>
      </c>
      <c r="AC28" s="22" t="n">
        <v>50</v>
      </c>
      <c r="AD28" s="22" t="n">
        <v>50</v>
      </c>
      <c r="AE28" s="22" t="n">
        <v>50</v>
      </c>
      <c r="AF28" s="22" t="n">
        <v>50</v>
      </c>
      <c r="AG28" s="22" t="n">
        <v>50</v>
      </c>
      <c r="AH28" s="22" t="n">
        <v>50</v>
      </c>
      <c r="AI28" s="10">
        <f>SUM(AC28:AH28)</f>
        <v/>
      </c>
      <c r="AJ28" s="22">
        <f>SUM(AC28:AH28)+AI28</f>
        <v/>
      </c>
      <c r="AK28" s="11">
        <f>IF(N28&lt;&gt;0,(AB28-N28)/ABS(N28),0)</f>
        <v/>
      </c>
      <c r="AL28" s="11">
        <f>IF(AB28&lt;&gt;0,(AJ28-AB28)/ABS(AB28),0)</f>
        <v/>
      </c>
    </row>
    <row r="29" ht="13" customHeight="1">
      <c r="A29" s="21" t="inlineStr">
        <is>
          <t xml:space="preserve">    Nursery Consumables</t>
        </is>
      </c>
      <c r="N29" s="22">
        <f>SUM(B29:M29)</f>
        <v/>
      </c>
      <c r="O29" s="22" t="n">
        <v>315.38</v>
      </c>
      <c r="P29" s="22" t="n">
        <v>186.04</v>
      </c>
      <c r="Q29" s="22" t="n">
        <v>197.48</v>
      </c>
      <c r="R29" s="22" t="n">
        <v>394.81</v>
      </c>
      <c r="S29" s="22" t="n">
        <v>172.38</v>
      </c>
      <c r="T29" s="22" t="n">
        <v>292.55</v>
      </c>
      <c r="U29" s="22" t="n">
        <v>349.65</v>
      </c>
      <c r="V29" s="22" t="n">
        <v>180.6091456000001</v>
      </c>
      <c r="W29" s="22" t="n">
        <v>185.2864000000001</v>
      </c>
      <c r="X29" s="22" t="n">
        <v>187.3456000000001</v>
      </c>
      <c r="Y29" s="22" t="n">
        <v>184.8912000000001</v>
      </c>
      <c r="Z29" s="22" t="n">
        <v>173.03936</v>
      </c>
      <c r="AA29" s="22">
        <f>SUM(O29:U29)</f>
        <v/>
      </c>
      <c r="AB29" s="22">
        <f>SUM(O29:Z29)</f>
        <v/>
      </c>
      <c r="AC29" s="22" t="n">
        <v>178.2014208000001</v>
      </c>
      <c r="AD29" s="22" t="n">
        <v>134.8859616</v>
      </c>
      <c r="AE29" s="22" t="n">
        <v>229.1745664000001</v>
      </c>
      <c r="AF29" s="22" t="n">
        <v>178.2851616000001</v>
      </c>
      <c r="AG29" s="22" t="n">
        <v>180.3812192000001</v>
      </c>
      <c r="AH29" s="22" t="n">
        <v>164.6878688</v>
      </c>
      <c r="AI29" s="10">
        <f>SUM(AC29:AH29)</f>
        <v/>
      </c>
      <c r="AJ29" s="22">
        <f>SUM(AC29:AH29)+AI29</f>
        <v/>
      </c>
      <c r="AK29" s="11">
        <f>IF(N29&lt;&gt;0,(AB29-N29)/ABS(N29),0)</f>
        <v/>
      </c>
      <c r="AL29" s="11">
        <f>IF(AB29&lt;&gt;0,(AJ29-AB29)/ABS(AB29),0)</f>
        <v/>
      </c>
    </row>
    <row r="30" ht="13" customHeight="1">
      <c r="A30" s="23" t="inlineStr">
        <is>
          <t>Total Childcare Costs</t>
        </is>
      </c>
      <c r="B30" s="24">
        <f>B24+B25+B26+B27+B28+B29</f>
        <v/>
      </c>
      <c r="C30" s="24">
        <f>C24+C25+C26+C27+C28+C29</f>
        <v/>
      </c>
      <c r="D30" s="24">
        <f>D24+D25+D26+D27+D28+D29</f>
        <v/>
      </c>
      <c r="E30" s="24">
        <f>E24+E25+E26+E27+E28+E29</f>
        <v/>
      </c>
      <c r="F30" s="24">
        <f>F24+F25+F26+F27+F28+F29</f>
        <v/>
      </c>
      <c r="G30" s="24">
        <f>G24+G25+G26+G27+G28+G29</f>
        <v/>
      </c>
      <c r="H30" s="24">
        <f>H24+H25+H26+H27+H28+H29</f>
        <v/>
      </c>
      <c r="I30" s="24">
        <f>I24+I25+I26+I27+I28+I29</f>
        <v/>
      </c>
      <c r="J30" s="24">
        <f>J24+J25+J26+J27+J28+J29</f>
        <v/>
      </c>
      <c r="K30" s="24">
        <f>K24+K25+K26+K27+K28+K29</f>
        <v/>
      </c>
      <c r="L30" s="24">
        <f>L24+L25+L26+L27+L28+L29</f>
        <v/>
      </c>
      <c r="M30" s="24">
        <f>M24+M25+M26+M27+M28+M29</f>
        <v/>
      </c>
      <c r="N30" s="24">
        <f>N24+N25+N26+N27+N28+N29</f>
        <v/>
      </c>
      <c r="O30" s="24">
        <f>O24+O25+O26+O27+O28+O29</f>
        <v/>
      </c>
      <c r="P30" s="24">
        <f>P24+P25+P26+P27+P28+P29</f>
        <v/>
      </c>
      <c r="Q30" s="24">
        <f>Q24+Q25+Q26+Q27+Q28+Q29</f>
        <v/>
      </c>
      <c r="R30" s="24">
        <f>R24+R25+R26+R27+R28+R29</f>
        <v/>
      </c>
      <c r="S30" s="24">
        <f>S24+S25+S26+S27+S28+S29</f>
        <v/>
      </c>
      <c r="T30" s="24">
        <f>T24+T25+T26+T27+T28+T29</f>
        <v/>
      </c>
      <c r="U30" s="24">
        <f>U24+U25+U26+U27+U28+U29</f>
        <v/>
      </c>
      <c r="V30" s="24">
        <f>V24+V25+V26+V27+V28+V29</f>
        <v/>
      </c>
      <c r="W30" s="24">
        <f>W24+W25+W26+W27+W28+W29</f>
        <v/>
      </c>
      <c r="X30" s="24">
        <f>X24+X25+X26+X27+X28+X29</f>
        <v/>
      </c>
      <c r="Y30" s="24">
        <f>Y24+Y25+Y26+Y27+Y28+Y29</f>
        <v/>
      </c>
      <c r="Z30" s="24">
        <f>Z24+Z25+Z26+Z27+Z28+Z29</f>
        <v/>
      </c>
      <c r="AA30" s="24">
        <f>AA24+AA25+AA26+AA27+AA28+AA29</f>
        <v/>
      </c>
      <c r="AB30" s="24">
        <f>AB24+AB25+AB26+AB27+AB28+AB29</f>
        <v/>
      </c>
      <c r="AC30" s="24">
        <f>AC24+AC25+AC26+AC27+AC28+AC29</f>
        <v/>
      </c>
      <c r="AD30" s="24">
        <f>AD24+AD25+AD26+AD27+AD28+AD29</f>
        <v/>
      </c>
      <c r="AE30" s="24">
        <f>AE24+AE25+AE26+AE27+AE28+AE29</f>
        <v/>
      </c>
      <c r="AF30" s="24">
        <f>AF24+AF25+AF26+AF27+AF28+AF29</f>
        <v/>
      </c>
      <c r="AG30" s="24">
        <f>AG24+AG25+AG26+AG27+AG28+AG29</f>
        <v/>
      </c>
      <c r="AH30" s="24">
        <f>AH24+AH25+AH26+AH27+AH28+AH29</f>
        <v/>
      </c>
      <c r="AI30" s="24">
        <f>AI24+AI25+AI26+AI27+AI28+AI29</f>
        <v/>
      </c>
      <c r="AJ30" s="24">
        <f>AJ24+AJ25+AJ26+AJ27+AJ28+AJ29</f>
        <v/>
      </c>
      <c r="AK30" s="11">
        <f>IF(N30&lt;&gt;0,(AB30-N30)/ABS(N30),0)</f>
        <v/>
      </c>
      <c r="AL30" s="11">
        <f>IF(AB30&lt;&gt;0,(AJ30-AB30)/ABS(AB30),0)</f>
        <v/>
      </c>
    </row>
    <row r="31" ht="5" customHeight="1"/>
    <row r="32" ht="13" customHeight="1">
      <c r="A32" s="14" t="inlineStr">
        <is>
          <t>Premises &amp; Admin</t>
        </is>
      </c>
    </row>
    <row r="33" ht="13" customHeight="1">
      <c r="A33" s="25" t="inlineStr">
        <is>
          <t xml:space="preserve">    Rent</t>
        </is>
      </c>
      <c r="B33" s="26" t="n">
        <v>0</v>
      </c>
      <c r="C33" s="26" t="n">
        <v>0</v>
      </c>
      <c r="D33" s="26" t="n">
        <v>0</v>
      </c>
      <c r="E33" s="26" t="n">
        <v>0</v>
      </c>
      <c r="F33" s="26" t="n">
        <v>0</v>
      </c>
      <c r="G33" s="26" t="n">
        <v>0</v>
      </c>
      <c r="H33" s="26" t="n">
        <v>0</v>
      </c>
      <c r="I33" s="26" t="n">
        <v>0</v>
      </c>
      <c r="J33" s="26" t="n">
        <v>0</v>
      </c>
      <c r="K33" s="26" t="n">
        <v>0</v>
      </c>
      <c r="L33" s="26" t="n">
        <v>0</v>
      </c>
      <c r="M33" s="26" t="n">
        <v>0</v>
      </c>
      <c r="N33" s="26">
        <f>SUM(B33:M33)</f>
        <v/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  <c r="V33" s="26" t="n">
        <v>0</v>
      </c>
      <c r="W33" s="26" t="n">
        <v>0</v>
      </c>
      <c r="X33" s="26" t="n">
        <v>0</v>
      </c>
      <c r="Y33" s="26" t="n">
        <v>0</v>
      </c>
      <c r="Z33" s="26" t="n">
        <v>0</v>
      </c>
      <c r="AA33" s="26">
        <f>SUM(O33:U33)</f>
        <v/>
      </c>
      <c r="AB33" s="26">
        <f>SUM(O33:Z33)</f>
        <v/>
      </c>
      <c r="AC33" s="26" t="n">
        <v>0</v>
      </c>
      <c r="AD33" s="26" t="n">
        <v>0</v>
      </c>
      <c r="AE33" s="26" t="n">
        <v>0</v>
      </c>
      <c r="AF33" s="26" t="n">
        <v>0</v>
      </c>
      <c r="AG33" s="26" t="n">
        <v>0</v>
      </c>
      <c r="AH33" s="26" t="n">
        <v>0</v>
      </c>
      <c r="AI33" s="10">
        <f>SUM(AC33:AH33)</f>
        <v/>
      </c>
      <c r="AJ33" s="26">
        <f>SUM(AC33:AH33)+AI33</f>
        <v/>
      </c>
      <c r="AK33" s="11">
        <f>IF(N33&lt;&gt;0,(AB33-N33)/ABS(N33),0)</f>
        <v/>
      </c>
      <c r="AL33" s="11">
        <f>IF(AB33&lt;&gt;0,(AJ33-AB33)/ABS(AB33),0)</f>
        <v/>
      </c>
    </row>
    <row r="34" ht="13" customHeight="1">
      <c r="A34" s="25" t="inlineStr">
        <is>
          <t xml:space="preserve">    Business Rates</t>
        </is>
      </c>
      <c r="B34" s="26" t="n">
        <v>1382.65</v>
      </c>
      <c r="C34" s="26" t="n">
        <v>1382.65</v>
      </c>
      <c r="D34" s="26" t="n">
        <v>1382.65</v>
      </c>
      <c r="E34" s="26" t="n">
        <v>1382.65</v>
      </c>
      <c r="F34" s="26" t="n">
        <v>1382.65</v>
      </c>
      <c r="G34" s="26" t="n">
        <v>1382.65</v>
      </c>
      <c r="H34" s="26" t="n">
        <v>1382.65</v>
      </c>
      <c r="I34" s="26" t="n">
        <v>1382.65</v>
      </c>
      <c r="J34" s="26" t="n">
        <v>1382.65</v>
      </c>
      <c r="K34" s="26" t="n">
        <v>1382.65</v>
      </c>
      <c r="L34" s="26" t="n">
        <v>1382.65</v>
      </c>
      <c r="M34" s="26" t="n">
        <v>1382.65</v>
      </c>
      <c r="N34" s="26">
        <f>SUM(B34:M34)</f>
        <v/>
      </c>
      <c r="O34" s="26" t="n">
        <v>1382.64</v>
      </c>
      <c r="P34" s="26" t="n">
        <v>1382.63</v>
      </c>
      <c r="Q34" s="26" t="n">
        <v>1382.63</v>
      </c>
      <c r="R34" s="26" t="n">
        <v>1500.96</v>
      </c>
      <c r="S34" s="26" t="n">
        <v>1500.96</v>
      </c>
      <c r="T34" s="26" t="n">
        <v>1500.96</v>
      </c>
      <c r="U34" s="26" t="n">
        <v>1500.96</v>
      </c>
      <c r="AA34" s="26">
        <f>SUM(O34:U34)</f>
        <v/>
      </c>
      <c r="AB34" s="26">
        <f>SUM(O34:Z34)</f>
        <v/>
      </c>
      <c r="AC34" s="26" t="n">
        <v>1500.96</v>
      </c>
      <c r="AD34" s="26" t="n">
        <v>1500.96</v>
      </c>
      <c r="AE34" s="26" t="n">
        <v>1500.96</v>
      </c>
      <c r="AF34" s="26" t="n">
        <v>1500.96</v>
      </c>
      <c r="AG34" s="26" t="n">
        <v>1500.96</v>
      </c>
      <c r="AH34" s="26" t="n">
        <v>1500.96</v>
      </c>
      <c r="AI34" s="10">
        <f>SUM(AC34:AH34)</f>
        <v/>
      </c>
      <c r="AJ34" s="26">
        <f>SUM(AC34:AH34)+AI34</f>
        <v/>
      </c>
      <c r="AK34" s="11">
        <f>IF(N34&lt;&gt;0,(AB34-N34)/ABS(N34),0)</f>
        <v/>
      </c>
      <c r="AL34" s="11">
        <f>IF(AB34&lt;&gt;0,(AJ34-AB34)/ABS(AB34),0)</f>
        <v/>
      </c>
    </row>
    <row r="35" ht="13" customHeight="1">
      <c r="A35" s="25" t="inlineStr">
        <is>
          <t xml:space="preserve">    Utilities</t>
        </is>
      </c>
      <c r="B35" s="26" t="n">
        <v>1570.08</v>
      </c>
      <c r="C35" s="26" t="n">
        <v>515.15</v>
      </c>
      <c r="D35" s="26" t="n">
        <v>1396.8</v>
      </c>
      <c r="E35" s="26" t="n">
        <v>1226.21</v>
      </c>
      <c r="F35" s="26" t="n">
        <v>942.79</v>
      </c>
      <c r="G35" s="26" t="n">
        <v>1589.85</v>
      </c>
      <c r="H35" s="26" t="n">
        <v>881.61</v>
      </c>
      <c r="I35" s="26" t="n">
        <v>878.34</v>
      </c>
      <c r="J35" s="26" t="n">
        <v>-105.41</v>
      </c>
      <c r="K35" s="26" t="n">
        <v>934.6199999999999</v>
      </c>
      <c r="L35" s="26" t="n">
        <v>782.97</v>
      </c>
      <c r="M35" s="26" t="n">
        <v>1267.92</v>
      </c>
      <c r="N35" s="26">
        <f>SUM(B35:M35)</f>
        <v/>
      </c>
      <c r="O35" s="26" t="n">
        <v>1165.02</v>
      </c>
      <c r="P35" s="26" t="n">
        <v>1535.61</v>
      </c>
      <c r="Q35" s="26" t="n">
        <v>964.24</v>
      </c>
      <c r="R35" s="26" t="n">
        <v>1026.99</v>
      </c>
      <c r="S35" s="26" t="n">
        <v>802.77</v>
      </c>
      <c r="T35" s="26" t="n">
        <v>584.99</v>
      </c>
      <c r="U35" s="26" t="n">
        <v>1484.64</v>
      </c>
      <c r="AA35" s="26">
        <f>SUM(O35:U35)</f>
        <v/>
      </c>
      <c r="AB35" s="26">
        <f>SUM(O35:Z35)</f>
        <v/>
      </c>
      <c r="AC35" s="26" t="n">
        <v>1038</v>
      </c>
      <c r="AD35" s="26" t="n">
        <v>1038</v>
      </c>
      <c r="AE35" s="26" t="n">
        <v>1038</v>
      </c>
      <c r="AF35" s="26" t="n">
        <v>1038</v>
      </c>
      <c r="AG35" s="26" t="n">
        <v>1038</v>
      </c>
      <c r="AH35" s="26" t="n">
        <v>1038</v>
      </c>
      <c r="AI35" s="10">
        <f>SUM(AC35:AH35)</f>
        <v/>
      </c>
      <c r="AJ35" s="26">
        <f>SUM(AC35:AH35)+AI35</f>
        <v/>
      </c>
      <c r="AK35" s="11">
        <f>IF(N35&lt;&gt;0,(AB35-N35)/ABS(N35),0)</f>
        <v/>
      </c>
      <c r="AL35" s="11">
        <f>IF(AB35&lt;&gt;0,(AJ35-AB35)/ABS(AB35),0)</f>
        <v/>
      </c>
    </row>
    <row r="36" ht="13" customHeight="1">
      <c r="A36" s="25" t="inlineStr">
        <is>
          <t xml:space="preserve">    Repairs &amp; Maintenance</t>
        </is>
      </c>
      <c r="B36" s="26" t="n">
        <v>383.82</v>
      </c>
      <c r="C36" s="26" t="n">
        <v>21.9</v>
      </c>
      <c r="D36" s="26" t="n">
        <v>102.21</v>
      </c>
      <c r="E36" s="26" t="n">
        <v>9.359999999999999</v>
      </c>
      <c r="F36" s="26" t="n">
        <v>220.56</v>
      </c>
      <c r="G36" s="26" t="n">
        <v>278.76</v>
      </c>
      <c r="H36" s="26" t="n">
        <v>0</v>
      </c>
      <c r="I36" s="26" t="n">
        <v>0</v>
      </c>
      <c r="J36" s="26" t="n">
        <v>107.67</v>
      </c>
      <c r="K36" s="26" t="n">
        <v>169.3</v>
      </c>
      <c r="L36" s="26" t="n">
        <v>179.1</v>
      </c>
      <c r="M36" s="26" t="n">
        <v>428.4</v>
      </c>
      <c r="N36" s="26">
        <f>SUM(B36:M36)</f>
        <v/>
      </c>
      <c r="O36" s="26" t="n">
        <v>14.08</v>
      </c>
      <c r="P36" s="26" t="n">
        <v>548.3</v>
      </c>
      <c r="Q36" s="26" t="n">
        <v>12.58</v>
      </c>
      <c r="R36" s="26" t="n">
        <v>82.67</v>
      </c>
      <c r="S36" s="26" t="n">
        <v>20.55</v>
      </c>
      <c r="T36" s="26" t="n">
        <v>270.84</v>
      </c>
      <c r="U36" s="26" t="n">
        <v>222.69</v>
      </c>
      <c r="AA36" s="26">
        <f>SUM(O36:U36)</f>
        <v/>
      </c>
      <c r="AB36" s="26">
        <f>SUM(O36:Z36)</f>
        <v/>
      </c>
      <c r="AC36" s="26" t="n">
        <v>0</v>
      </c>
      <c r="AD36" s="26" t="n">
        <v>0</v>
      </c>
      <c r="AE36" s="26" t="n">
        <v>0</v>
      </c>
      <c r="AF36" s="26" t="n">
        <v>0</v>
      </c>
      <c r="AG36" s="26" t="n">
        <v>0</v>
      </c>
      <c r="AH36" s="26" t="n">
        <v>0</v>
      </c>
      <c r="AI36" s="10">
        <f>SUM(AC36:AH36)</f>
        <v/>
      </c>
      <c r="AJ36" s="26">
        <f>SUM(AC36:AH36)+AI36</f>
        <v/>
      </c>
      <c r="AK36" s="11">
        <f>IF(N36&lt;&gt;0,(AB36-N36)/ABS(N36),0)</f>
        <v/>
      </c>
      <c r="AL36" s="11">
        <f>IF(AB36&lt;&gt;0,(AJ36-AB36)/ABS(AB36),0)</f>
        <v/>
      </c>
    </row>
    <row r="37" ht="13" customHeight="1">
      <c r="A37" s="25" t="inlineStr">
        <is>
          <t xml:space="preserve">    Cleaning</t>
        </is>
      </c>
      <c r="B37" s="26" t="n">
        <v>310.57</v>
      </c>
      <c r="C37" s="26" t="n">
        <v>254.08</v>
      </c>
      <c r="D37" s="26" t="n">
        <v>248.65</v>
      </c>
      <c r="E37" s="26" t="n">
        <v>308.98</v>
      </c>
      <c r="F37" s="26" t="n">
        <v>101.99</v>
      </c>
      <c r="G37" s="26" t="n">
        <v>261.22</v>
      </c>
      <c r="H37" s="26" t="n">
        <v>245.36</v>
      </c>
      <c r="I37" s="26" t="n">
        <v>395.58</v>
      </c>
      <c r="J37" s="26" t="n">
        <v>143.96</v>
      </c>
      <c r="K37" s="26" t="n">
        <v>306.08</v>
      </c>
      <c r="L37" s="26" t="n">
        <v>192.07</v>
      </c>
      <c r="M37" s="26" t="n">
        <v>240.79</v>
      </c>
      <c r="N37" s="26">
        <f>SUM(B37:M37)</f>
        <v/>
      </c>
      <c r="O37" s="26" t="n">
        <v>180.35</v>
      </c>
      <c r="P37" s="26" t="n">
        <v>484.77</v>
      </c>
      <c r="Q37" s="26" t="n">
        <v>176.66</v>
      </c>
      <c r="R37" s="26" t="n">
        <v>192.3</v>
      </c>
      <c r="S37" s="26" t="n">
        <v>431.13</v>
      </c>
      <c r="T37" s="26" t="n">
        <v>252.79</v>
      </c>
      <c r="U37" s="26" t="n">
        <v>375.8000000000001</v>
      </c>
      <c r="AA37" s="26">
        <f>SUM(O37:U37)</f>
        <v/>
      </c>
      <c r="AB37" s="26">
        <f>SUM(O37:Z37)</f>
        <v/>
      </c>
      <c r="AC37" s="26" t="n">
        <v>257</v>
      </c>
      <c r="AD37" s="26" t="n">
        <v>257</v>
      </c>
      <c r="AE37" s="26" t="n">
        <v>257</v>
      </c>
      <c r="AF37" s="26" t="n">
        <v>257</v>
      </c>
      <c r="AG37" s="26" t="n">
        <v>257</v>
      </c>
      <c r="AH37" s="26" t="n">
        <v>257</v>
      </c>
      <c r="AI37" s="10">
        <f>SUM(AC37:AH37)</f>
        <v/>
      </c>
      <c r="AJ37" s="26">
        <f>SUM(AC37:AH37)+AI37</f>
        <v/>
      </c>
      <c r="AK37" s="11">
        <f>IF(N37&lt;&gt;0,(AB37-N37)/ABS(N37),0)</f>
        <v/>
      </c>
      <c r="AL37" s="11">
        <f>IF(AB37&lt;&gt;0,(AJ37-AB37)/ABS(AB37),0)</f>
        <v/>
      </c>
    </row>
    <row r="38" ht="13" customHeight="1">
      <c r="A38" s="25" t="inlineStr">
        <is>
          <t xml:space="preserve">    Waste Disposal</t>
        </is>
      </c>
      <c r="B38" s="26" t="n">
        <v>204</v>
      </c>
      <c r="C38" s="26" t="n">
        <v>247.44</v>
      </c>
      <c r="D38" s="26" t="n">
        <v>306.67</v>
      </c>
      <c r="E38" s="26" t="n">
        <v>213.65</v>
      </c>
      <c r="F38" s="26" t="n">
        <v>352.32</v>
      </c>
      <c r="G38" s="26" t="n">
        <v>369.11</v>
      </c>
      <c r="H38" s="26" t="n">
        <v>366.11</v>
      </c>
      <c r="I38" s="26" t="n">
        <v>323.55</v>
      </c>
      <c r="J38" s="26" t="n">
        <v>592.36</v>
      </c>
      <c r="K38" s="26" t="n">
        <v>323.56</v>
      </c>
      <c r="L38" s="26" t="n">
        <v>323.55</v>
      </c>
      <c r="M38" s="26" t="n">
        <v>477.7600000000001</v>
      </c>
      <c r="N38" s="26">
        <f>SUM(B38:M38)</f>
        <v/>
      </c>
      <c r="O38" s="26" t="n">
        <v>323.56</v>
      </c>
      <c r="P38" s="26" t="n">
        <v>332.86</v>
      </c>
      <c r="Q38" s="26" t="n">
        <v>436.67</v>
      </c>
      <c r="R38" s="26" t="n">
        <v>383.25</v>
      </c>
      <c r="S38" s="26" t="n">
        <v>467.92</v>
      </c>
      <c r="T38" s="26" t="n">
        <v>251.21</v>
      </c>
      <c r="U38" s="26" t="n">
        <v>428.82</v>
      </c>
      <c r="AA38" s="26">
        <f>SUM(O38:U38)</f>
        <v/>
      </c>
      <c r="AB38" s="26">
        <f>SUM(O38:Z38)</f>
        <v/>
      </c>
      <c r="AC38" s="26" t="n">
        <v>330</v>
      </c>
      <c r="AD38" s="26" t="n">
        <v>330</v>
      </c>
      <c r="AE38" s="26" t="n">
        <v>330</v>
      </c>
      <c r="AF38" s="26" t="n">
        <v>330</v>
      </c>
      <c r="AG38" s="26" t="n">
        <v>330</v>
      </c>
      <c r="AH38" s="26" t="n">
        <v>330</v>
      </c>
      <c r="AI38" s="10">
        <f>SUM(AC38:AH38)</f>
        <v/>
      </c>
      <c r="AJ38" s="26">
        <f>SUM(AC38:AH38)+AI38</f>
        <v/>
      </c>
      <c r="AK38" s="11">
        <f>IF(N38&lt;&gt;0,(AB38-N38)/ABS(N38),0)</f>
        <v/>
      </c>
      <c r="AL38" s="11">
        <f>IF(AB38&lt;&gt;0,(AJ38-AB38)/ABS(AB38),0)</f>
        <v/>
      </c>
    </row>
    <row r="39" ht="13" customHeight="1">
      <c r="A39" s="25" t="inlineStr">
        <is>
          <t xml:space="preserve">    Postage/Printing/Stationery</t>
        </is>
      </c>
      <c r="B39" s="26" t="n">
        <v>51.84</v>
      </c>
      <c r="C39" s="26" t="n">
        <v>71.55</v>
      </c>
      <c r="D39" s="26" t="n">
        <v>38.53</v>
      </c>
      <c r="E39" s="26" t="n">
        <v>53.47</v>
      </c>
      <c r="F39" s="26" t="n">
        <v>25.52</v>
      </c>
      <c r="G39" s="26" t="n">
        <v>21.61</v>
      </c>
      <c r="H39" s="26" t="n">
        <v>43.68</v>
      </c>
      <c r="I39" s="26" t="n">
        <v>41.65</v>
      </c>
      <c r="J39" s="26" t="n">
        <v>40.84</v>
      </c>
      <c r="K39" s="26" t="n">
        <v>31.14</v>
      </c>
      <c r="L39" s="26" t="n">
        <v>22.14</v>
      </c>
      <c r="M39" s="26" t="n">
        <v>46.7</v>
      </c>
      <c r="N39" s="26">
        <f>SUM(B39:M39)</f>
        <v/>
      </c>
      <c r="O39" s="26" t="n">
        <v>31.84</v>
      </c>
      <c r="P39" s="26" t="n">
        <v>36.52</v>
      </c>
      <c r="Q39" s="26" t="n">
        <v>40.32</v>
      </c>
      <c r="R39" s="26" t="n">
        <v>21.9</v>
      </c>
      <c r="S39" s="26" t="n">
        <v>53.64999999999999</v>
      </c>
      <c r="T39" s="26" t="n">
        <v>30.78</v>
      </c>
      <c r="U39" s="26" t="n">
        <v>59.51000000000001</v>
      </c>
      <c r="AA39" s="26">
        <f>SUM(O39:U39)</f>
        <v/>
      </c>
      <c r="AB39" s="26">
        <f>SUM(O39:Z39)</f>
        <v/>
      </c>
      <c r="AC39" s="26" t="n">
        <v>0</v>
      </c>
      <c r="AD39" s="26" t="n">
        <v>0</v>
      </c>
      <c r="AE39" s="26" t="n">
        <v>0</v>
      </c>
      <c r="AF39" s="26" t="n">
        <v>0</v>
      </c>
      <c r="AG39" s="26" t="n">
        <v>0</v>
      </c>
      <c r="AH39" s="26" t="n">
        <v>0</v>
      </c>
      <c r="AI39" s="10">
        <f>SUM(AC39:AH39)</f>
        <v/>
      </c>
      <c r="AJ39" s="26">
        <f>SUM(AC39:AH39)+AI39</f>
        <v/>
      </c>
      <c r="AK39" s="11">
        <f>IF(N39&lt;&gt;0,(AB39-N39)/ABS(N39),0)</f>
        <v/>
      </c>
      <c r="AL39" s="11">
        <f>IF(AB39&lt;&gt;0,(AJ39-AB39)/ABS(AB39),0)</f>
        <v/>
      </c>
    </row>
    <row r="40" ht="13" customHeight="1">
      <c r="A40" s="25" t="inlineStr">
        <is>
          <t xml:space="preserve">    Telephone</t>
        </is>
      </c>
      <c r="B40" s="26" t="n">
        <v>0</v>
      </c>
      <c r="C40" s="26" t="n">
        <v>0</v>
      </c>
      <c r="D40" s="26" t="n">
        <v>0</v>
      </c>
      <c r="E40" s="26" t="n">
        <v>0</v>
      </c>
      <c r="F40" s="26" t="n">
        <v>0</v>
      </c>
      <c r="G40" s="26" t="n">
        <v>0</v>
      </c>
      <c r="H40" s="26" t="n">
        <v>0</v>
      </c>
      <c r="I40" s="26" t="n">
        <v>0</v>
      </c>
      <c r="J40" s="26" t="n">
        <v>0</v>
      </c>
      <c r="K40" s="26" t="n">
        <v>0</v>
      </c>
      <c r="L40" s="26" t="n">
        <v>0</v>
      </c>
      <c r="M40" s="26" t="n">
        <v>0</v>
      </c>
      <c r="N40" s="26">
        <f>SUM(B40:M40)</f>
        <v/>
      </c>
      <c r="O40" s="26" t="n">
        <v>0</v>
      </c>
      <c r="P40" s="26" t="n">
        <v>108</v>
      </c>
      <c r="Q40" s="26" t="n">
        <v>18</v>
      </c>
      <c r="R40" s="26" t="n">
        <v>0</v>
      </c>
      <c r="S40" s="26" t="n">
        <v>0</v>
      </c>
      <c r="T40" s="26" t="n">
        <v>0</v>
      </c>
      <c r="U40" s="26" t="n">
        <v>0</v>
      </c>
      <c r="AA40" s="26">
        <f>SUM(O40:U40)</f>
        <v/>
      </c>
      <c r="AB40" s="26">
        <f>SUM(O40:Z40)</f>
        <v/>
      </c>
      <c r="AC40" s="26" t="n">
        <v>0</v>
      </c>
      <c r="AD40" s="26" t="n">
        <v>0</v>
      </c>
      <c r="AE40" s="26" t="n">
        <v>0</v>
      </c>
      <c r="AF40" s="26" t="n">
        <v>0</v>
      </c>
      <c r="AG40" s="26" t="n">
        <v>0</v>
      </c>
      <c r="AH40" s="26" t="n">
        <v>0</v>
      </c>
      <c r="AI40" s="10">
        <f>SUM(AC40:AH40)</f>
        <v/>
      </c>
      <c r="AJ40" s="26">
        <f>SUM(AC40:AH40)+AI40</f>
        <v/>
      </c>
      <c r="AK40" s="11">
        <f>IF(N40&lt;&gt;0,(AB40-N40)/ABS(N40),0)</f>
        <v/>
      </c>
      <c r="AL40" s="11">
        <f>IF(AB40&lt;&gt;0,(AJ40-AB40)/ABS(AB40),0)</f>
        <v/>
      </c>
    </row>
    <row r="41" ht="13" customHeight="1">
      <c r="A41" s="25" t="inlineStr">
        <is>
          <t xml:space="preserve">    Marketing</t>
        </is>
      </c>
      <c r="B41" s="26" t="n">
        <v>0</v>
      </c>
      <c r="C41" s="26" t="n">
        <v>0</v>
      </c>
      <c r="D41" s="26" t="n">
        <v>135.22</v>
      </c>
      <c r="E41" s="26" t="n">
        <v>0</v>
      </c>
      <c r="F41" s="26" t="n">
        <v>0</v>
      </c>
      <c r="G41" s="26" t="n">
        <v>45</v>
      </c>
      <c r="H41" s="26" t="n">
        <v>117.88</v>
      </c>
      <c r="I41" s="26" t="n">
        <v>45</v>
      </c>
      <c r="J41" s="26" t="n">
        <v>0</v>
      </c>
      <c r="K41" s="26" t="n">
        <v>0</v>
      </c>
      <c r="L41" s="26" t="n">
        <v>0</v>
      </c>
      <c r="M41" s="26" t="n">
        <v>0</v>
      </c>
      <c r="N41" s="26">
        <f>SUM(B41:M41)</f>
        <v/>
      </c>
      <c r="O41" s="26" t="n">
        <v>87</v>
      </c>
      <c r="P41" s="26" t="n">
        <v>0</v>
      </c>
      <c r="Q41" s="26" t="n">
        <v>18.75</v>
      </c>
      <c r="R41" s="26" t="n">
        <v>105</v>
      </c>
      <c r="S41" s="26" t="n">
        <v>0</v>
      </c>
      <c r="T41" s="26" t="n">
        <v>0</v>
      </c>
      <c r="U41" s="26" t="n">
        <v>14.98</v>
      </c>
      <c r="AA41" s="26">
        <f>SUM(O41:U41)</f>
        <v/>
      </c>
      <c r="AB41" s="26">
        <f>SUM(O41:Z41)</f>
        <v/>
      </c>
      <c r="AC41" s="26" t="n">
        <v>100</v>
      </c>
      <c r="AD41" s="26" t="n">
        <v>100</v>
      </c>
      <c r="AE41" s="26" t="n">
        <v>100</v>
      </c>
      <c r="AF41" s="26" t="n">
        <v>100</v>
      </c>
      <c r="AG41" s="26" t="n">
        <v>100</v>
      </c>
      <c r="AH41" s="26" t="n">
        <v>100</v>
      </c>
      <c r="AI41" s="10">
        <f>SUM(AC41:AH41)</f>
        <v/>
      </c>
      <c r="AJ41" s="26">
        <f>SUM(AC41:AH41)+AI41</f>
        <v/>
      </c>
      <c r="AK41" s="11">
        <f>IF(N41&lt;&gt;0,(AB41-N41)/ABS(N41),0)</f>
        <v/>
      </c>
      <c r="AL41" s="11">
        <f>IF(AB41&lt;&gt;0,(AJ41-AB41)/ABS(AB41),0)</f>
        <v/>
      </c>
    </row>
    <row r="42" ht="13" customHeight="1">
      <c r="A42" s="27" t="inlineStr">
        <is>
          <t>Total Premises &amp; Admin</t>
        </is>
      </c>
      <c r="B42" s="28">
        <f>B33+B34+B35+B36+B37+B38+B39+B40+B41</f>
        <v/>
      </c>
      <c r="C42" s="28">
        <f>C33+C34+C35+C36+C37+C38+C39+C40+C41</f>
        <v/>
      </c>
      <c r="D42" s="28">
        <f>D33+D34+D35+D36+D37+D38+D39+D40+D41</f>
        <v/>
      </c>
      <c r="E42" s="28">
        <f>E33+E34+E35+E36+E37+E38+E39+E40+E41</f>
        <v/>
      </c>
      <c r="F42" s="28">
        <f>F33+F34+F35+F36+F37+F38+F39+F40+F41</f>
        <v/>
      </c>
      <c r="G42" s="28">
        <f>G33+G34+G35+G36+G37+G38+G39+G40+G41</f>
        <v/>
      </c>
      <c r="H42" s="28">
        <f>H33+H34+H35+H36+H37+H38+H39+H40+H41</f>
        <v/>
      </c>
      <c r="I42" s="28">
        <f>I33+I34+I35+I36+I37+I38+I39+I40+I41</f>
        <v/>
      </c>
      <c r="J42" s="28">
        <f>J33+J34+J35+J36+J37+J38+J39+J40+J41</f>
        <v/>
      </c>
      <c r="K42" s="28">
        <f>K33+K34+K35+K36+K37+K38+K39+K40+K41</f>
        <v/>
      </c>
      <c r="L42" s="28">
        <f>L33+L34+L35+L36+L37+L38+L39+L40+L41</f>
        <v/>
      </c>
      <c r="M42" s="28">
        <f>M33+M34+M35+M36+M37+M38+M39+M40+M41</f>
        <v/>
      </c>
      <c r="N42" s="28">
        <f>N33+N34+N35+N36+N37+N38+N39+N40+N41</f>
        <v/>
      </c>
      <c r="O42" s="28">
        <f>O33+O34+O35+O36+O37+O38+O39+O40+O41</f>
        <v/>
      </c>
      <c r="P42" s="28">
        <f>P33+P34+P35+P36+P37+P38+P39+P40+P41</f>
        <v/>
      </c>
      <c r="Q42" s="28">
        <f>Q33+Q34+Q35+Q36+Q37+Q38+Q39+Q40+Q41</f>
        <v/>
      </c>
      <c r="R42" s="28">
        <f>R33+R34+R35+R36+R37+R38+R39+R40+R41</f>
        <v/>
      </c>
      <c r="S42" s="28">
        <f>S33+S34+S35+S36+S37+S38+S39+S40+S41</f>
        <v/>
      </c>
      <c r="T42" s="28">
        <f>T33+T34+T35+T36+T37+T38+T39+T40+T41</f>
        <v/>
      </c>
      <c r="U42" s="28">
        <f>U33+U34+U35+U36+U37+U38+U39+U40+U41</f>
        <v/>
      </c>
      <c r="V42" s="28">
        <f>V33+V34+V35+V36+V37+V38+V39+V40+V41</f>
        <v/>
      </c>
      <c r="W42" s="28">
        <f>W33+W34+W35+W36+W37+W38+W39+W40+W41</f>
        <v/>
      </c>
      <c r="X42" s="28">
        <f>X33+X34+X35+X36+X37+X38+X39+X40+X41</f>
        <v/>
      </c>
      <c r="Y42" s="28">
        <f>Y33+Y34+Y35+Y36+Y37+Y38+Y39+Y40+Y41</f>
        <v/>
      </c>
      <c r="Z42" s="28">
        <f>Z33+Z34+Z35+Z36+Z37+Z38+Z39+Z40+Z41</f>
        <v/>
      </c>
      <c r="AA42" s="28">
        <f>AA33+AA34+AA35+AA36+AA37+AA38+AA39+AA40+AA41</f>
        <v/>
      </c>
      <c r="AB42" s="28">
        <f>AB33+AB34+AB35+AB36+AB37+AB38+AB39+AB40+AB41</f>
        <v/>
      </c>
      <c r="AC42" s="28">
        <f>AC33+AC34+AC35+AC36+AC37+AC38+AC39+AC40+AC41</f>
        <v/>
      </c>
      <c r="AD42" s="28">
        <f>AD33+AD34+AD35+AD36+AD37+AD38+AD39+AD40+AD41</f>
        <v/>
      </c>
      <c r="AE42" s="28">
        <f>AE33+AE34+AE35+AE36+AE37+AE38+AE39+AE40+AE41</f>
        <v/>
      </c>
      <c r="AF42" s="28">
        <f>AF33+AF34+AF35+AF36+AF37+AF38+AF39+AF40+AF41</f>
        <v/>
      </c>
      <c r="AG42" s="28">
        <f>AG33+AG34+AG35+AG36+AG37+AG38+AG39+AG40+AG41</f>
        <v/>
      </c>
      <c r="AH42" s="28">
        <f>AH33+AH34+AH35+AH36+AH37+AH38+AH39+AH40+AH41</f>
        <v/>
      </c>
      <c r="AI42" s="28">
        <f>AI33+AI34+AI35+AI36+AI37+AI38+AI39+AI40+AI41</f>
        <v/>
      </c>
      <c r="AJ42" s="28">
        <f>AJ33+AJ34+AJ35+AJ36+AJ37+AJ38+AJ39+AJ40+AJ41</f>
        <v/>
      </c>
      <c r="AK42" s="11">
        <f>IF(N42&lt;&gt;0,(AB42-N42)/ABS(N42),0)</f>
        <v/>
      </c>
      <c r="AL42" s="11">
        <f>IF(AB42&lt;&gt;0,(AJ42-AB42)/ABS(AB42),0)</f>
        <v/>
      </c>
    </row>
    <row r="43" ht="5" customHeight="1"/>
    <row r="44" ht="13" customHeight="1">
      <c r="A44" s="29" t="inlineStr">
        <is>
          <t>Total Direct Costs</t>
        </is>
      </c>
      <c r="AK44" s="11">
        <f>IF(N44&lt;&gt;0,(AB44-N44)/ABS(N44),0)</f>
        <v/>
      </c>
      <c r="AL44" s="11">
        <f>IF(AB44&lt;&gt;0,(AJ44-AB44)/ABS(AB44),0)</f>
        <v/>
      </c>
    </row>
    <row r="45" ht="5" customHeight="1"/>
    <row r="46" ht="15" customHeight="1">
      <c r="A46" s="30" t="inlineStr">
        <is>
          <t>CONTRIBUTION</t>
        </is>
      </c>
      <c r="B46" s="31">
        <f>B7-B44</f>
        <v/>
      </c>
      <c r="C46" s="31">
        <f>C7-C44</f>
        <v/>
      </c>
      <c r="D46" s="31">
        <f>D7-D44</f>
        <v/>
      </c>
      <c r="E46" s="31">
        <f>E7-E44</f>
        <v/>
      </c>
      <c r="F46" s="31">
        <f>F7-F44</f>
        <v/>
      </c>
      <c r="G46" s="31">
        <f>G7-G44</f>
        <v/>
      </c>
      <c r="H46" s="31">
        <f>H7-H44</f>
        <v/>
      </c>
      <c r="I46" s="31">
        <f>I7-I44</f>
        <v/>
      </c>
      <c r="J46" s="31">
        <f>J7-J44</f>
        <v/>
      </c>
      <c r="K46" s="31">
        <f>K7-K44</f>
        <v/>
      </c>
      <c r="L46" s="31">
        <f>L7-L44</f>
        <v/>
      </c>
      <c r="M46" s="31">
        <f>M7-M44</f>
        <v/>
      </c>
      <c r="N46" s="31">
        <f>N7-N44</f>
        <v/>
      </c>
      <c r="O46" s="31">
        <f>O7-O44</f>
        <v/>
      </c>
      <c r="P46" s="31">
        <f>P7-P44</f>
        <v/>
      </c>
      <c r="Q46" s="31">
        <f>Q7-Q44</f>
        <v/>
      </c>
      <c r="R46" s="31">
        <f>R7-R44</f>
        <v/>
      </c>
      <c r="S46" s="31">
        <f>S7-S44</f>
        <v/>
      </c>
      <c r="T46" s="31">
        <f>T7-T44</f>
        <v/>
      </c>
      <c r="U46" s="31">
        <f>U7-U44</f>
        <v/>
      </c>
      <c r="V46" s="31">
        <f>V7-V44</f>
        <v/>
      </c>
      <c r="W46" s="31">
        <f>W7-W44</f>
        <v/>
      </c>
      <c r="X46" s="31">
        <f>X7-X44</f>
        <v/>
      </c>
      <c r="Y46" s="31">
        <f>Y7-Y44</f>
        <v/>
      </c>
      <c r="Z46" s="31">
        <f>Z7-Z44</f>
        <v/>
      </c>
      <c r="AA46" s="31">
        <f>AA7-AA44</f>
        <v/>
      </c>
      <c r="AB46" s="31">
        <f>AB7-AB44</f>
        <v/>
      </c>
      <c r="AC46" s="31">
        <f>AC7-AC44</f>
        <v/>
      </c>
      <c r="AD46" s="31">
        <f>AD7-AD44</f>
        <v/>
      </c>
      <c r="AE46" s="31">
        <f>AE7-AE44</f>
        <v/>
      </c>
      <c r="AF46" s="31">
        <f>AF7-AF44</f>
        <v/>
      </c>
      <c r="AG46" s="31">
        <f>AG7-AG44</f>
        <v/>
      </c>
      <c r="AH46" s="31">
        <f>AH7-AH44</f>
        <v/>
      </c>
      <c r="AI46" s="31">
        <f>AI7-AI44</f>
        <v/>
      </c>
      <c r="AJ46" s="31">
        <f>AJ7-AJ44</f>
        <v/>
      </c>
      <c r="AK46" s="11">
        <f>IF(N46&lt;&gt;0,(AB46-N46)/ABS(N46),0)</f>
        <v/>
      </c>
      <c r="AL46" s="11">
        <f>IF(AB46&lt;&gt;0,(AJ46-AB46)/ABS(AB46),0)</f>
        <v/>
      </c>
    </row>
  </sheetData>
  <mergeCells count="8">
    <mergeCell ref="A10:AL10"/>
    <mergeCell ref="B1:N1"/>
    <mergeCell ref="A23:AL23"/>
    <mergeCell ref="A32:AL32"/>
    <mergeCell ref="AC1:AJ1"/>
    <mergeCell ref="A9:AL9"/>
    <mergeCell ref="A3:AL3"/>
    <mergeCell ref="O1:AB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L4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9.5" customWidth="1" min="27" max="27"/>
    <col width="9.5" customWidth="1" min="28" max="28"/>
    <col width="9.5" customWidth="1" min="29" max="29"/>
    <col width="9.5" customWidth="1" min="30" max="30"/>
    <col width="9.5" customWidth="1" min="31" max="31"/>
    <col width="9.5" customWidth="1" min="32" max="32"/>
    <col width="9.5" customWidth="1" min="33" max="33"/>
    <col width="9.5" customWidth="1" min="34" max="34"/>
    <col width="9.5" customWidth="1" min="35" max="35"/>
    <col width="11" customWidth="1" min="36" max="36"/>
    <col width="10" customWidth="1" min="37" max="37"/>
    <col width="10" customWidth="1" min="38" max="38"/>
  </cols>
  <sheetData>
    <row r="1" ht="18" customHeight="1">
      <c r="A1" s="1" t="inlineStr">
        <is>
          <t>Woosehill</t>
        </is>
      </c>
      <c r="B1" s="2" t="inlineStr">
        <is>
          <t>Actuals 2025</t>
        </is>
      </c>
      <c r="O1" s="2" t="inlineStr">
        <is>
          <t>2026 Actual / Forecast</t>
        </is>
      </c>
      <c r="AC1" s="2" t="inlineStr">
        <is>
          <t>2027 Forecast</t>
        </is>
      </c>
      <c r="AK1" s="3" t="inlineStr">
        <is>
          <t>YoY</t>
        </is>
      </c>
      <c r="AL1" s="3" t="inlineStr">
        <is>
          <t>YoY</t>
        </is>
      </c>
    </row>
    <row r="2" ht="22" customHeight="1">
      <c r="B2" s="4" t="inlineStr">
        <is>
          <t>Jan</t>
        </is>
      </c>
      <c r="C2" s="4" t="inlineStr">
        <is>
          <t>Feb</t>
        </is>
      </c>
      <c r="D2" s="4" t="inlineStr">
        <is>
          <t>Mar</t>
        </is>
      </c>
      <c r="E2" s="4" t="inlineStr">
        <is>
          <t>Apr</t>
        </is>
      </c>
      <c r="F2" s="4" t="inlineStr">
        <is>
          <t>May</t>
        </is>
      </c>
      <c r="G2" s="4" t="inlineStr">
        <is>
          <t>Jun</t>
        </is>
      </c>
      <c r="H2" s="4" t="inlineStr">
        <is>
          <t>Jul</t>
        </is>
      </c>
      <c r="I2" s="4" t="inlineStr">
        <is>
          <t>Aug</t>
        </is>
      </c>
      <c r="J2" s="4" t="inlineStr">
        <is>
          <t>Sep</t>
        </is>
      </c>
      <c r="K2" s="4" t="inlineStr">
        <is>
          <t>Oct</t>
        </is>
      </c>
      <c r="L2" s="4" t="inlineStr">
        <is>
          <t>Nov</t>
        </is>
      </c>
      <c r="M2" s="4" t="inlineStr">
        <is>
          <t>Dec</t>
        </is>
      </c>
      <c r="N2" s="5" t="inlineStr">
        <is>
          <t>FY2025
Total</t>
        </is>
      </c>
      <c r="O2" s="4" t="inlineStr">
        <is>
          <t>Jan</t>
        </is>
      </c>
      <c r="P2" s="4" t="inlineStr">
        <is>
          <t>Feb</t>
        </is>
      </c>
      <c r="Q2" s="4" t="inlineStr">
        <is>
          <t>Mar</t>
        </is>
      </c>
      <c r="R2" s="4" t="inlineStr">
        <is>
          <t>Apr</t>
        </is>
      </c>
      <c r="S2" s="4" t="inlineStr">
        <is>
          <t>May</t>
        </is>
      </c>
      <c r="T2" s="4" t="inlineStr">
        <is>
          <t>Jun</t>
        </is>
      </c>
      <c r="U2" s="4" t="inlineStr">
        <is>
          <t>Jul</t>
        </is>
      </c>
      <c r="V2" s="4" t="inlineStr">
        <is>
          <t>Aug</t>
        </is>
      </c>
      <c r="W2" s="4" t="inlineStr">
        <is>
          <t>Sep</t>
        </is>
      </c>
      <c r="X2" s="4" t="inlineStr">
        <is>
          <t>Oct</t>
        </is>
      </c>
      <c r="Y2" s="4" t="inlineStr">
        <is>
          <t>Nov</t>
        </is>
      </c>
      <c r="Z2" s="4" t="inlineStr">
        <is>
          <t>Dec</t>
        </is>
      </c>
      <c r="AA2" s="4" t="inlineStr">
        <is>
          <t>YTD</t>
        </is>
      </c>
      <c r="AB2" s="5" t="inlineStr">
        <is>
          <t>FY2026
Outlook</t>
        </is>
      </c>
      <c r="AC2" s="4" t="inlineStr">
        <is>
          <t>Jan</t>
        </is>
      </c>
      <c r="AD2" s="4" t="inlineStr">
        <is>
          <t>Feb</t>
        </is>
      </c>
      <c r="AE2" s="4" t="inlineStr">
        <is>
          <t>Mar</t>
        </is>
      </c>
      <c r="AF2" s="4" t="inlineStr">
        <is>
          <t>Apr</t>
        </is>
      </c>
      <c r="AG2" s="4" t="inlineStr">
        <is>
          <t>May</t>
        </is>
      </c>
      <c r="AH2" s="4" t="inlineStr">
        <is>
          <t>Jun</t>
        </is>
      </c>
      <c r="AI2" s="6" t="inlineStr">
        <is>
          <t>Jul-Dec
Proj.</t>
        </is>
      </c>
      <c r="AJ2" s="4" t="inlineStr">
        <is>
          <t>FY2027</t>
        </is>
      </c>
      <c r="AK2" s="6" t="inlineStr">
        <is>
          <t>25→26
%</t>
        </is>
      </c>
      <c r="AL2" s="6" t="inlineStr">
        <is>
          <t>26→27
%</t>
        </is>
      </c>
    </row>
    <row r="3" ht="15" customHeight="1">
      <c r="A3" s="7" t="inlineStr">
        <is>
          <t>INCOME</t>
        </is>
      </c>
    </row>
    <row r="4" ht="13" customHeight="1">
      <c r="A4" s="8" t="inlineStr">
        <is>
          <t xml:space="preserve">    Fee Income Regular</t>
        </is>
      </c>
      <c r="B4" s="9" t="n">
        <v>46878.47</v>
      </c>
      <c r="C4" s="9" t="n">
        <v>39504.51</v>
      </c>
      <c r="D4" s="9" t="n">
        <v>40145.68</v>
      </c>
      <c r="E4" s="9" t="n">
        <v>48708.67</v>
      </c>
      <c r="F4" s="9" t="n">
        <v>42205.54</v>
      </c>
      <c r="G4" s="9" t="n">
        <v>34613.52</v>
      </c>
      <c r="H4" s="9" t="n">
        <v>42245.26</v>
      </c>
      <c r="I4" s="9" t="n">
        <v>33672.63</v>
      </c>
      <c r="J4" s="9" t="n">
        <v>25033.76</v>
      </c>
      <c r="K4" s="9" t="n">
        <v>26253.02</v>
      </c>
      <c r="L4" s="9" t="n">
        <v>21180.81</v>
      </c>
      <c r="M4" s="9" t="n">
        <v>28282.41</v>
      </c>
      <c r="N4" s="9">
        <f>SUM(B4:M4)</f>
        <v/>
      </c>
      <c r="O4" s="9" t="n">
        <v>23976.63</v>
      </c>
      <c r="P4" s="9" t="n">
        <v>23696.56</v>
      </c>
      <c r="Q4" s="9" t="n">
        <v>25469.58</v>
      </c>
      <c r="R4" s="9" t="n">
        <v>30200.56</v>
      </c>
      <c r="S4" s="9" t="n">
        <v>31166.02</v>
      </c>
      <c r="T4" s="9" t="n">
        <v>30767.52</v>
      </c>
      <c r="U4" s="9" t="n">
        <v>35467.3</v>
      </c>
      <c r="AA4" s="9">
        <f>SUM(O4:U4)</f>
        <v/>
      </c>
      <c r="AB4" s="9">
        <f>SUM(O4:Z4)</f>
        <v/>
      </c>
      <c r="AC4" s="9" t="n">
        <v>41588.67</v>
      </c>
      <c r="AD4" s="9" t="n">
        <v>39304.87</v>
      </c>
      <c r="AE4" s="9" t="n">
        <v>45975.67</v>
      </c>
      <c r="AF4" s="9" t="n">
        <v>44447.98</v>
      </c>
      <c r="AG4" s="9" t="n">
        <v>44789.08</v>
      </c>
      <c r="AH4" s="9" t="n">
        <v>46211.46</v>
      </c>
      <c r="AI4" s="10">
        <f>SUM(AC4:AH4)</f>
        <v/>
      </c>
      <c r="AJ4" s="9">
        <f>SUM(AC4:AH4)+AI4</f>
        <v/>
      </c>
      <c r="AK4" s="11">
        <f>IF(N4&lt;&gt;0,(AB4-N4)/ABS(N4),0)</f>
        <v/>
      </c>
      <c r="AL4" s="11">
        <f>IF(AB4&lt;&gt;0,(AJ4-AB4)/ABS(AB4),0)</f>
        <v/>
      </c>
    </row>
    <row r="5" ht="13" customHeight="1">
      <c r="A5" s="8" t="inlineStr">
        <is>
          <t xml:space="preserve">    EEEF Embedded</t>
        </is>
      </c>
      <c r="B5" s="9" t="n">
        <v>13609.7</v>
      </c>
      <c r="C5" s="9" t="n">
        <v>13565.2</v>
      </c>
      <c r="D5" s="9" t="n">
        <v>18208.75</v>
      </c>
      <c r="E5" s="9" t="n">
        <v>10311.05</v>
      </c>
      <c r="F5" s="9" t="n">
        <v>10311.05</v>
      </c>
      <c r="G5" s="9" t="n">
        <v>10311.05</v>
      </c>
      <c r="H5" s="9" t="n">
        <v>19083.82</v>
      </c>
      <c r="I5" s="9" t="n">
        <v>0</v>
      </c>
      <c r="J5" s="9" t="n">
        <v>11153.12</v>
      </c>
      <c r="K5" s="9" t="n">
        <v>11153.12</v>
      </c>
      <c r="L5" s="9" t="n">
        <v>14192.63</v>
      </c>
      <c r="M5" s="9" t="n">
        <v>14500.48</v>
      </c>
      <c r="N5" s="9">
        <f>SUM(B5:M5)</f>
        <v/>
      </c>
      <c r="O5" s="9" t="n">
        <v>14064.26</v>
      </c>
      <c r="P5" s="9" t="n">
        <v>14064.26</v>
      </c>
      <c r="Q5" s="9" t="n">
        <v>10942.29</v>
      </c>
      <c r="R5" s="9" t="n">
        <v>15118.85</v>
      </c>
      <c r="S5" s="9" t="n">
        <v>15118.85</v>
      </c>
      <c r="T5" s="9" t="n">
        <v>13296.96</v>
      </c>
      <c r="U5" s="9" t="n">
        <v>14511.56</v>
      </c>
      <c r="AA5" s="9">
        <f>SUM(O5:U5)</f>
        <v/>
      </c>
      <c r="AB5" s="9">
        <f>SUM(O5:Z5)</f>
        <v/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10">
        <f>SUM(AC5:AH5)</f>
        <v/>
      </c>
      <c r="AJ5" s="9">
        <f>SUM(AC5:AH5)+AI5</f>
        <v/>
      </c>
      <c r="AK5" s="11">
        <f>IF(N5&lt;&gt;0,(AB5-N5)/ABS(N5),0)</f>
        <v/>
      </c>
      <c r="AL5" s="11">
        <f>IF(AB5&lt;&gt;0,(AJ5-AB5)/ABS(AB5),0)</f>
        <v/>
      </c>
    </row>
    <row r="6" ht="13" customHeight="1">
      <c r="A6" s="8" t="inlineStr">
        <is>
          <t xml:space="preserve">    Other Income</t>
        </is>
      </c>
      <c r="B6" s="9" t="n">
        <v>0</v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3087.1</v>
      </c>
      <c r="J6" s="9" t="n">
        <v>0</v>
      </c>
      <c r="K6" s="9" t="n">
        <v>0</v>
      </c>
      <c r="L6" s="9" t="n">
        <v>0</v>
      </c>
      <c r="M6" s="9" t="n">
        <v>0</v>
      </c>
      <c r="N6" s="9">
        <f>SUM(B6:M6)</f>
        <v/>
      </c>
      <c r="O6" s="9" t="n">
        <v>0</v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0</v>
      </c>
      <c r="W6" s="9" t="n">
        <v>0</v>
      </c>
      <c r="X6" s="9" t="n">
        <v>0</v>
      </c>
      <c r="Y6" s="9" t="n">
        <v>0</v>
      </c>
      <c r="Z6" s="9" t="n">
        <v>0</v>
      </c>
      <c r="AA6" s="9">
        <f>SUM(O6:U6)</f>
        <v/>
      </c>
      <c r="AB6" s="9">
        <f>SUM(O6:Z6)</f>
        <v/>
      </c>
      <c r="AC6" s="9" t="n">
        <v>0</v>
      </c>
      <c r="AD6" s="9" t="n">
        <v>0</v>
      </c>
      <c r="AE6" s="9" t="n">
        <v>0</v>
      </c>
      <c r="AF6" s="9" t="n">
        <v>0</v>
      </c>
      <c r="AG6" s="9" t="n">
        <v>0</v>
      </c>
      <c r="AH6" s="9" t="n">
        <v>0</v>
      </c>
      <c r="AI6" s="10">
        <f>SUM(AC6:AH6)</f>
        <v/>
      </c>
      <c r="AJ6" s="9">
        <f>SUM(AC6:AH6)+AI6</f>
        <v/>
      </c>
      <c r="AK6" s="11">
        <f>IF(N6&lt;&gt;0,(AB6-N6)/ABS(N6),0)</f>
        <v/>
      </c>
      <c r="AL6" s="11">
        <f>IF(AB6&lt;&gt;0,(AJ6-AB6)/ABS(AB6),0)</f>
        <v/>
      </c>
    </row>
    <row r="7" ht="13" customHeight="1">
      <c r="A7" s="12" t="inlineStr">
        <is>
          <t>Total Income</t>
        </is>
      </c>
      <c r="B7" s="13">
        <f>B4+B5+B6</f>
        <v/>
      </c>
      <c r="C7" s="13">
        <f>C4+C5+C6</f>
        <v/>
      </c>
      <c r="D7" s="13">
        <f>D4+D5+D6</f>
        <v/>
      </c>
      <c r="E7" s="13">
        <f>E4+E5+E6</f>
        <v/>
      </c>
      <c r="F7" s="13">
        <f>F4+F5+F6</f>
        <v/>
      </c>
      <c r="G7" s="13">
        <f>G4+G5+G6</f>
        <v/>
      </c>
      <c r="H7" s="13">
        <f>H4+H5+H6</f>
        <v/>
      </c>
      <c r="I7" s="13">
        <f>I4+I5+I6</f>
        <v/>
      </c>
      <c r="J7" s="13">
        <f>J4+J5+J6</f>
        <v/>
      </c>
      <c r="K7" s="13">
        <f>K4+K5+K6</f>
        <v/>
      </c>
      <c r="L7" s="13">
        <f>L4+L5+L6</f>
        <v/>
      </c>
      <c r="M7" s="13">
        <f>M4+M5+M6</f>
        <v/>
      </c>
      <c r="N7" s="13">
        <f>N4+N5+N6</f>
        <v/>
      </c>
      <c r="O7" s="13">
        <f>O4+O5+O6</f>
        <v/>
      </c>
      <c r="P7" s="13">
        <f>P4+P5+P6</f>
        <v/>
      </c>
      <c r="Q7" s="13">
        <f>Q4+Q5+Q6</f>
        <v/>
      </c>
      <c r="R7" s="13">
        <f>R4+R5+R6</f>
        <v/>
      </c>
      <c r="S7" s="13">
        <f>S4+S5+S6</f>
        <v/>
      </c>
      <c r="T7" s="13">
        <f>T4+T5+T6</f>
        <v/>
      </c>
      <c r="U7" s="13">
        <f>U4+U5+U6</f>
        <v/>
      </c>
      <c r="V7" s="13">
        <f>V4+V5+V6</f>
        <v/>
      </c>
      <c r="W7" s="13">
        <f>W4+W5+W6</f>
        <v/>
      </c>
      <c r="X7" s="13">
        <f>X4+X5+X6</f>
        <v/>
      </c>
      <c r="Y7" s="13">
        <f>Y4+Y5+Y6</f>
        <v/>
      </c>
      <c r="Z7" s="13">
        <f>Z4+Z5+Z6</f>
        <v/>
      </c>
      <c r="AA7" s="13">
        <f>AA4+AA5+AA6</f>
        <v/>
      </c>
      <c r="AB7" s="13">
        <f>AB4+AB5+AB6</f>
        <v/>
      </c>
      <c r="AC7" s="13">
        <f>AC4+AC5+AC6</f>
        <v/>
      </c>
      <c r="AD7" s="13">
        <f>AD4+AD5+AD6</f>
        <v/>
      </c>
      <c r="AE7" s="13">
        <f>AE4+AE5+AE6</f>
        <v/>
      </c>
      <c r="AF7" s="13">
        <f>AF4+AF5+AF6</f>
        <v/>
      </c>
      <c r="AG7" s="13">
        <f>AG4+AG5+AG6</f>
        <v/>
      </c>
      <c r="AH7" s="13">
        <f>AH4+AH5+AH6</f>
        <v/>
      </c>
      <c r="AI7" s="13">
        <f>AI4+AI5+AI6</f>
        <v/>
      </c>
      <c r="AJ7" s="13">
        <f>AJ4+AJ5+AJ6</f>
        <v/>
      </c>
      <c r="AK7" s="11">
        <f>IF(N7&lt;&gt;0,(AB7-N7)/ABS(N7),0)</f>
        <v/>
      </c>
      <c r="AL7" s="11">
        <f>IF(AB7&lt;&gt;0,(AJ7-AB7)/ABS(AB7),0)</f>
        <v/>
      </c>
    </row>
    <row r="8" ht="5" customHeight="1"/>
    <row r="9" ht="15" customHeight="1">
      <c r="A9" s="7" t="inlineStr">
        <is>
          <t>DIRECT COSTS</t>
        </is>
      </c>
    </row>
    <row r="10" ht="13" customHeight="1">
      <c r="A10" s="14" t="inlineStr">
        <is>
          <t>Personnel</t>
        </is>
      </c>
    </row>
    <row r="11" ht="13" customHeight="1">
      <c r="A11" s="15" t="inlineStr">
        <is>
          <t xml:space="preserve">    Nursery Salaries</t>
        </is>
      </c>
      <c r="B11" s="16" t="n">
        <v>20756.36</v>
      </c>
      <c r="C11" s="16" t="n">
        <v>19806.86</v>
      </c>
      <c r="D11" s="16" t="n">
        <v>20531.46</v>
      </c>
      <c r="E11" s="16" t="n">
        <v>19402.01</v>
      </c>
      <c r="F11" s="16" t="n">
        <v>22124.86</v>
      </c>
      <c r="G11" s="16" t="n">
        <v>22021.86</v>
      </c>
      <c r="H11" s="16" t="n">
        <v>24315.4</v>
      </c>
      <c r="I11" s="16" t="n">
        <v>24581.26</v>
      </c>
      <c r="J11" s="16" t="n">
        <v>23919.17</v>
      </c>
      <c r="K11" s="16" t="n">
        <v>23372.12</v>
      </c>
      <c r="L11" s="16" t="n">
        <v>23435.07</v>
      </c>
      <c r="M11" s="16" t="n">
        <v>23209.45</v>
      </c>
      <c r="N11" s="16">
        <f>SUM(B11:M11)</f>
        <v/>
      </c>
      <c r="O11" s="16" t="n">
        <v>24889.92</v>
      </c>
      <c r="P11" s="16" t="n">
        <v>22510.1</v>
      </c>
      <c r="Q11" s="16" t="n">
        <v>21677.19</v>
      </c>
      <c r="R11" s="16" t="n">
        <v>23069.23</v>
      </c>
      <c r="S11" s="16" t="n">
        <v>23667.51</v>
      </c>
      <c r="T11" s="16" t="n">
        <v>24501.65</v>
      </c>
      <c r="U11" s="16" t="n">
        <v>24044.23</v>
      </c>
      <c r="AA11" s="16">
        <f>SUM(O11:U11)</f>
        <v/>
      </c>
      <c r="AB11" s="16">
        <f>SUM(O11:Z11)</f>
        <v/>
      </c>
      <c r="AC11" s="16" t="n">
        <v>23746</v>
      </c>
      <c r="AD11" s="16" t="n">
        <v>23746</v>
      </c>
      <c r="AE11" s="16" t="n">
        <v>23746</v>
      </c>
      <c r="AF11" s="16" t="n">
        <v>23746</v>
      </c>
      <c r="AG11" s="16" t="n">
        <v>23746</v>
      </c>
      <c r="AH11" s="16" t="n">
        <v>23746</v>
      </c>
      <c r="AI11" s="10">
        <f>SUM(AC11:AH11)</f>
        <v/>
      </c>
      <c r="AJ11" s="16">
        <f>SUM(AC11:AH11)+AI11</f>
        <v/>
      </c>
      <c r="AK11" s="11">
        <f>IF(N11&lt;&gt;0,(AB11-N11)/ABS(N11),0)</f>
        <v/>
      </c>
      <c r="AL11" s="11">
        <f>IF(AB11&lt;&gt;0,(AJ11-AB11)/ABS(AB11),0)</f>
        <v/>
      </c>
    </row>
    <row r="12" ht="13" customHeight="1">
      <c r="A12" s="15" t="inlineStr">
        <is>
          <t xml:space="preserve">    Nursery NI</t>
        </is>
      </c>
      <c r="B12" s="16" t="n">
        <v>1655.57</v>
      </c>
      <c r="C12" s="16" t="n">
        <v>1539.05</v>
      </c>
      <c r="D12" s="16" t="n">
        <v>1352.02</v>
      </c>
      <c r="E12" s="16" t="n">
        <v>2052.92</v>
      </c>
      <c r="F12" s="16" t="n">
        <v>2333.4</v>
      </c>
      <c r="G12" s="16" t="n">
        <v>2443.45</v>
      </c>
      <c r="H12" s="16" t="n">
        <v>2653.22</v>
      </c>
      <c r="I12" s="16" t="n">
        <v>2586.83</v>
      </c>
      <c r="J12" s="16" t="n">
        <v>2580.16</v>
      </c>
      <c r="K12" s="16" t="n">
        <v>2539.9</v>
      </c>
      <c r="L12" s="16" t="n">
        <v>2560.76</v>
      </c>
      <c r="M12" s="16" t="n">
        <v>2576.25</v>
      </c>
      <c r="N12" s="16">
        <f>SUM(B12:M12)</f>
        <v/>
      </c>
      <c r="O12" s="16" t="n">
        <v>2704.66</v>
      </c>
      <c r="P12" s="16" t="n">
        <v>2448.49</v>
      </c>
      <c r="Q12" s="16" t="n">
        <v>2421.63</v>
      </c>
      <c r="R12" s="16" t="n">
        <v>2617.02</v>
      </c>
      <c r="S12" s="16" t="n">
        <v>2786.79</v>
      </c>
      <c r="T12" s="16" t="n">
        <v>2757.06</v>
      </c>
      <c r="U12" s="16" t="n">
        <v>2718.53</v>
      </c>
      <c r="AA12" s="16">
        <f>SUM(O12:U12)</f>
        <v/>
      </c>
      <c r="AB12" s="16">
        <f>SUM(O12:Z12)</f>
        <v/>
      </c>
      <c r="AC12" s="16" t="n">
        <v>2720</v>
      </c>
      <c r="AD12" s="16" t="n">
        <v>2720</v>
      </c>
      <c r="AE12" s="16" t="n">
        <v>2720</v>
      </c>
      <c r="AF12" s="16" t="n">
        <v>2720</v>
      </c>
      <c r="AG12" s="16" t="n">
        <v>2720</v>
      </c>
      <c r="AH12" s="16" t="n">
        <v>2720</v>
      </c>
      <c r="AI12" s="10">
        <f>SUM(AC12:AH12)</f>
        <v/>
      </c>
      <c r="AJ12" s="16">
        <f>SUM(AC12:AH12)+AI12</f>
        <v/>
      </c>
      <c r="AK12" s="11">
        <f>IF(N12&lt;&gt;0,(AB12-N12)/ABS(N12),0)</f>
        <v/>
      </c>
      <c r="AL12" s="11">
        <f>IF(AB12&lt;&gt;0,(AJ12-AB12)/ABS(AB12),0)</f>
        <v/>
      </c>
    </row>
    <row r="13" ht="13" customHeight="1">
      <c r="A13" s="15" t="inlineStr">
        <is>
          <t xml:space="preserve">    Nursery Pension</t>
        </is>
      </c>
      <c r="B13" s="16" t="n">
        <v>417.15</v>
      </c>
      <c r="C13" s="16" t="n">
        <v>385.03</v>
      </c>
      <c r="D13" s="16" t="n">
        <v>349.16</v>
      </c>
      <c r="E13" s="16" t="n">
        <v>295.5</v>
      </c>
      <c r="F13" s="16" t="n">
        <v>316.81</v>
      </c>
      <c r="G13" s="16" t="n">
        <v>324.97</v>
      </c>
      <c r="H13" s="16" t="n">
        <v>296.65</v>
      </c>
      <c r="I13" s="16" t="n">
        <v>300.58</v>
      </c>
      <c r="J13" s="16" t="n">
        <v>267.24</v>
      </c>
      <c r="K13" s="16" t="n">
        <v>328.1</v>
      </c>
      <c r="L13" s="16" t="n">
        <v>388.4</v>
      </c>
      <c r="M13" s="16" t="n">
        <v>392.25</v>
      </c>
      <c r="N13" s="16">
        <f>SUM(B13:M13)</f>
        <v/>
      </c>
      <c r="O13" s="16" t="n">
        <v>411.41</v>
      </c>
      <c r="P13" s="16" t="n">
        <v>379.79</v>
      </c>
      <c r="Q13" s="16" t="n">
        <v>374.65</v>
      </c>
      <c r="R13" s="16" t="n">
        <v>408.21</v>
      </c>
      <c r="S13" s="16" t="n">
        <v>391.92</v>
      </c>
      <c r="T13" s="16" t="n">
        <v>393.36</v>
      </c>
      <c r="U13" s="16" t="n">
        <v>376.05</v>
      </c>
      <c r="AA13" s="16">
        <f>SUM(O13:U13)</f>
        <v/>
      </c>
      <c r="AB13" s="16">
        <f>SUM(O13:Z13)</f>
        <v/>
      </c>
      <c r="AC13" s="16" t="n">
        <v>398</v>
      </c>
      <c r="AD13" s="16" t="n">
        <v>398</v>
      </c>
      <c r="AE13" s="16" t="n">
        <v>398</v>
      </c>
      <c r="AF13" s="16" t="n">
        <v>398</v>
      </c>
      <c r="AG13" s="16" t="n">
        <v>398</v>
      </c>
      <c r="AH13" s="16" t="n">
        <v>398</v>
      </c>
      <c r="AI13" s="10">
        <f>SUM(AC13:AH13)</f>
        <v/>
      </c>
      <c r="AJ13" s="16">
        <f>SUM(AC13:AH13)+AI13</f>
        <v/>
      </c>
      <c r="AK13" s="11">
        <f>IF(N13&lt;&gt;0,(AB13-N13)/ABS(N13),0)</f>
        <v/>
      </c>
      <c r="AL13" s="11">
        <f>IF(AB13&lt;&gt;0,(AJ13-AB13)/ABS(AB13),0)</f>
        <v/>
      </c>
    </row>
    <row r="14" ht="13" customHeight="1">
      <c r="A14" s="15" t="inlineStr">
        <is>
          <t xml:space="preserve">    Uniform</t>
        </is>
      </c>
      <c r="B14" s="16" t="n">
        <v>102.56</v>
      </c>
      <c r="C14" s="16" t="n">
        <v>0</v>
      </c>
      <c r="D14" s="16" t="n">
        <v>132.9</v>
      </c>
      <c r="E14" s="16" t="n">
        <v>0</v>
      </c>
      <c r="F14" s="16" t="n">
        <v>0</v>
      </c>
      <c r="G14" s="16" t="n">
        <v>0</v>
      </c>
      <c r="H14" s="16" t="n">
        <v>365.88</v>
      </c>
      <c r="I14" s="16" t="n">
        <v>0</v>
      </c>
      <c r="J14" s="16" t="n">
        <v>10.99</v>
      </c>
      <c r="K14" s="16" t="n">
        <v>0</v>
      </c>
      <c r="L14" s="16" t="n">
        <v>0</v>
      </c>
      <c r="M14" s="16" t="n">
        <v>0</v>
      </c>
      <c r="N14" s="16">
        <f>SUM(B14:M14)</f>
        <v/>
      </c>
      <c r="O14" s="16" t="n">
        <v>0</v>
      </c>
      <c r="P14" s="16" t="n">
        <v>0</v>
      </c>
      <c r="Q14" s="16" t="n">
        <v>0</v>
      </c>
      <c r="R14" s="16" t="n">
        <v>0</v>
      </c>
      <c r="S14" s="16" t="n">
        <v>210.3</v>
      </c>
      <c r="T14" s="16" t="n">
        <v>0</v>
      </c>
      <c r="U14" s="16" t="n">
        <v>183</v>
      </c>
      <c r="AA14" s="16">
        <f>SUM(O14:U14)</f>
        <v/>
      </c>
      <c r="AB14" s="16">
        <f>SUM(O14:Z14)</f>
        <v/>
      </c>
      <c r="AC14" s="16" t="n">
        <v>59</v>
      </c>
      <c r="AD14" s="16" t="n">
        <v>59</v>
      </c>
      <c r="AE14" s="16" t="n">
        <v>59</v>
      </c>
      <c r="AF14" s="16" t="n">
        <v>59</v>
      </c>
      <c r="AG14" s="16" t="n">
        <v>59</v>
      </c>
      <c r="AH14" s="16" t="n">
        <v>59</v>
      </c>
      <c r="AI14" s="10">
        <f>SUM(AC14:AH14)</f>
        <v/>
      </c>
      <c r="AJ14" s="16">
        <f>SUM(AC14:AH14)+AI14</f>
        <v/>
      </c>
      <c r="AK14" s="11">
        <f>IF(N14&lt;&gt;0,(AB14-N14)/ABS(N14),0)</f>
        <v/>
      </c>
      <c r="AL14" s="11">
        <f>IF(AB14&lt;&gt;0,(AJ14-AB14)/ABS(AB14),0)</f>
        <v/>
      </c>
    </row>
    <row r="15" ht="13" customHeight="1">
      <c r="A15" s="15" t="inlineStr">
        <is>
          <t xml:space="preserve">    Training</t>
        </is>
      </c>
      <c r="B15" s="16" t="n">
        <v>13.99</v>
      </c>
      <c r="C15" s="16" t="n">
        <v>0</v>
      </c>
      <c r="D15" s="16" t="n">
        <v>0</v>
      </c>
      <c r="E15" s="16" t="n">
        <v>0</v>
      </c>
      <c r="F15" s="16" t="n">
        <v>0</v>
      </c>
      <c r="G15" s="16" t="n">
        <v>120</v>
      </c>
      <c r="H15" s="16" t="n">
        <v>0</v>
      </c>
      <c r="I15" s="16" t="n">
        <v>0</v>
      </c>
      <c r="J15" s="16" t="n">
        <v>0</v>
      </c>
      <c r="K15" s="16" t="n">
        <v>0</v>
      </c>
      <c r="L15" s="16" t="n">
        <v>330.62</v>
      </c>
      <c r="M15" s="16" t="n">
        <v>0</v>
      </c>
      <c r="N15" s="16">
        <f>SUM(B15:M15)</f>
        <v/>
      </c>
      <c r="O15" s="16" t="n">
        <v>0</v>
      </c>
      <c r="P15" s="16" t="n">
        <v>0</v>
      </c>
      <c r="Q15" s="16" t="n">
        <v>0</v>
      </c>
      <c r="R15" s="16" t="n">
        <v>0</v>
      </c>
      <c r="S15" s="16" t="n">
        <v>26.25</v>
      </c>
      <c r="T15" s="16" t="n">
        <v>26.25</v>
      </c>
      <c r="U15" s="16" t="n">
        <v>26.25</v>
      </c>
      <c r="AA15" s="16">
        <f>SUM(O15:U15)</f>
        <v/>
      </c>
      <c r="AB15" s="16">
        <f>SUM(O15:Z15)</f>
        <v/>
      </c>
      <c r="AC15" s="16" t="n">
        <v>50</v>
      </c>
      <c r="AD15" s="16" t="n">
        <v>50</v>
      </c>
      <c r="AE15" s="16" t="n">
        <v>50</v>
      </c>
      <c r="AF15" s="16" t="n">
        <v>50</v>
      </c>
      <c r="AG15" s="16" t="n">
        <v>50</v>
      </c>
      <c r="AH15" s="16" t="n">
        <v>50</v>
      </c>
      <c r="AI15" s="10">
        <f>SUM(AC15:AH15)</f>
        <v/>
      </c>
      <c r="AJ15" s="16">
        <f>SUM(AC15:AH15)+AI15</f>
        <v/>
      </c>
      <c r="AK15" s="11">
        <f>IF(N15&lt;&gt;0,(AB15-N15)/ABS(N15),0)</f>
        <v/>
      </c>
      <c r="AL15" s="11">
        <f>IF(AB15&lt;&gt;0,(AJ15-AB15)/ABS(AB15),0)</f>
        <v/>
      </c>
    </row>
    <row r="16" ht="13" customHeight="1">
      <c r="A16" s="15" t="inlineStr">
        <is>
          <t xml:space="preserve">    Staff Welfare</t>
        </is>
      </c>
      <c r="B16" s="16" t="n">
        <v>156.89</v>
      </c>
      <c r="C16" s="16" t="n">
        <v>118.99</v>
      </c>
      <c r="D16" s="16" t="n">
        <v>0</v>
      </c>
      <c r="E16" s="16" t="n">
        <v>37.22</v>
      </c>
      <c r="F16" s="16" t="n">
        <v>40.65</v>
      </c>
      <c r="G16" s="16" t="n">
        <v>61.78</v>
      </c>
      <c r="H16" s="16" t="n">
        <v>45.84</v>
      </c>
      <c r="I16" s="16" t="n">
        <v>85.55</v>
      </c>
      <c r="J16" s="16" t="n">
        <v>36.86</v>
      </c>
      <c r="K16" s="16" t="n">
        <v>107.12</v>
      </c>
      <c r="L16" s="16" t="n">
        <v>53.8</v>
      </c>
      <c r="M16" s="16" t="n">
        <v>71.59999999999999</v>
      </c>
      <c r="N16" s="16">
        <f>SUM(B16:M16)</f>
        <v/>
      </c>
      <c r="O16" s="16" t="n">
        <v>49.95</v>
      </c>
      <c r="P16" s="16" t="n">
        <v>48.32</v>
      </c>
      <c r="Q16" s="16" t="n">
        <v>130.4</v>
      </c>
      <c r="R16" s="16" t="n">
        <v>92.13</v>
      </c>
      <c r="S16" s="16" t="n">
        <v>81.95</v>
      </c>
      <c r="T16" s="16" t="n">
        <v>84.83</v>
      </c>
      <c r="U16" s="16" t="n">
        <v>95.39</v>
      </c>
      <c r="AA16" s="16">
        <f>SUM(O16:U16)</f>
        <v/>
      </c>
      <c r="AB16" s="16">
        <f>SUM(O16:Z16)</f>
        <v/>
      </c>
      <c r="AC16" s="16" t="n">
        <v>120</v>
      </c>
      <c r="AD16" s="16" t="n">
        <v>120</v>
      </c>
      <c r="AE16" s="16" t="n">
        <v>120</v>
      </c>
      <c r="AF16" s="16" t="n">
        <v>120</v>
      </c>
      <c r="AG16" s="16" t="n">
        <v>120</v>
      </c>
      <c r="AH16" s="16" t="n">
        <v>120</v>
      </c>
      <c r="AI16" s="10">
        <f>SUM(AC16:AH16)</f>
        <v/>
      </c>
      <c r="AJ16" s="16">
        <f>SUM(AC16:AH16)+AI16</f>
        <v/>
      </c>
      <c r="AK16" s="11">
        <f>IF(N16&lt;&gt;0,(AB16-N16)/ABS(N16),0)</f>
        <v/>
      </c>
      <c r="AL16" s="11">
        <f>IF(AB16&lt;&gt;0,(AJ16-AB16)/ABS(AB16),0)</f>
        <v/>
      </c>
    </row>
    <row r="17" ht="13" customHeight="1">
      <c r="A17" s="15" t="inlineStr">
        <is>
          <t xml:space="preserve">    Recruitment</t>
        </is>
      </c>
      <c r="B17" s="16" t="n">
        <v>0</v>
      </c>
      <c r="C17" s="16" t="n">
        <v>0</v>
      </c>
      <c r="D17" s="16" t="n">
        <v>0</v>
      </c>
      <c r="E17" s="16" t="n">
        <v>0</v>
      </c>
      <c r="F17" s="16" t="n">
        <v>0</v>
      </c>
      <c r="G17" s="16" t="n">
        <v>0</v>
      </c>
      <c r="H17" s="16" t="n">
        <v>0</v>
      </c>
      <c r="I17" s="16" t="n">
        <v>0</v>
      </c>
      <c r="J17" s="16" t="n">
        <v>0</v>
      </c>
      <c r="K17" s="16" t="n">
        <v>0</v>
      </c>
      <c r="L17" s="16" t="n">
        <v>0</v>
      </c>
      <c r="M17" s="16" t="n">
        <v>0</v>
      </c>
      <c r="N17" s="16">
        <f>SUM(B17:M17)</f>
        <v/>
      </c>
      <c r="O17" s="16" t="n">
        <v>0</v>
      </c>
      <c r="P17" s="16" t="n">
        <v>0</v>
      </c>
      <c r="Q17" s="16" t="n">
        <v>0</v>
      </c>
      <c r="R17" s="16" t="n">
        <v>0</v>
      </c>
      <c r="S17" s="16" t="n">
        <v>0</v>
      </c>
      <c r="T17" s="16" t="n">
        <v>0</v>
      </c>
      <c r="U17" s="16" t="n">
        <v>0</v>
      </c>
      <c r="V17" s="16" t="n">
        <v>0</v>
      </c>
      <c r="W17" s="16" t="n">
        <v>0</v>
      </c>
      <c r="X17" s="16" t="n">
        <v>0</v>
      </c>
      <c r="Y17" s="16" t="n">
        <v>0</v>
      </c>
      <c r="Z17" s="16" t="n">
        <v>0</v>
      </c>
      <c r="AA17" s="16">
        <f>SUM(O17:U17)</f>
        <v/>
      </c>
      <c r="AB17" s="16">
        <f>SUM(O17:Z17)</f>
        <v/>
      </c>
      <c r="AC17" s="16" t="n">
        <v>0</v>
      </c>
      <c r="AD17" s="16" t="n">
        <v>0</v>
      </c>
      <c r="AE17" s="16" t="n">
        <v>0</v>
      </c>
      <c r="AF17" s="16" t="n">
        <v>0</v>
      </c>
      <c r="AG17" s="16" t="n">
        <v>0</v>
      </c>
      <c r="AH17" s="16" t="n">
        <v>0</v>
      </c>
      <c r="AI17" s="10">
        <f>SUM(AC17:AH17)</f>
        <v/>
      </c>
      <c r="AJ17" s="16">
        <f>SUM(AC17:AH17)+AI17</f>
        <v/>
      </c>
      <c r="AK17" s="11">
        <f>IF(N17&lt;&gt;0,(AB17-N17)/ABS(N17),0)</f>
        <v/>
      </c>
      <c r="AL17" s="11">
        <f>IF(AB17&lt;&gt;0,(AJ17-AB17)/ABS(AB17),0)</f>
        <v/>
      </c>
    </row>
    <row r="18" ht="13" customHeight="1">
      <c r="A18" s="15" t="inlineStr">
        <is>
          <t xml:space="preserve">    Rewards &amp; Recognition</t>
        </is>
      </c>
      <c r="B18" s="16" t="n">
        <v>0</v>
      </c>
      <c r="C18" s="16" t="n">
        <v>0</v>
      </c>
      <c r="D18" s="16" t="n">
        <v>0</v>
      </c>
      <c r="E18" s="16" t="n">
        <v>0</v>
      </c>
      <c r="F18" s="16" t="n">
        <v>0</v>
      </c>
      <c r="G18" s="16" t="n">
        <v>0</v>
      </c>
      <c r="H18" s="16" t="n">
        <v>0</v>
      </c>
      <c r="I18" s="16" t="n">
        <v>0</v>
      </c>
      <c r="J18" s="16" t="n">
        <v>0</v>
      </c>
      <c r="K18" s="16" t="n">
        <v>0</v>
      </c>
      <c r="L18" s="16" t="n">
        <v>0</v>
      </c>
      <c r="M18" s="16" t="n">
        <v>0</v>
      </c>
      <c r="N18" s="16">
        <f>SUM(B18:M18)</f>
        <v/>
      </c>
      <c r="O18" s="16" t="n">
        <v>0</v>
      </c>
      <c r="P18" s="16" t="n">
        <v>0</v>
      </c>
      <c r="Q18" s="16" t="n">
        <v>0</v>
      </c>
      <c r="R18" s="16" t="n">
        <v>0</v>
      </c>
      <c r="S18" s="16" t="n">
        <v>0</v>
      </c>
      <c r="T18" s="16" t="n">
        <v>0</v>
      </c>
      <c r="U18" s="16" t="n">
        <v>0</v>
      </c>
      <c r="V18" s="16" t="n">
        <v>0</v>
      </c>
      <c r="W18" s="16" t="n">
        <v>0</v>
      </c>
      <c r="X18" s="16" t="n">
        <v>0</v>
      </c>
      <c r="Y18" s="16" t="n">
        <v>0</v>
      </c>
      <c r="Z18" s="16" t="n">
        <v>0</v>
      </c>
      <c r="AA18" s="16">
        <f>SUM(O18:U18)</f>
        <v/>
      </c>
      <c r="AB18" s="16">
        <f>SUM(O18:Z18)</f>
        <v/>
      </c>
      <c r="AC18" s="16" t="n">
        <v>50</v>
      </c>
      <c r="AD18" s="16" t="n">
        <v>50</v>
      </c>
      <c r="AE18" s="16" t="n">
        <v>50</v>
      </c>
      <c r="AF18" s="16" t="n">
        <v>50</v>
      </c>
      <c r="AG18" s="16" t="n">
        <v>50</v>
      </c>
      <c r="AH18" s="16" t="n">
        <v>50</v>
      </c>
      <c r="AI18" s="10">
        <f>SUM(AC18:AH18)</f>
        <v/>
      </c>
      <c r="AJ18" s="16">
        <f>SUM(AC18:AH18)+AI18</f>
        <v/>
      </c>
      <c r="AK18" s="11">
        <f>IF(N18&lt;&gt;0,(AB18-N18)/ABS(N18),0)</f>
        <v/>
      </c>
      <c r="AL18" s="11">
        <f>IF(AB18&lt;&gt;0,(AJ18-AB18)/ABS(AB18),0)</f>
        <v/>
      </c>
    </row>
    <row r="19" ht="13" customHeight="1">
      <c r="A19" s="15" t="inlineStr">
        <is>
          <t xml:space="preserve">    Temps</t>
        </is>
      </c>
      <c r="B19" s="16" t="n">
        <v>0</v>
      </c>
      <c r="C19" s="16" t="n">
        <v>0</v>
      </c>
      <c r="D19" s="16" t="n">
        <v>0</v>
      </c>
      <c r="E19" s="16" t="n">
        <v>0</v>
      </c>
      <c r="F19" s="16" t="n">
        <v>0</v>
      </c>
      <c r="G19" s="16" t="n">
        <v>0</v>
      </c>
      <c r="H19" s="16" t="n">
        <v>0</v>
      </c>
      <c r="I19" s="16" t="n">
        <v>0</v>
      </c>
      <c r="J19" s="16" t="n">
        <v>0</v>
      </c>
      <c r="K19" s="16" t="n">
        <v>0</v>
      </c>
      <c r="L19" s="16" t="n">
        <v>0</v>
      </c>
      <c r="M19" s="16" t="n">
        <v>0</v>
      </c>
      <c r="N19" s="16">
        <f>SUM(B19:M19)</f>
        <v/>
      </c>
      <c r="O19" s="16" t="n">
        <v>0</v>
      </c>
      <c r="P19" s="16" t="n">
        <v>0</v>
      </c>
      <c r="Q19" s="16" t="n">
        <v>0</v>
      </c>
      <c r="R19" s="16" t="n">
        <v>0</v>
      </c>
      <c r="S19" s="16" t="n">
        <v>0</v>
      </c>
      <c r="T19" s="16" t="n">
        <v>0</v>
      </c>
      <c r="U19" s="16" t="n">
        <v>0</v>
      </c>
      <c r="V19" s="16" t="n">
        <v>0</v>
      </c>
      <c r="W19" s="16" t="n">
        <v>0</v>
      </c>
      <c r="X19" s="16" t="n">
        <v>0</v>
      </c>
      <c r="Y19" s="16" t="n">
        <v>0</v>
      </c>
      <c r="Z19" s="16" t="n">
        <v>0</v>
      </c>
      <c r="AA19" s="16">
        <f>SUM(O19:U19)</f>
        <v/>
      </c>
      <c r="AB19" s="16">
        <f>SUM(O19:Z19)</f>
        <v/>
      </c>
      <c r="AC19" s="16" t="n">
        <v>0</v>
      </c>
      <c r="AD19" s="16" t="n">
        <v>0</v>
      </c>
      <c r="AE19" s="16" t="n">
        <v>0</v>
      </c>
      <c r="AF19" s="16" t="n">
        <v>0</v>
      </c>
      <c r="AG19" s="16" t="n">
        <v>0</v>
      </c>
      <c r="AH19" s="16" t="n">
        <v>0</v>
      </c>
      <c r="AI19" s="10">
        <f>SUM(AC19:AH19)</f>
        <v/>
      </c>
      <c r="AJ19" s="16">
        <f>SUM(AC19:AH19)+AI19</f>
        <v/>
      </c>
      <c r="AK19" s="11">
        <f>IF(N19&lt;&gt;0,(AB19-N19)/ABS(N19),0)</f>
        <v/>
      </c>
      <c r="AL19" s="11">
        <f>IF(AB19&lt;&gt;0,(AJ19-AB19)/ABS(AB19),0)</f>
        <v/>
      </c>
    </row>
    <row r="20" ht="13" customHeight="1">
      <c r="A20" s="17" t="inlineStr">
        <is>
          <t>Total Personnel</t>
        </is>
      </c>
      <c r="B20" s="18">
        <f>B11+B12+B13+B14+B15+B16+B17+B18+B19</f>
        <v/>
      </c>
      <c r="C20" s="18">
        <f>C11+C12+C13+C14+C15+C16+C17+C18+C19</f>
        <v/>
      </c>
      <c r="D20" s="18">
        <f>D11+D12+D13+D14+D15+D16+D17+D18+D19</f>
        <v/>
      </c>
      <c r="E20" s="18">
        <f>E11+E12+E13+E14+E15+E16+E17+E18+E19</f>
        <v/>
      </c>
      <c r="F20" s="18">
        <f>F11+F12+F13+F14+F15+F16+F17+F18+F19</f>
        <v/>
      </c>
      <c r="G20" s="18">
        <f>G11+G12+G13+G14+G15+G16+G17+G18+G19</f>
        <v/>
      </c>
      <c r="H20" s="18">
        <f>H11+H12+H13+H14+H15+H16+H17+H18+H19</f>
        <v/>
      </c>
      <c r="I20" s="18">
        <f>I11+I12+I13+I14+I15+I16+I17+I18+I19</f>
        <v/>
      </c>
      <c r="J20" s="18">
        <f>J11+J12+J13+J14+J15+J16+J17+J18+J19</f>
        <v/>
      </c>
      <c r="K20" s="18">
        <f>K11+K12+K13+K14+K15+K16+K17+K18+K19</f>
        <v/>
      </c>
      <c r="L20" s="18">
        <f>L11+L12+L13+L14+L15+L16+L17+L18+L19</f>
        <v/>
      </c>
      <c r="M20" s="18">
        <f>M11+M12+M13+M14+M15+M16+M17+M18+M19</f>
        <v/>
      </c>
      <c r="N20" s="18">
        <f>N11+N12+N13+N14+N15+N16+N17+N18+N19</f>
        <v/>
      </c>
      <c r="O20" s="18">
        <f>O11+O12+O13+O14+O15+O16+O17+O18+O19</f>
        <v/>
      </c>
      <c r="P20" s="18">
        <f>P11+P12+P13+P14+P15+P16+P17+P18+P19</f>
        <v/>
      </c>
      <c r="Q20" s="18">
        <f>Q11+Q12+Q13+Q14+Q15+Q16+Q17+Q18+Q19</f>
        <v/>
      </c>
      <c r="R20" s="18">
        <f>R11+R12+R13+R14+R15+R16+R17+R18+R19</f>
        <v/>
      </c>
      <c r="S20" s="18">
        <f>S11+S12+S13+S14+S15+S16+S17+S18+S19</f>
        <v/>
      </c>
      <c r="T20" s="18">
        <f>T11+T12+T13+T14+T15+T16+T17+T18+T19</f>
        <v/>
      </c>
      <c r="U20" s="18">
        <f>U11+U12+U13+U14+U15+U16+U17+U18+U19</f>
        <v/>
      </c>
      <c r="V20" s="18">
        <f>V11+V12+V13+V14+V15+V16+V17+V18+V19</f>
        <v/>
      </c>
      <c r="W20" s="18">
        <f>W11+W12+W13+W14+W15+W16+W17+W18+W19</f>
        <v/>
      </c>
      <c r="X20" s="18">
        <f>X11+X12+X13+X14+X15+X16+X17+X18+X19</f>
        <v/>
      </c>
      <c r="Y20" s="18">
        <f>Y11+Y12+Y13+Y14+Y15+Y16+Y17+Y18+Y19</f>
        <v/>
      </c>
      <c r="Z20" s="18">
        <f>Z11+Z12+Z13+Z14+Z15+Z16+Z17+Z18+Z19</f>
        <v/>
      </c>
      <c r="AA20" s="18">
        <f>AA11+AA12+AA13+AA14+AA15+AA16+AA17+AA18+AA19</f>
        <v/>
      </c>
      <c r="AB20" s="18">
        <f>AB11+AB12+AB13+AB14+AB15+AB16+AB17+AB18+AB19</f>
        <v/>
      </c>
      <c r="AC20" s="18">
        <f>AC11+AC12+AC13+AC14+AC15+AC16+AC17+AC18+AC19</f>
        <v/>
      </c>
      <c r="AD20" s="18">
        <f>AD11+AD12+AD13+AD14+AD15+AD16+AD17+AD18+AD19</f>
        <v/>
      </c>
      <c r="AE20" s="18">
        <f>AE11+AE12+AE13+AE14+AE15+AE16+AE17+AE18+AE19</f>
        <v/>
      </c>
      <c r="AF20" s="18">
        <f>AF11+AF12+AF13+AF14+AF15+AF16+AF17+AF18+AF19</f>
        <v/>
      </c>
      <c r="AG20" s="18">
        <f>AG11+AG12+AG13+AG14+AG15+AG16+AG17+AG18+AG19</f>
        <v/>
      </c>
      <c r="AH20" s="18">
        <f>AH11+AH12+AH13+AH14+AH15+AH16+AH17+AH18+AH19</f>
        <v/>
      </c>
      <c r="AI20" s="18">
        <f>AI11+AI12+AI13+AI14+AI15+AI16+AI17+AI18+AI19</f>
        <v/>
      </c>
      <c r="AJ20" s="18">
        <f>AJ11+AJ12+AJ13+AJ14+AJ15+AJ16+AJ17+AJ18+AJ19</f>
        <v/>
      </c>
      <c r="AK20" s="11">
        <f>IF(N20&lt;&gt;0,(AB20-N20)/ABS(N20),0)</f>
        <v/>
      </c>
      <c r="AL20" s="11">
        <f>IF(AB20&lt;&gt;0,(AJ20-AB20)/ABS(AB20),0)</f>
        <v/>
      </c>
    </row>
    <row r="21" ht="13" customHeight="1">
      <c r="A21" s="19" t="inlineStr">
        <is>
          <t xml:space="preserve">    Sal:Rev</t>
        </is>
      </c>
      <c r="B21" s="20">
        <f>IF(B7&gt;0,B20/B7,0)</f>
        <v/>
      </c>
      <c r="C21" s="20">
        <f>IF(C7&gt;0,C20/C7,0)</f>
        <v/>
      </c>
      <c r="D21" s="20">
        <f>IF(D7&gt;0,D20/D7,0)</f>
        <v/>
      </c>
      <c r="E21" s="20">
        <f>IF(E7&gt;0,E20/E7,0)</f>
        <v/>
      </c>
      <c r="F21" s="20">
        <f>IF(F7&gt;0,F20/F7,0)</f>
        <v/>
      </c>
      <c r="G21" s="20">
        <f>IF(G7&gt;0,G20/G7,0)</f>
        <v/>
      </c>
      <c r="H21" s="20">
        <f>IF(H7&gt;0,H20/H7,0)</f>
        <v/>
      </c>
      <c r="I21" s="20">
        <f>IF(I7&gt;0,I20/I7,0)</f>
        <v/>
      </c>
      <c r="J21" s="20">
        <f>IF(J7&gt;0,J20/J7,0)</f>
        <v/>
      </c>
      <c r="K21" s="20">
        <f>IF(K7&gt;0,K20/K7,0)</f>
        <v/>
      </c>
      <c r="L21" s="20">
        <f>IF(L7&gt;0,L20/L7,0)</f>
        <v/>
      </c>
      <c r="M21" s="20">
        <f>IF(M7&gt;0,M20/M7,0)</f>
        <v/>
      </c>
      <c r="N21" s="20">
        <f>IF(N7&gt;0,N20/N7,0)</f>
        <v/>
      </c>
      <c r="O21" s="20">
        <f>IF(O7&gt;0,O20/O7,0)</f>
        <v/>
      </c>
      <c r="P21" s="20">
        <f>IF(P7&gt;0,P20/P7,0)</f>
        <v/>
      </c>
      <c r="Q21" s="20">
        <f>IF(Q7&gt;0,Q20/Q7,0)</f>
        <v/>
      </c>
      <c r="R21" s="20">
        <f>IF(R7&gt;0,R20/R7,0)</f>
        <v/>
      </c>
      <c r="S21" s="20">
        <f>IF(S7&gt;0,S20/S7,0)</f>
        <v/>
      </c>
      <c r="T21" s="20">
        <f>IF(T7&gt;0,T20/T7,0)</f>
        <v/>
      </c>
      <c r="U21" s="20">
        <f>IF(U7&gt;0,U20/U7,0)</f>
        <v/>
      </c>
      <c r="V21" s="20">
        <f>IF(V7&gt;0,V20/V7,0)</f>
        <v/>
      </c>
      <c r="W21" s="20">
        <f>IF(W7&gt;0,W20/W7,0)</f>
        <v/>
      </c>
      <c r="X21" s="20">
        <f>IF(X7&gt;0,X20/X7,0)</f>
        <v/>
      </c>
      <c r="Y21" s="20">
        <f>IF(Y7&gt;0,Y20/Y7,0)</f>
        <v/>
      </c>
      <c r="Z21" s="20">
        <f>IF(Z7&gt;0,Z20/Z7,0)</f>
        <v/>
      </c>
      <c r="AA21" s="20">
        <f>IF(AA7&gt;0,AA20/AA7,0)</f>
        <v/>
      </c>
      <c r="AB21" s="20">
        <f>IF(AB7&gt;0,AB20/AB7,0)</f>
        <v/>
      </c>
      <c r="AC21" s="20">
        <f>IF(AC7&gt;0,AC20/AC7,0)</f>
        <v/>
      </c>
      <c r="AD21" s="20">
        <f>IF(AD7&gt;0,AD20/AD7,0)</f>
        <v/>
      </c>
      <c r="AE21" s="20">
        <f>IF(AE7&gt;0,AE20/AE7,0)</f>
        <v/>
      </c>
      <c r="AF21" s="20">
        <f>IF(AF7&gt;0,AF20/AF7,0)</f>
        <v/>
      </c>
      <c r="AG21" s="20">
        <f>IF(AG7&gt;0,AG20/AG7,0)</f>
        <v/>
      </c>
      <c r="AH21" s="20">
        <f>IF(AH7&gt;0,AH20/AH7,0)</f>
        <v/>
      </c>
      <c r="AI21" s="20">
        <f>IF(AI7&gt;0,AI20/AI7,0)</f>
        <v/>
      </c>
      <c r="AJ21" s="20">
        <f>IF(AJ7&gt;0,AJ20/AJ7,0)</f>
        <v/>
      </c>
    </row>
    <row r="22" ht="5" customHeight="1"/>
    <row r="23" ht="13" customHeight="1">
      <c r="A23" s="14" t="inlineStr">
        <is>
          <t>Childcare</t>
        </is>
      </c>
    </row>
    <row r="24" ht="13" customHeight="1">
      <c r="A24" s="21" t="inlineStr">
        <is>
          <t xml:space="preserve">    Catering Costs</t>
        </is>
      </c>
      <c r="N24" s="22">
        <f>SUM(B24:M24)</f>
        <v/>
      </c>
      <c r="O24" s="22" t="n">
        <v>906.8599999999999</v>
      </c>
      <c r="P24" s="22" t="n">
        <v>696.4000000000001</v>
      </c>
      <c r="Q24" s="22" t="n">
        <v>694.97</v>
      </c>
      <c r="R24" s="22" t="n">
        <v>855.39</v>
      </c>
      <c r="S24" s="22" t="n">
        <v>659.86</v>
      </c>
      <c r="T24" s="22" t="n">
        <v>698.38</v>
      </c>
      <c r="U24" s="22" t="n">
        <v>939.7800000000001</v>
      </c>
      <c r="V24" s="22" t="n">
        <v>1019.628792</v>
      </c>
      <c r="W24" s="22" t="n">
        <v>1242.4464</v>
      </c>
      <c r="X24" s="22" t="n">
        <v>1227.5016</v>
      </c>
      <c r="Y24" s="22" t="n">
        <v>1321.1016</v>
      </c>
      <c r="Z24" s="22" t="n">
        <v>1388.4</v>
      </c>
      <c r="AA24" s="22">
        <f>SUM(O24:U24)</f>
        <v/>
      </c>
      <c r="AB24" s="22">
        <f>SUM(O24:Z24)</f>
        <v/>
      </c>
      <c r="AC24" s="22" t="n">
        <v>1297.566504</v>
      </c>
      <c r="AD24" s="22" t="n">
        <v>1226.311944</v>
      </c>
      <c r="AE24" s="22" t="n">
        <v>1434.440904</v>
      </c>
      <c r="AF24" s="22" t="n">
        <v>1386.776976</v>
      </c>
      <c r="AG24" s="22" t="n">
        <v>1397.419296</v>
      </c>
      <c r="AH24" s="22" t="n">
        <v>1441.797552</v>
      </c>
      <c r="AI24" s="10">
        <f>SUM(AC24:AH24)</f>
        <v/>
      </c>
      <c r="AJ24" s="22">
        <f>SUM(AC24:AH24)+AI24</f>
        <v/>
      </c>
      <c r="AK24" s="11">
        <f>IF(N24&lt;&gt;0,(AB24-N24)/ABS(N24),0)</f>
        <v/>
      </c>
      <c r="AL24" s="11">
        <f>IF(AB24&lt;&gt;0,(AJ24-AB24)/ABS(AB24),0)</f>
        <v/>
      </c>
    </row>
    <row r="25" ht="13" customHeight="1">
      <c r="A25" s="21" t="inlineStr">
        <is>
          <t xml:space="preserve">    Toys and Games</t>
        </is>
      </c>
      <c r="B25" s="22" t="n">
        <v>56.48</v>
      </c>
      <c r="C25" s="22" t="n">
        <v>2434.38</v>
      </c>
      <c r="D25" s="22" t="n">
        <v>198.96</v>
      </c>
      <c r="E25" s="22" t="n">
        <v>106.88</v>
      </c>
      <c r="F25" s="22" t="n">
        <v>171.09</v>
      </c>
      <c r="G25" s="22" t="n">
        <v>0</v>
      </c>
      <c r="H25" s="22" t="n">
        <v>0</v>
      </c>
      <c r="I25" s="22" t="n">
        <v>145.55</v>
      </c>
      <c r="J25" s="22" t="n">
        <v>0</v>
      </c>
      <c r="K25" s="22" t="n">
        <v>14.99</v>
      </c>
      <c r="L25" s="22" t="n">
        <v>30</v>
      </c>
      <c r="M25" s="22" t="n">
        <v>0</v>
      </c>
      <c r="N25" s="22">
        <f>SUM(B25:M25)</f>
        <v/>
      </c>
      <c r="O25" s="22" t="n">
        <v>89.94</v>
      </c>
      <c r="P25" s="22" t="n">
        <v>132.89</v>
      </c>
      <c r="Q25" s="22" t="n">
        <v>77.36</v>
      </c>
      <c r="R25" s="22" t="n">
        <v>20.99</v>
      </c>
      <c r="S25" s="22" t="n">
        <v>0</v>
      </c>
      <c r="T25" s="22" t="n">
        <v>48.62</v>
      </c>
      <c r="U25" s="22" t="n">
        <v>15.42</v>
      </c>
      <c r="AA25" s="22">
        <f>SUM(O25:U25)</f>
        <v/>
      </c>
      <c r="AB25" s="22">
        <f>SUM(O25:Z25)</f>
        <v/>
      </c>
      <c r="AC25" s="22" t="n">
        <v>50</v>
      </c>
      <c r="AD25" s="22" t="n">
        <v>50</v>
      </c>
      <c r="AE25" s="22" t="n">
        <v>50</v>
      </c>
      <c r="AF25" s="22" t="n">
        <v>50</v>
      </c>
      <c r="AG25" s="22" t="n">
        <v>50</v>
      </c>
      <c r="AH25" s="22" t="n">
        <v>50</v>
      </c>
      <c r="AI25" s="10">
        <f>SUM(AC25:AH25)</f>
        <v/>
      </c>
      <c r="AJ25" s="22">
        <f>SUM(AC25:AH25)+AI25</f>
        <v/>
      </c>
      <c r="AK25" s="11">
        <f>IF(N25&lt;&gt;0,(AB25-N25)/ABS(N25),0)</f>
        <v/>
      </c>
      <c r="AL25" s="11">
        <f>IF(AB25&lt;&gt;0,(AJ25-AB25)/ABS(AB25),0)</f>
        <v/>
      </c>
    </row>
    <row r="26" ht="13" customHeight="1">
      <c r="A26" s="21" t="inlineStr">
        <is>
          <t xml:space="preserve">    Art Materials</t>
        </is>
      </c>
      <c r="N26" s="22">
        <f>SUM(B26:M26)</f>
        <v/>
      </c>
      <c r="O26" s="22" t="n">
        <v>194.94</v>
      </c>
      <c r="P26" s="22" t="n">
        <v>32.95</v>
      </c>
      <c r="Q26" s="22" t="n">
        <v>99.97</v>
      </c>
      <c r="R26" s="22" t="n">
        <v>73.15000000000001</v>
      </c>
      <c r="S26" s="22" t="n">
        <v>9.98</v>
      </c>
      <c r="T26" s="22" t="n">
        <v>211.57</v>
      </c>
      <c r="U26" s="22" t="n">
        <v>115.11</v>
      </c>
      <c r="V26" s="22" t="n">
        <v>101.9628792</v>
      </c>
      <c r="W26" s="22" t="n">
        <v>124.24464</v>
      </c>
      <c r="X26" s="22" t="n">
        <v>122.75016</v>
      </c>
      <c r="Y26" s="22" t="n">
        <v>132.11016</v>
      </c>
      <c r="Z26" s="22" t="n">
        <v>138.84</v>
      </c>
      <c r="AA26" s="22">
        <f>SUM(O26:U26)</f>
        <v/>
      </c>
      <c r="AB26" s="22">
        <f>SUM(O26:Z26)</f>
        <v/>
      </c>
      <c r="AC26" s="22" t="n">
        <v>129.7566504</v>
      </c>
      <c r="AD26" s="22" t="n">
        <v>122.6311944</v>
      </c>
      <c r="AE26" s="22" t="n">
        <v>143.4440904</v>
      </c>
      <c r="AF26" s="22" t="n">
        <v>138.6776976</v>
      </c>
      <c r="AG26" s="22" t="n">
        <v>139.7419296</v>
      </c>
      <c r="AH26" s="22" t="n">
        <v>144.1797552</v>
      </c>
      <c r="AI26" s="10">
        <f>SUM(AC26:AH26)</f>
        <v/>
      </c>
      <c r="AJ26" s="22">
        <f>SUM(AC26:AH26)+AI26</f>
        <v/>
      </c>
      <c r="AK26" s="11">
        <f>IF(N26&lt;&gt;0,(AB26-N26)/ABS(N26),0)</f>
        <v/>
      </c>
      <c r="AL26" s="11">
        <f>IF(AB26&lt;&gt;0,(AJ26-AB26)/ABS(AB26),0)</f>
        <v/>
      </c>
    </row>
    <row r="27" ht="13" customHeight="1">
      <c r="A27" s="21" t="inlineStr">
        <is>
          <t xml:space="preserve">    Nursery Stationery</t>
        </is>
      </c>
      <c r="B27" s="22" t="n">
        <v>0</v>
      </c>
      <c r="C27" s="22" t="n">
        <v>0</v>
      </c>
      <c r="D27" s="22" t="n">
        <v>0</v>
      </c>
      <c r="E27" s="22" t="n">
        <v>0</v>
      </c>
      <c r="F27" s="22" t="n">
        <v>0</v>
      </c>
      <c r="G27" s="22" t="n">
        <v>0</v>
      </c>
      <c r="H27" s="22" t="n">
        <v>0</v>
      </c>
      <c r="I27" s="22" t="n">
        <v>0</v>
      </c>
      <c r="J27" s="22" t="n">
        <v>0</v>
      </c>
      <c r="K27" s="22" t="n">
        <v>0</v>
      </c>
      <c r="L27" s="22" t="n">
        <v>0</v>
      </c>
      <c r="M27" s="22" t="n">
        <v>0</v>
      </c>
      <c r="N27" s="22">
        <f>SUM(B27:M27)</f>
        <v/>
      </c>
      <c r="O27" s="22" t="n">
        <v>0</v>
      </c>
      <c r="P27" s="22" t="n">
        <v>0</v>
      </c>
      <c r="Q27" s="22" t="n">
        <v>0</v>
      </c>
      <c r="R27" s="22" t="n">
        <v>0</v>
      </c>
      <c r="S27" s="22" t="n">
        <v>0</v>
      </c>
      <c r="T27" s="22" t="n">
        <v>0</v>
      </c>
      <c r="U27" s="22" t="n">
        <v>0</v>
      </c>
      <c r="V27" s="22" t="n">
        <v>0</v>
      </c>
      <c r="W27" s="22" t="n">
        <v>0</v>
      </c>
      <c r="X27" s="22" t="n">
        <v>0</v>
      </c>
      <c r="Y27" s="22" t="n">
        <v>0</v>
      </c>
      <c r="Z27" s="22" t="n">
        <v>0</v>
      </c>
      <c r="AA27" s="22">
        <f>SUM(O27:U27)</f>
        <v/>
      </c>
      <c r="AB27" s="22">
        <f>SUM(O27:Z27)</f>
        <v/>
      </c>
      <c r="AC27" s="22" t="n">
        <v>0</v>
      </c>
      <c r="AD27" s="22" t="n">
        <v>0</v>
      </c>
      <c r="AE27" s="22" t="n">
        <v>0</v>
      </c>
      <c r="AF27" s="22" t="n">
        <v>0</v>
      </c>
      <c r="AG27" s="22" t="n">
        <v>0</v>
      </c>
      <c r="AH27" s="22" t="n">
        <v>0</v>
      </c>
      <c r="AI27" s="10">
        <f>SUM(AC27:AH27)</f>
        <v/>
      </c>
      <c r="AJ27" s="22">
        <f>SUM(AC27:AH27)+AI27</f>
        <v/>
      </c>
      <c r="AK27" s="11">
        <f>IF(N27&lt;&gt;0,(AB27-N27)/ABS(N27),0)</f>
        <v/>
      </c>
      <c r="AL27" s="11">
        <f>IF(AB27&lt;&gt;0,(AJ27-AB27)/ABS(AB27),0)</f>
        <v/>
      </c>
    </row>
    <row r="28" ht="13" customHeight="1">
      <c r="A28" s="21" t="inlineStr">
        <is>
          <t xml:space="preserve">    Nursery Equipment</t>
        </is>
      </c>
      <c r="B28" s="22" t="n">
        <v>80.35000000000001</v>
      </c>
      <c r="C28" s="22" t="n">
        <v>250.49</v>
      </c>
      <c r="D28" s="22" t="n">
        <v>70.2</v>
      </c>
      <c r="E28" s="22" t="n">
        <v>35.98</v>
      </c>
      <c r="F28" s="22" t="n">
        <v>0</v>
      </c>
      <c r="G28" s="22" t="n">
        <v>0</v>
      </c>
      <c r="H28" s="22" t="n">
        <v>88.72</v>
      </c>
      <c r="I28" s="22" t="n">
        <v>126.39</v>
      </c>
      <c r="J28" s="22" t="n">
        <v>514.62</v>
      </c>
      <c r="K28" s="22" t="n">
        <v>0</v>
      </c>
      <c r="L28" s="22" t="n">
        <v>46.66999999999999</v>
      </c>
      <c r="M28" s="22" t="n">
        <v>44.19</v>
      </c>
      <c r="N28" s="22">
        <f>SUM(B28:M28)</f>
        <v/>
      </c>
      <c r="O28" s="22" t="n">
        <v>122.4</v>
      </c>
      <c r="P28" s="22" t="n">
        <v>0</v>
      </c>
      <c r="Q28" s="22" t="n">
        <v>57.8</v>
      </c>
      <c r="R28" s="22" t="n">
        <v>32.62</v>
      </c>
      <c r="S28" s="22" t="n">
        <v>27.14</v>
      </c>
      <c r="T28" s="22" t="n">
        <v>28.94</v>
      </c>
      <c r="U28" s="22" t="n">
        <v>28.29</v>
      </c>
      <c r="AA28" s="22">
        <f>SUM(O28:U28)</f>
        <v/>
      </c>
      <c r="AB28" s="22">
        <f>SUM(O28:Z28)</f>
        <v/>
      </c>
      <c r="AC28" s="22" t="n">
        <v>50</v>
      </c>
      <c r="AD28" s="22" t="n">
        <v>50</v>
      </c>
      <c r="AE28" s="22" t="n">
        <v>50</v>
      </c>
      <c r="AF28" s="22" t="n">
        <v>50</v>
      </c>
      <c r="AG28" s="22" t="n">
        <v>50</v>
      </c>
      <c r="AH28" s="22" t="n">
        <v>50</v>
      </c>
      <c r="AI28" s="10">
        <f>SUM(AC28:AH28)</f>
        <v/>
      </c>
      <c r="AJ28" s="22">
        <f>SUM(AC28:AH28)+AI28</f>
        <v/>
      </c>
      <c r="AK28" s="11">
        <f>IF(N28&lt;&gt;0,(AB28-N28)/ABS(N28),0)</f>
        <v/>
      </c>
      <c r="AL28" s="11">
        <f>IF(AB28&lt;&gt;0,(AJ28-AB28)/ABS(AB28),0)</f>
        <v/>
      </c>
    </row>
    <row r="29" ht="13" customHeight="1">
      <c r="A29" s="21" t="inlineStr">
        <is>
          <t xml:space="preserve">    Nursery Consumables</t>
        </is>
      </c>
      <c r="N29" s="22">
        <f>SUM(B29:M29)</f>
        <v/>
      </c>
      <c r="O29" s="22" t="n">
        <v>145.71</v>
      </c>
      <c r="P29" s="22" t="n">
        <v>147.53</v>
      </c>
      <c r="Q29" s="22" t="n">
        <v>158.74</v>
      </c>
      <c r="R29" s="22" t="n">
        <v>182.53</v>
      </c>
      <c r="S29" s="22" t="n">
        <v>355.95</v>
      </c>
      <c r="T29" s="22" t="n">
        <v>192.73</v>
      </c>
      <c r="U29" s="22" t="n">
        <v>329.9</v>
      </c>
      <c r="V29" s="22" t="n">
        <v>135.9505056</v>
      </c>
      <c r="W29" s="22" t="n">
        <v>165.65952</v>
      </c>
      <c r="X29" s="22" t="n">
        <v>163.66688</v>
      </c>
      <c r="Y29" s="22" t="n">
        <v>176.1468800000001</v>
      </c>
      <c r="Z29" s="22" t="n">
        <v>185.1200000000001</v>
      </c>
      <c r="AA29" s="22">
        <f>SUM(O29:U29)</f>
        <v/>
      </c>
      <c r="AB29" s="22">
        <f>SUM(O29:Z29)</f>
        <v/>
      </c>
      <c r="AC29" s="22" t="n">
        <v>173.0088672000001</v>
      </c>
      <c r="AD29" s="22" t="n">
        <v>163.5082592000001</v>
      </c>
      <c r="AE29" s="22" t="n">
        <v>191.2587872000001</v>
      </c>
      <c r="AF29" s="22" t="n">
        <v>184.9035968000001</v>
      </c>
      <c r="AG29" s="22" t="n">
        <v>186.3225728000001</v>
      </c>
      <c r="AH29" s="22" t="n">
        <v>192.2396736000001</v>
      </c>
      <c r="AI29" s="10">
        <f>SUM(AC29:AH29)</f>
        <v/>
      </c>
      <c r="AJ29" s="22">
        <f>SUM(AC29:AH29)+AI29</f>
        <v/>
      </c>
      <c r="AK29" s="11">
        <f>IF(N29&lt;&gt;0,(AB29-N29)/ABS(N29),0)</f>
        <v/>
      </c>
      <c r="AL29" s="11">
        <f>IF(AB29&lt;&gt;0,(AJ29-AB29)/ABS(AB29),0)</f>
        <v/>
      </c>
    </row>
    <row r="30" ht="13" customHeight="1">
      <c r="A30" s="23" t="inlineStr">
        <is>
          <t>Total Childcare Costs</t>
        </is>
      </c>
      <c r="B30" s="24">
        <f>B24+B25+B26+B27+B28+B29</f>
        <v/>
      </c>
      <c r="C30" s="24">
        <f>C24+C25+C26+C27+C28+C29</f>
        <v/>
      </c>
      <c r="D30" s="24">
        <f>D24+D25+D26+D27+D28+D29</f>
        <v/>
      </c>
      <c r="E30" s="24">
        <f>E24+E25+E26+E27+E28+E29</f>
        <v/>
      </c>
      <c r="F30" s="24">
        <f>F24+F25+F26+F27+F28+F29</f>
        <v/>
      </c>
      <c r="G30" s="24">
        <f>G24+G25+G26+G27+G28+G29</f>
        <v/>
      </c>
      <c r="H30" s="24">
        <f>H24+H25+H26+H27+H28+H29</f>
        <v/>
      </c>
      <c r="I30" s="24">
        <f>I24+I25+I26+I27+I28+I29</f>
        <v/>
      </c>
      <c r="J30" s="24">
        <f>J24+J25+J26+J27+J28+J29</f>
        <v/>
      </c>
      <c r="K30" s="24">
        <f>K24+K25+K26+K27+K28+K29</f>
        <v/>
      </c>
      <c r="L30" s="24">
        <f>L24+L25+L26+L27+L28+L29</f>
        <v/>
      </c>
      <c r="M30" s="24">
        <f>M24+M25+M26+M27+M28+M29</f>
        <v/>
      </c>
      <c r="N30" s="24">
        <f>N24+N25+N26+N27+N28+N29</f>
        <v/>
      </c>
      <c r="O30" s="24">
        <f>O24+O25+O26+O27+O28+O29</f>
        <v/>
      </c>
      <c r="P30" s="24">
        <f>P24+P25+P26+P27+P28+P29</f>
        <v/>
      </c>
      <c r="Q30" s="24">
        <f>Q24+Q25+Q26+Q27+Q28+Q29</f>
        <v/>
      </c>
      <c r="R30" s="24">
        <f>R24+R25+R26+R27+R28+R29</f>
        <v/>
      </c>
      <c r="S30" s="24">
        <f>S24+S25+S26+S27+S28+S29</f>
        <v/>
      </c>
      <c r="T30" s="24">
        <f>T24+T25+T26+T27+T28+T29</f>
        <v/>
      </c>
      <c r="U30" s="24">
        <f>U24+U25+U26+U27+U28+U29</f>
        <v/>
      </c>
      <c r="V30" s="24">
        <f>V24+V25+V26+V27+V28+V29</f>
        <v/>
      </c>
      <c r="W30" s="24">
        <f>W24+W25+W26+W27+W28+W29</f>
        <v/>
      </c>
      <c r="X30" s="24">
        <f>X24+X25+X26+X27+X28+X29</f>
        <v/>
      </c>
      <c r="Y30" s="24">
        <f>Y24+Y25+Y26+Y27+Y28+Y29</f>
        <v/>
      </c>
      <c r="Z30" s="24">
        <f>Z24+Z25+Z26+Z27+Z28+Z29</f>
        <v/>
      </c>
      <c r="AA30" s="24">
        <f>AA24+AA25+AA26+AA27+AA28+AA29</f>
        <v/>
      </c>
      <c r="AB30" s="24">
        <f>AB24+AB25+AB26+AB27+AB28+AB29</f>
        <v/>
      </c>
      <c r="AC30" s="24">
        <f>AC24+AC25+AC26+AC27+AC28+AC29</f>
        <v/>
      </c>
      <c r="AD30" s="24">
        <f>AD24+AD25+AD26+AD27+AD28+AD29</f>
        <v/>
      </c>
      <c r="AE30" s="24">
        <f>AE24+AE25+AE26+AE27+AE28+AE29</f>
        <v/>
      </c>
      <c r="AF30" s="24">
        <f>AF24+AF25+AF26+AF27+AF28+AF29</f>
        <v/>
      </c>
      <c r="AG30" s="24">
        <f>AG24+AG25+AG26+AG27+AG28+AG29</f>
        <v/>
      </c>
      <c r="AH30" s="24">
        <f>AH24+AH25+AH26+AH27+AH28+AH29</f>
        <v/>
      </c>
      <c r="AI30" s="24">
        <f>AI24+AI25+AI26+AI27+AI28+AI29</f>
        <v/>
      </c>
      <c r="AJ30" s="24">
        <f>AJ24+AJ25+AJ26+AJ27+AJ28+AJ29</f>
        <v/>
      </c>
      <c r="AK30" s="11">
        <f>IF(N30&lt;&gt;0,(AB30-N30)/ABS(N30),0)</f>
        <v/>
      </c>
      <c r="AL30" s="11">
        <f>IF(AB30&lt;&gt;0,(AJ30-AB30)/ABS(AB30),0)</f>
        <v/>
      </c>
    </row>
    <row r="31" ht="5" customHeight="1"/>
    <row r="32" ht="13" customHeight="1">
      <c r="A32" s="14" t="inlineStr">
        <is>
          <t>Premises &amp; Admin</t>
        </is>
      </c>
    </row>
    <row r="33" ht="13" customHeight="1">
      <c r="A33" s="25" t="inlineStr">
        <is>
          <t xml:space="preserve">    Rent</t>
        </is>
      </c>
      <c r="B33" s="26" t="n">
        <v>458.33</v>
      </c>
      <c r="C33" s="26" t="n">
        <v>458.33</v>
      </c>
      <c r="D33" s="26" t="n">
        <v>458.33</v>
      </c>
      <c r="E33" s="26" t="n">
        <v>458.33</v>
      </c>
      <c r="F33" s="26" t="n">
        <v>458.33</v>
      </c>
      <c r="G33" s="26" t="n">
        <v>458.33</v>
      </c>
      <c r="H33" s="26" t="n">
        <v>458.34</v>
      </c>
      <c r="I33" s="26" t="n">
        <v>458.33</v>
      </c>
      <c r="J33" s="26" t="n">
        <v>458.33</v>
      </c>
      <c r="K33" s="26" t="n">
        <v>458.33</v>
      </c>
      <c r="L33" s="26" t="n">
        <v>458.33</v>
      </c>
      <c r="M33" s="26" t="n">
        <v>458.34</v>
      </c>
      <c r="N33" s="26">
        <f>SUM(B33:M33)</f>
        <v/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  <c r="AA33" s="26">
        <f>SUM(O33:U33)</f>
        <v/>
      </c>
      <c r="AB33" s="26">
        <f>SUM(O33:Z33)</f>
        <v/>
      </c>
      <c r="AC33" s="26" t="n">
        <v>0</v>
      </c>
      <c r="AD33" s="26" t="n">
        <v>0</v>
      </c>
      <c r="AE33" s="26" t="n">
        <v>0</v>
      </c>
      <c r="AF33" s="26" t="n">
        <v>0</v>
      </c>
      <c r="AG33" s="26" t="n">
        <v>0</v>
      </c>
      <c r="AH33" s="26" t="n">
        <v>0</v>
      </c>
      <c r="AI33" s="10">
        <f>SUM(AC33:AH33)</f>
        <v/>
      </c>
      <c r="AJ33" s="26">
        <f>SUM(AC33:AH33)+AI33</f>
        <v/>
      </c>
      <c r="AK33" s="11">
        <f>IF(N33&lt;&gt;0,(AB33-N33)/ABS(N33),0)</f>
        <v/>
      </c>
      <c r="AL33" s="11">
        <f>IF(AB33&lt;&gt;0,(AJ33-AB33)/ABS(AB33),0)</f>
        <v/>
      </c>
    </row>
    <row r="34" ht="13" customHeight="1">
      <c r="A34" s="25" t="inlineStr">
        <is>
          <t xml:space="preserve">    Business Rates</t>
        </is>
      </c>
      <c r="B34" s="26" t="n">
        <v>1912.83</v>
      </c>
      <c r="C34" s="26" t="n">
        <v>1912.83</v>
      </c>
      <c r="D34" s="26" t="n">
        <v>1912.83</v>
      </c>
      <c r="E34" s="26" t="n">
        <v>1912.83</v>
      </c>
      <c r="F34" s="26" t="n">
        <v>1912.82</v>
      </c>
      <c r="G34" s="26" t="n">
        <v>1912.83</v>
      </c>
      <c r="H34" s="26" t="n">
        <v>1912.83</v>
      </c>
      <c r="I34" s="26" t="n">
        <v>1912.83</v>
      </c>
      <c r="J34" s="26" t="n">
        <v>1912.83</v>
      </c>
      <c r="K34" s="26" t="n">
        <v>1912.83</v>
      </c>
      <c r="L34" s="26" t="n">
        <v>1912.83</v>
      </c>
      <c r="M34" s="26" t="n">
        <v>1912.83</v>
      </c>
      <c r="N34" s="26">
        <f>SUM(B34:M34)</f>
        <v/>
      </c>
      <c r="O34" s="26" t="n">
        <v>1912.85</v>
      </c>
      <c r="P34" s="26" t="n">
        <v>1912.84</v>
      </c>
      <c r="Q34" s="26" t="n">
        <v>1912.84</v>
      </c>
      <c r="R34" s="26" t="n">
        <v>2199.76</v>
      </c>
      <c r="S34" s="26" t="n">
        <v>2199.76</v>
      </c>
      <c r="T34" s="26" t="n">
        <v>2199.76</v>
      </c>
      <c r="U34" s="26" t="n">
        <v>2199.75</v>
      </c>
      <c r="AA34" s="26">
        <f>SUM(O34:U34)</f>
        <v/>
      </c>
      <c r="AB34" s="26">
        <f>SUM(O34:Z34)</f>
        <v/>
      </c>
      <c r="AC34" s="26" t="n">
        <v>2199.758333333333</v>
      </c>
      <c r="AD34" s="26" t="n">
        <v>2199.758333333333</v>
      </c>
      <c r="AE34" s="26" t="n">
        <v>2199.758333333333</v>
      </c>
      <c r="AF34" s="26" t="n">
        <v>2199.758333333333</v>
      </c>
      <c r="AG34" s="26" t="n">
        <v>2199.758333333333</v>
      </c>
      <c r="AH34" s="26" t="n">
        <v>2199.758333333333</v>
      </c>
      <c r="AI34" s="10">
        <f>SUM(AC34:AH34)</f>
        <v/>
      </c>
      <c r="AJ34" s="26">
        <f>SUM(AC34:AH34)+AI34</f>
        <v/>
      </c>
      <c r="AK34" s="11">
        <f>IF(N34&lt;&gt;0,(AB34-N34)/ABS(N34),0)</f>
        <v/>
      </c>
      <c r="AL34" s="11">
        <f>IF(AB34&lt;&gt;0,(AJ34-AB34)/ABS(AB34),0)</f>
        <v/>
      </c>
    </row>
    <row r="35" ht="13" customHeight="1">
      <c r="A35" s="25" t="inlineStr">
        <is>
          <t xml:space="preserve">    Utilities</t>
        </is>
      </c>
      <c r="B35" s="26" t="n">
        <v>2331.47</v>
      </c>
      <c r="C35" s="26" t="n">
        <v>1807.76</v>
      </c>
      <c r="D35" s="26" t="n">
        <v>1837.04</v>
      </c>
      <c r="E35" s="26" t="n">
        <v>5561.08</v>
      </c>
      <c r="F35" s="26" t="n">
        <v>2515.04</v>
      </c>
      <c r="G35" s="26" t="n">
        <v>809.6</v>
      </c>
      <c r="H35" s="26" t="n">
        <v>-627.6799999999998</v>
      </c>
      <c r="I35" s="26" t="n">
        <v>1420.78</v>
      </c>
      <c r="J35" s="26" t="n">
        <v>-916.72</v>
      </c>
      <c r="K35" s="26" t="n">
        <v>793.16</v>
      </c>
      <c r="L35" s="26" t="n">
        <v>1189.91</v>
      </c>
      <c r="M35" s="26" t="n">
        <v>1813.66</v>
      </c>
      <c r="N35" s="26">
        <f>SUM(B35:M35)</f>
        <v/>
      </c>
      <c r="O35" s="26" t="n">
        <v>2595.94</v>
      </c>
      <c r="P35" s="26" t="n">
        <v>2644.67</v>
      </c>
      <c r="Q35" s="26" t="n">
        <v>2314.76</v>
      </c>
      <c r="R35" s="26" t="n">
        <v>2077.75</v>
      </c>
      <c r="S35" s="26" t="n">
        <v>1585.76</v>
      </c>
      <c r="T35" s="26" t="n">
        <v>942.4300000000001</v>
      </c>
      <c r="U35" s="26" t="n">
        <v>874.91</v>
      </c>
      <c r="AA35" s="26">
        <f>SUM(O35:U35)</f>
        <v/>
      </c>
      <c r="AB35" s="26">
        <f>SUM(O35:Z35)</f>
        <v/>
      </c>
      <c r="AC35" s="26" t="n">
        <v>1655</v>
      </c>
      <c r="AD35" s="26" t="n">
        <v>1655</v>
      </c>
      <c r="AE35" s="26" t="n">
        <v>1655</v>
      </c>
      <c r="AF35" s="26" t="n">
        <v>1655</v>
      </c>
      <c r="AG35" s="26" t="n">
        <v>1655</v>
      </c>
      <c r="AH35" s="26" t="n">
        <v>1655</v>
      </c>
      <c r="AI35" s="10">
        <f>SUM(AC35:AH35)</f>
        <v/>
      </c>
      <c r="AJ35" s="26">
        <f>SUM(AC35:AH35)+AI35</f>
        <v/>
      </c>
      <c r="AK35" s="11">
        <f>IF(N35&lt;&gt;0,(AB35-N35)/ABS(N35),0)</f>
        <v/>
      </c>
      <c r="AL35" s="11">
        <f>IF(AB35&lt;&gt;0,(AJ35-AB35)/ABS(AB35),0)</f>
        <v/>
      </c>
    </row>
    <row r="36" ht="13" customHeight="1">
      <c r="A36" s="25" t="inlineStr">
        <is>
          <t xml:space="preserve">    Repairs &amp; Maintenance</t>
        </is>
      </c>
      <c r="B36" s="26" t="n">
        <v>469.71</v>
      </c>
      <c r="C36" s="26" t="n">
        <v>670.26</v>
      </c>
      <c r="D36" s="26" t="n">
        <v>951.96</v>
      </c>
      <c r="E36" s="26" t="n">
        <v>162</v>
      </c>
      <c r="F36" s="26" t="n">
        <v>0</v>
      </c>
      <c r="G36" s="26" t="n">
        <v>0</v>
      </c>
      <c r="H36" s="26" t="n">
        <v>28.16</v>
      </c>
      <c r="I36" s="26" t="n">
        <v>0</v>
      </c>
      <c r="J36" s="26" t="n">
        <v>11.4</v>
      </c>
      <c r="K36" s="26" t="n">
        <v>0</v>
      </c>
      <c r="L36" s="26" t="n">
        <v>0</v>
      </c>
      <c r="M36" s="26" t="n">
        <v>125.66</v>
      </c>
      <c r="N36" s="26">
        <f>SUM(B36:M36)</f>
        <v/>
      </c>
      <c r="O36" s="26" t="n">
        <v>55.1</v>
      </c>
      <c r="P36" s="26" t="n">
        <v>109.27</v>
      </c>
      <c r="Q36" s="26" t="n">
        <v>0</v>
      </c>
      <c r="R36" s="26" t="n">
        <v>0</v>
      </c>
      <c r="S36" s="26" t="n">
        <v>0</v>
      </c>
      <c r="T36" s="26" t="n">
        <v>7.77</v>
      </c>
      <c r="U36" s="26" t="n">
        <v>369.46</v>
      </c>
      <c r="AA36" s="26">
        <f>SUM(O36:U36)</f>
        <v/>
      </c>
      <c r="AB36" s="26">
        <f>SUM(O36:Z36)</f>
        <v/>
      </c>
      <c r="AC36" s="26" t="n">
        <v>0</v>
      </c>
      <c r="AD36" s="26" t="n">
        <v>0</v>
      </c>
      <c r="AE36" s="26" t="n">
        <v>0</v>
      </c>
      <c r="AF36" s="26" t="n">
        <v>0</v>
      </c>
      <c r="AG36" s="26" t="n">
        <v>0</v>
      </c>
      <c r="AH36" s="26" t="n">
        <v>0</v>
      </c>
      <c r="AI36" s="10">
        <f>SUM(AC36:AH36)</f>
        <v/>
      </c>
      <c r="AJ36" s="26">
        <f>SUM(AC36:AH36)+AI36</f>
        <v/>
      </c>
      <c r="AK36" s="11">
        <f>IF(N36&lt;&gt;0,(AB36-N36)/ABS(N36),0)</f>
        <v/>
      </c>
      <c r="AL36" s="11">
        <f>IF(AB36&lt;&gt;0,(AJ36-AB36)/ABS(AB36),0)</f>
        <v/>
      </c>
    </row>
    <row r="37" ht="13" customHeight="1">
      <c r="A37" s="25" t="inlineStr">
        <is>
          <t xml:space="preserve">    Cleaning</t>
        </is>
      </c>
      <c r="B37" s="26" t="n">
        <v>224.18</v>
      </c>
      <c r="C37" s="26" t="n">
        <v>146.78</v>
      </c>
      <c r="D37" s="26" t="n">
        <v>513.5799999999999</v>
      </c>
      <c r="E37" s="26" t="n">
        <v>443.7099999999999</v>
      </c>
      <c r="F37" s="26" t="n">
        <v>466.8200000000001</v>
      </c>
      <c r="G37" s="26" t="n">
        <v>228.26</v>
      </c>
      <c r="H37" s="26" t="n">
        <v>233.02</v>
      </c>
      <c r="I37" s="26" t="n">
        <v>200.11</v>
      </c>
      <c r="J37" s="26" t="n">
        <v>110.69</v>
      </c>
      <c r="K37" s="26" t="n">
        <v>311.4399999999999</v>
      </c>
      <c r="L37" s="26" t="n">
        <v>302.55</v>
      </c>
      <c r="M37" s="26" t="n">
        <v>77.78</v>
      </c>
      <c r="N37" s="26">
        <f>SUM(B37:M37)</f>
        <v/>
      </c>
      <c r="O37" s="26" t="n">
        <v>312.05</v>
      </c>
      <c r="P37" s="26" t="n">
        <v>159.81</v>
      </c>
      <c r="Q37" s="26" t="n">
        <v>90.3</v>
      </c>
      <c r="R37" s="26" t="n">
        <v>184.06</v>
      </c>
      <c r="S37" s="26" t="n">
        <v>182.25</v>
      </c>
      <c r="T37" s="26" t="n">
        <v>181</v>
      </c>
      <c r="U37" s="26" t="n">
        <v>479.6300000000001</v>
      </c>
      <c r="AA37" s="26">
        <f>SUM(O37:U37)</f>
        <v/>
      </c>
      <c r="AB37" s="26">
        <f>SUM(O37:Z37)</f>
        <v/>
      </c>
      <c r="AC37" s="26" t="n">
        <v>287</v>
      </c>
      <c r="AD37" s="26" t="n">
        <v>287</v>
      </c>
      <c r="AE37" s="26" t="n">
        <v>287</v>
      </c>
      <c r="AF37" s="26" t="n">
        <v>287</v>
      </c>
      <c r="AG37" s="26" t="n">
        <v>287</v>
      </c>
      <c r="AH37" s="26" t="n">
        <v>287</v>
      </c>
      <c r="AI37" s="10">
        <f>SUM(AC37:AH37)</f>
        <v/>
      </c>
      <c r="AJ37" s="26">
        <f>SUM(AC37:AH37)+AI37</f>
        <v/>
      </c>
      <c r="AK37" s="11">
        <f>IF(N37&lt;&gt;0,(AB37-N37)/ABS(N37),0)</f>
        <v/>
      </c>
      <c r="AL37" s="11">
        <f>IF(AB37&lt;&gt;0,(AJ37-AB37)/ABS(AB37),0)</f>
        <v/>
      </c>
    </row>
    <row r="38" ht="13" customHeight="1">
      <c r="A38" s="25" t="inlineStr">
        <is>
          <t xml:space="preserve">    Waste Disposal</t>
        </is>
      </c>
      <c r="B38" s="26" t="n">
        <v>305.84</v>
      </c>
      <c r="C38" s="26" t="n">
        <v>267.48</v>
      </c>
      <c r="D38" s="26" t="n">
        <v>329.28</v>
      </c>
      <c r="E38" s="26" t="n">
        <v>272.3</v>
      </c>
      <c r="F38" s="26" t="n">
        <v>269.13</v>
      </c>
      <c r="G38" s="26" t="n">
        <v>322.55</v>
      </c>
      <c r="H38" s="26" t="n">
        <v>346.55</v>
      </c>
      <c r="I38" s="26" t="n">
        <v>440.11</v>
      </c>
      <c r="J38" s="26" t="n">
        <v>295.53</v>
      </c>
      <c r="K38" s="26" t="n">
        <v>269.13</v>
      </c>
      <c r="L38" s="26" t="n">
        <v>301.56</v>
      </c>
      <c r="M38" s="26" t="n">
        <v>342</v>
      </c>
      <c r="N38" s="26">
        <f>SUM(B38:M38)</f>
        <v/>
      </c>
      <c r="O38" s="26" t="n">
        <v>288.59</v>
      </c>
      <c r="P38" s="26" t="n">
        <v>288.59</v>
      </c>
      <c r="Q38" s="26" t="n">
        <v>299.99</v>
      </c>
      <c r="R38" s="26" t="n">
        <v>342.61</v>
      </c>
      <c r="S38" s="26" t="n">
        <v>509.74</v>
      </c>
      <c r="T38" s="26" t="n">
        <v>529.5</v>
      </c>
      <c r="U38" s="26" t="n">
        <v>567.21</v>
      </c>
      <c r="AA38" s="26">
        <f>SUM(O38:U38)</f>
        <v/>
      </c>
      <c r="AB38" s="26">
        <f>SUM(O38:Z38)</f>
        <v/>
      </c>
      <c r="AC38" s="26" t="n">
        <v>313</v>
      </c>
      <c r="AD38" s="26" t="n">
        <v>313</v>
      </c>
      <c r="AE38" s="26" t="n">
        <v>313</v>
      </c>
      <c r="AF38" s="26" t="n">
        <v>313</v>
      </c>
      <c r="AG38" s="26" t="n">
        <v>313</v>
      </c>
      <c r="AH38" s="26" t="n">
        <v>313</v>
      </c>
      <c r="AI38" s="10">
        <f>SUM(AC38:AH38)</f>
        <v/>
      </c>
      <c r="AJ38" s="26">
        <f>SUM(AC38:AH38)+AI38</f>
        <v/>
      </c>
      <c r="AK38" s="11">
        <f>IF(N38&lt;&gt;0,(AB38-N38)/ABS(N38),0)</f>
        <v/>
      </c>
      <c r="AL38" s="11">
        <f>IF(AB38&lt;&gt;0,(AJ38-AB38)/ABS(AB38),0)</f>
        <v/>
      </c>
    </row>
    <row r="39" ht="13" customHeight="1">
      <c r="A39" s="25" t="inlineStr">
        <is>
          <t xml:space="preserve">    Postage/Printing/Stationery</t>
        </is>
      </c>
      <c r="B39" s="26" t="n">
        <v>52.2</v>
      </c>
      <c r="C39" s="26" t="n">
        <v>53.91</v>
      </c>
      <c r="D39" s="26" t="n">
        <v>34.9</v>
      </c>
      <c r="E39" s="26" t="n">
        <v>57.92</v>
      </c>
      <c r="F39" s="26" t="n">
        <v>15.71</v>
      </c>
      <c r="G39" s="26" t="n">
        <v>40.2</v>
      </c>
      <c r="H39" s="26" t="n">
        <v>21.38</v>
      </c>
      <c r="I39" s="26" t="n">
        <v>95.39999999999999</v>
      </c>
      <c r="J39" s="26" t="n">
        <v>21.18</v>
      </c>
      <c r="K39" s="26" t="n">
        <v>65.27</v>
      </c>
      <c r="L39" s="26" t="n">
        <v>30.78</v>
      </c>
      <c r="M39" s="26" t="n">
        <v>23.14</v>
      </c>
      <c r="N39" s="26">
        <f>SUM(B39:M39)</f>
        <v/>
      </c>
      <c r="O39" s="26" t="n">
        <v>74.81999999999999</v>
      </c>
      <c r="P39" s="26" t="n">
        <v>34.98</v>
      </c>
      <c r="Q39" s="26" t="n">
        <v>40.59</v>
      </c>
      <c r="R39" s="26" t="n">
        <v>23.32</v>
      </c>
      <c r="S39" s="26" t="n">
        <v>16.91</v>
      </c>
      <c r="T39" s="26" t="n">
        <v>47.48999999999999</v>
      </c>
      <c r="U39" s="26" t="n">
        <v>33.83</v>
      </c>
      <c r="AA39" s="26">
        <f>SUM(O39:U39)</f>
        <v/>
      </c>
      <c r="AB39" s="26">
        <f>SUM(O39:Z39)</f>
        <v/>
      </c>
      <c r="AC39" s="26" t="n">
        <v>0</v>
      </c>
      <c r="AD39" s="26" t="n">
        <v>0</v>
      </c>
      <c r="AE39" s="26" t="n">
        <v>0</v>
      </c>
      <c r="AF39" s="26" t="n">
        <v>0</v>
      </c>
      <c r="AG39" s="26" t="n">
        <v>0</v>
      </c>
      <c r="AH39" s="26" t="n">
        <v>0</v>
      </c>
      <c r="AI39" s="10">
        <f>SUM(AC39:AH39)</f>
        <v/>
      </c>
      <c r="AJ39" s="26">
        <f>SUM(AC39:AH39)+AI39</f>
        <v/>
      </c>
      <c r="AK39" s="11">
        <f>IF(N39&lt;&gt;0,(AB39-N39)/ABS(N39),0)</f>
        <v/>
      </c>
      <c r="AL39" s="11">
        <f>IF(AB39&lt;&gt;0,(AJ39-AB39)/ABS(AB39),0)</f>
        <v/>
      </c>
    </row>
    <row r="40" ht="13" customHeight="1">
      <c r="A40" s="25" t="inlineStr">
        <is>
          <t xml:space="preserve">    Telephone</t>
        </is>
      </c>
      <c r="B40" s="26" t="n">
        <v>0</v>
      </c>
      <c r="C40" s="26" t="n">
        <v>0</v>
      </c>
      <c r="D40" s="26" t="n">
        <v>0</v>
      </c>
      <c r="E40" s="26" t="n">
        <v>0</v>
      </c>
      <c r="F40" s="26" t="n">
        <v>0</v>
      </c>
      <c r="G40" s="26" t="n">
        <v>0</v>
      </c>
      <c r="H40" s="26" t="n">
        <v>0</v>
      </c>
      <c r="I40" s="26" t="n">
        <v>0</v>
      </c>
      <c r="J40" s="26" t="n">
        <v>0</v>
      </c>
      <c r="K40" s="26" t="n">
        <v>0</v>
      </c>
      <c r="L40" s="26" t="n">
        <v>0</v>
      </c>
      <c r="M40" s="26" t="n">
        <v>0</v>
      </c>
      <c r="N40" s="26">
        <f>SUM(B40:M40)</f>
        <v/>
      </c>
      <c r="O40" s="26" t="n">
        <v>0</v>
      </c>
      <c r="P40" s="26" t="n">
        <v>0</v>
      </c>
      <c r="Q40" s="26" t="n">
        <v>5.95</v>
      </c>
      <c r="R40" s="26" t="n">
        <v>0</v>
      </c>
      <c r="S40" s="26" t="n">
        <v>176</v>
      </c>
      <c r="T40" s="26" t="n">
        <v>0</v>
      </c>
      <c r="U40" s="26" t="n">
        <v>18</v>
      </c>
      <c r="AA40" s="26">
        <f>SUM(O40:U40)</f>
        <v/>
      </c>
      <c r="AB40" s="26">
        <f>SUM(O40:Z40)</f>
        <v/>
      </c>
      <c r="AC40" s="26" t="n">
        <v>0</v>
      </c>
      <c r="AD40" s="26" t="n">
        <v>0</v>
      </c>
      <c r="AE40" s="26" t="n">
        <v>0</v>
      </c>
      <c r="AF40" s="26" t="n">
        <v>0</v>
      </c>
      <c r="AG40" s="26" t="n">
        <v>0</v>
      </c>
      <c r="AH40" s="26" t="n">
        <v>0</v>
      </c>
      <c r="AI40" s="10">
        <f>SUM(AC40:AH40)</f>
        <v/>
      </c>
      <c r="AJ40" s="26">
        <f>SUM(AC40:AH40)+AI40</f>
        <v/>
      </c>
      <c r="AK40" s="11">
        <f>IF(N40&lt;&gt;0,(AB40-N40)/ABS(N40),0)</f>
        <v/>
      </c>
      <c r="AL40" s="11">
        <f>IF(AB40&lt;&gt;0,(AJ40-AB40)/ABS(AB40),0)</f>
        <v/>
      </c>
    </row>
    <row r="41" ht="13" customHeight="1">
      <c r="A41" s="25" t="inlineStr">
        <is>
          <t xml:space="preserve">    Marketing</t>
        </is>
      </c>
      <c r="B41" s="26" t="n">
        <v>0</v>
      </c>
      <c r="C41" s="26" t="n">
        <v>0</v>
      </c>
      <c r="D41" s="26" t="n">
        <v>0</v>
      </c>
      <c r="E41" s="26" t="n">
        <v>0</v>
      </c>
      <c r="F41" s="26" t="n">
        <v>0</v>
      </c>
      <c r="G41" s="26" t="n">
        <v>0</v>
      </c>
      <c r="H41" s="26" t="n">
        <v>0</v>
      </c>
      <c r="I41" s="26" t="n">
        <v>0</v>
      </c>
      <c r="J41" s="26" t="n">
        <v>0</v>
      </c>
      <c r="K41" s="26" t="n">
        <v>0</v>
      </c>
      <c r="L41" s="26" t="n">
        <v>0</v>
      </c>
      <c r="M41" s="26" t="n">
        <v>0</v>
      </c>
      <c r="N41" s="26">
        <f>SUM(B41:M41)</f>
        <v/>
      </c>
      <c r="O41" s="26" t="n">
        <v>0</v>
      </c>
      <c r="P41" s="26" t="n">
        <v>0</v>
      </c>
      <c r="Q41" s="26" t="n">
        <v>0</v>
      </c>
      <c r="R41" s="26" t="n">
        <v>0</v>
      </c>
      <c r="S41" s="26" t="n">
        <v>0</v>
      </c>
      <c r="T41" s="26" t="n">
        <v>0</v>
      </c>
      <c r="U41" s="26" t="n">
        <v>0</v>
      </c>
      <c r="V41" s="26" t="n">
        <v>0</v>
      </c>
      <c r="W41" s="26" t="n">
        <v>0</v>
      </c>
      <c r="X41" s="26" t="n">
        <v>0</v>
      </c>
      <c r="Y41" s="26" t="n">
        <v>0</v>
      </c>
      <c r="Z41" s="26" t="n">
        <v>0</v>
      </c>
      <c r="AA41" s="26">
        <f>SUM(O41:U41)</f>
        <v/>
      </c>
      <c r="AB41" s="26">
        <f>SUM(O41:Z41)</f>
        <v/>
      </c>
      <c r="AC41" s="26" t="n">
        <v>100</v>
      </c>
      <c r="AD41" s="26" t="n">
        <v>100</v>
      </c>
      <c r="AE41" s="26" t="n">
        <v>100</v>
      </c>
      <c r="AF41" s="26" t="n">
        <v>100</v>
      </c>
      <c r="AG41" s="26" t="n">
        <v>100</v>
      </c>
      <c r="AH41" s="26" t="n">
        <v>100</v>
      </c>
      <c r="AI41" s="10">
        <f>SUM(AC41:AH41)</f>
        <v/>
      </c>
      <c r="AJ41" s="26">
        <f>SUM(AC41:AH41)+AI41</f>
        <v/>
      </c>
      <c r="AK41" s="11">
        <f>IF(N41&lt;&gt;0,(AB41-N41)/ABS(N41),0)</f>
        <v/>
      </c>
      <c r="AL41" s="11">
        <f>IF(AB41&lt;&gt;0,(AJ41-AB41)/ABS(AB41),0)</f>
        <v/>
      </c>
    </row>
    <row r="42" ht="13" customHeight="1">
      <c r="A42" s="27" t="inlineStr">
        <is>
          <t>Total Premises &amp; Admin</t>
        </is>
      </c>
      <c r="B42" s="28">
        <f>B33+B34+B35+B36+B37+B38+B39+B40+B41</f>
        <v/>
      </c>
      <c r="C42" s="28">
        <f>C33+C34+C35+C36+C37+C38+C39+C40+C41</f>
        <v/>
      </c>
      <c r="D42" s="28">
        <f>D33+D34+D35+D36+D37+D38+D39+D40+D41</f>
        <v/>
      </c>
      <c r="E42" s="28">
        <f>E33+E34+E35+E36+E37+E38+E39+E40+E41</f>
        <v/>
      </c>
      <c r="F42" s="28">
        <f>F33+F34+F35+F36+F37+F38+F39+F40+F41</f>
        <v/>
      </c>
      <c r="G42" s="28">
        <f>G33+G34+G35+G36+G37+G38+G39+G40+G41</f>
        <v/>
      </c>
      <c r="H42" s="28">
        <f>H33+H34+H35+H36+H37+H38+H39+H40+H41</f>
        <v/>
      </c>
      <c r="I42" s="28">
        <f>I33+I34+I35+I36+I37+I38+I39+I40+I41</f>
        <v/>
      </c>
      <c r="J42" s="28">
        <f>J33+J34+J35+J36+J37+J38+J39+J40+J41</f>
        <v/>
      </c>
      <c r="K42" s="28">
        <f>K33+K34+K35+K36+K37+K38+K39+K40+K41</f>
        <v/>
      </c>
      <c r="L42" s="28">
        <f>L33+L34+L35+L36+L37+L38+L39+L40+L41</f>
        <v/>
      </c>
      <c r="M42" s="28">
        <f>M33+M34+M35+M36+M37+M38+M39+M40+M41</f>
        <v/>
      </c>
      <c r="N42" s="28">
        <f>N33+N34+N35+N36+N37+N38+N39+N40+N41</f>
        <v/>
      </c>
      <c r="O42" s="28">
        <f>O33+O34+O35+O36+O37+O38+O39+O40+O41</f>
        <v/>
      </c>
      <c r="P42" s="28">
        <f>P33+P34+P35+P36+P37+P38+P39+P40+P41</f>
        <v/>
      </c>
      <c r="Q42" s="28">
        <f>Q33+Q34+Q35+Q36+Q37+Q38+Q39+Q40+Q41</f>
        <v/>
      </c>
      <c r="R42" s="28">
        <f>R33+R34+R35+R36+R37+R38+R39+R40+R41</f>
        <v/>
      </c>
      <c r="S42" s="28">
        <f>S33+S34+S35+S36+S37+S38+S39+S40+S41</f>
        <v/>
      </c>
      <c r="T42" s="28">
        <f>T33+T34+T35+T36+T37+T38+T39+T40+T41</f>
        <v/>
      </c>
      <c r="U42" s="28">
        <f>U33+U34+U35+U36+U37+U38+U39+U40+U41</f>
        <v/>
      </c>
      <c r="V42" s="28">
        <f>V33+V34+V35+V36+V37+V38+V39+V40+V41</f>
        <v/>
      </c>
      <c r="W42" s="28">
        <f>W33+W34+W35+W36+W37+W38+W39+W40+W41</f>
        <v/>
      </c>
      <c r="X42" s="28">
        <f>X33+X34+X35+X36+X37+X38+X39+X40+X41</f>
        <v/>
      </c>
      <c r="Y42" s="28">
        <f>Y33+Y34+Y35+Y36+Y37+Y38+Y39+Y40+Y41</f>
        <v/>
      </c>
      <c r="Z42" s="28">
        <f>Z33+Z34+Z35+Z36+Z37+Z38+Z39+Z40+Z41</f>
        <v/>
      </c>
      <c r="AA42" s="28">
        <f>AA33+AA34+AA35+AA36+AA37+AA38+AA39+AA40+AA41</f>
        <v/>
      </c>
      <c r="AB42" s="28">
        <f>AB33+AB34+AB35+AB36+AB37+AB38+AB39+AB40+AB41</f>
        <v/>
      </c>
      <c r="AC42" s="28">
        <f>AC33+AC34+AC35+AC36+AC37+AC38+AC39+AC40+AC41</f>
        <v/>
      </c>
      <c r="AD42" s="28">
        <f>AD33+AD34+AD35+AD36+AD37+AD38+AD39+AD40+AD41</f>
        <v/>
      </c>
      <c r="AE42" s="28">
        <f>AE33+AE34+AE35+AE36+AE37+AE38+AE39+AE40+AE41</f>
        <v/>
      </c>
      <c r="AF42" s="28">
        <f>AF33+AF34+AF35+AF36+AF37+AF38+AF39+AF40+AF41</f>
        <v/>
      </c>
      <c r="AG42" s="28">
        <f>AG33+AG34+AG35+AG36+AG37+AG38+AG39+AG40+AG41</f>
        <v/>
      </c>
      <c r="AH42" s="28">
        <f>AH33+AH34+AH35+AH36+AH37+AH38+AH39+AH40+AH41</f>
        <v/>
      </c>
      <c r="AI42" s="28">
        <f>AI33+AI34+AI35+AI36+AI37+AI38+AI39+AI40+AI41</f>
        <v/>
      </c>
      <c r="AJ42" s="28">
        <f>AJ33+AJ34+AJ35+AJ36+AJ37+AJ38+AJ39+AJ40+AJ41</f>
        <v/>
      </c>
      <c r="AK42" s="11">
        <f>IF(N42&lt;&gt;0,(AB42-N42)/ABS(N42),0)</f>
        <v/>
      </c>
      <c r="AL42" s="11">
        <f>IF(AB42&lt;&gt;0,(AJ42-AB42)/ABS(AB42),0)</f>
        <v/>
      </c>
    </row>
    <row r="43" ht="5" customHeight="1"/>
    <row r="44" ht="13" customHeight="1">
      <c r="A44" s="29" t="inlineStr">
        <is>
          <t>Total Direct Costs</t>
        </is>
      </c>
      <c r="AK44" s="11">
        <f>IF(N44&lt;&gt;0,(AB44-N44)/ABS(N44),0)</f>
        <v/>
      </c>
      <c r="AL44" s="11">
        <f>IF(AB44&lt;&gt;0,(AJ44-AB44)/ABS(AB44),0)</f>
        <v/>
      </c>
    </row>
    <row r="45" ht="5" customHeight="1"/>
    <row r="46" ht="15" customHeight="1">
      <c r="A46" s="30" t="inlineStr">
        <is>
          <t>CONTRIBUTION</t>
        </is>
      </c>
      <c r="B46" s="31">
        <f>B7-B44</f>
        <v/>
      </c>
      <c r="C46" s="31">
        <f>C7-C44</f>
        <v/>
      </c>
      <c r="D46" s="31">
        <f>D7-D44</f>
        <v/>
      </c>
      <c r="E46" s="31">
        <f>E7-E44</f>
        <v/>
      </c>
      <c r="F46" s="31">
        <f>F7-F44</f>
        <v/>
      </c>
      <c r="G46" s="31">
        <f>G7-G44</f>
        <v/>
      </c>
      <c r="H46" s="31">
        <f>H7-H44</f>
        <v/>
      </c>
      <c r="I46" s="31">
        <f>I7-I44</f>
        <v/>
      </c>
      <c r="J46" s="31">
        <f>J7-J44</f>
        <v/>
      </c>
      <c r="K46" s="31">
        <f>K7-K44</f>
        <v/>
      </c>
      <c r="L46" s="31">
        <f>L7-L44</f>
        <v/>
      </c>
      <c r="M46" s="31">
        <f>M7-M44</f>
        <v/>
      </c>
      <c r="N46" s="31">
        <f>N7-N44</f>
        <v/>
      </c>
      <c r="O46" s="31">
        <f>O7-O44</f>
        <v/>
      </c>
      <c r="P46" s="31">
        <f>P7-P44</f>
        <v/>
      </c>
      <c r="Q46" s="31">
        <f>Q7-Q44</f>
        <v/>
      </c>
      <c r="R46" s="31">
        <f>R7-R44</f>
        <v/>
      </c>
      <c r="S46" s="31">
        <f>S7-S44</f>
        <v/>
      </c>
      <c r="T46" s="31">
        <f>T7-T44</f>
        <v/>
      </c>
      <c r="U46" s="31">
        <f>U7-U44</f>
        <v/>
      </c>
      <c r="V46" s="31">
        <f>V7-V44</f>
        <v/>
      </c>
      <c r="W46" s="31">
        <f>W7-W44</f>
        <v/>
      </c>
      <c r="X46" s="31">
        <f>X7-X44</f>
        <v/>
      </c>
      <c r="Y46" s="31">
        <f>Y7-Y44</f>
        <v/>
      </c>
      <c r="Z46" s="31">
        <f>Z7-Z44</f>
        <v/>
      </c>
      <c r="AA46" s="31">
        <f>AA7-AA44</f>
        <v/>
      </c>
      <c r="AB46" s="31">
        <f>AB7-AB44</f>
        <v/>
      </c>
      <c r="AC46" s="31">
        <f>AC7-AC44</f>
        <v/>
      </c>
      <c r="AD46" s="31">
        <f>AD7-AD44</f>
        <v/>
      </c>
      <c r="AE46" s="31">
        <f>AE7-AE44</f>
        <v/>
      </c>
      <c r="AF46" s="31">
        <f>AF7-AF44</f>
        <v/>
      </c>
      <c r="AG46" s="31">
        <f>AG7-AG44</f>
        <v/>
      </c>
      <c r="AH46" s="31">
        <f>AH7-AH44</f>
        <v/>
      </c>
      <c r="AI46" s="31">
        <f>AI7-AI44</f>
        <v/>
      </c>
      <c r="AJ46" s="31">
        <f>AJ7-AJ44</f>
        <v/>
      </c>
      <c r="AK46" s="11">
        <f>IF(N46&lt;&gt;0,(AB46-N46)/ABS(N46),0)</f>
        <v/>
      </c>
      <c r="AL46" s="11">
        <f>IF(AB46&lt;&gt;0,(AJ46-AB46)/ABS(AB46),0)</f>
        <v/>
      </c>
    </row>
  </sheetData>
  <mergeCells count="8">
    <mergeCell ref="A10:AL10"/>
    <mergeCell ref="B1:N1"/>
    <mergeCell ref="A23:AL23"/>
    <mergeCell ref="A32:AL32"/>
    <mergeCell ref="AC1:AJ1"/>
    <mergeCell ref="A9:AL9"/>
    <mergeCell ref="A3:AL3"/>
    <mergeCell ref="O1:AB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4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9.5" customWidth="1" min="27" max="27"/>
    <col width="9.5" customWidth="1" min="28" max="28"/>
    <col width="9.5" customWidth="1" min="29" max="29"/>
    <col width="9.5" customWidth="1" min="30" max="30"/>
    <col width="9.5" customWidth="1" min="31" max="31"/>
    <col width="9.5" customWidth="1" min="32" max="32"/>
    <col width="9.5" customWidth="1" min="33" max="33"/>
    <col width="9.5" customWidth="1" min="34" max="34"/>
    <col width="9.5" customWidth="1" min="35" max="35"/>
    <col width="11" customWidth="1" min="36" max="36"/>
    <col width="10" customWidth="1" min="37" max="37"/>
    <col width="10" customWidth="1" min="38" max="38"/>
  </cols>
  <sheetData>
    <row r="1" ht="18" customHeight="1">
      <c r="A1" s="1" t="inlineStr">
        <is>
          <t>Finchampstead</t>
        </is>
      </c>
      <c r="B1" s="2" t="inlineStr">
        <is>
          <t>Actuals 2025</t>
        </is>
      </c>
      <c r="O1" s="2" t="inlineStr">
        <is>
          <t>2026 Actual / Forecast</t>
        </is>
      </c>
      <c r="AC1" s="2" t="inlineStr">
        <is>
          <t>2027 Forecast</t>
        </is>
      </c>
      <c r="AK1" s="3" t="inlineStr">
        <is>
          <t>YoY</t>
        </is>
      </c>
      <c r="AL1" s="3" t="inlineStr">
        <is>
          <t>YoY</t>
        </is>
      </c>
    </row>
    <row r="2" ht="22" customHeight="1">
      <c r="B2" s="4" t="inlineStr">
        <is>
          <t>Jan</t>
        </is>
      </c>
      <c r="C2" s="4" t="inlineStr">
        <is>
          <t>Feb</t>
        </is>
      </c>
      <c r="D2" s="4" t="inlineStr">
        <is>
          <t>Mar</t>
        </is>
      </c>
      <c r="E2" s="4" t="inlineStr">
        <is>
          <t>Apr</t>
        </is>
      </c>
      <c r="F2" s="4" t="inlineStr">
        <is>
          <t>May</t>
        </is>
      </c>
      <c r="G2" s="4" t="inlineStr">
        <is>
          <t>Jun</t>
        </is>
      </c>
      <c r="H2" s="4" t="inlineStr">
        <is>
          <t>Jul</t>
        </is>
      </c>
      <c r="I2" s="4" t="inlineStr">
        <is>
          <t>Aug</t>
        </is>
      </c>
      <c r="J2" s="4" t="inlineStr">
        <is>
          <t>Sep</t>
        </is>
      </c>
      <c r="K2" s="4" t="inlineStr">
        <is>
          <t>Oct</t>
        </is>
      </c>
      <c r="L2" s="4" t="inlineStr">
        <is>
          <t>Nov</t>
        </is>
      </c>
      <c r="M2" s="4" t="inlineStr">
        <is>
          <t>Dec</t>
        </is>
      </c>
      <c r="N2" s="5" t="inlineStr">
        <is>
          <t>FY2025
Total</t>
        </is>
      </c>
      <c r="O2" s="4" t="inlineStr">
        <is>
          <t>Jan</t>
        </is>
      </c>
      <c r="P2" s="4" t="inlineStr">
        <is>
          <t>Feb</t>
        </is>
      </c>
      <c r="Q2" s="4" t="inlineStr">
        <is>
          <t>Mar</t>
        </is>
      </c>
      <c r="R2" s="4" t="inlineStr">
        <is>
          <t>Apr</t>
        </is>
      </c>
      <c r="S2" s="4" t="inlineStr">
        <is>
          <t>May</t>
        </is>
      </c>
      <c r="T2" s="4" t="inlineStr">
        <is>
          <t>Jun</t>
        </is>
      </c>
      <c r="U2" s="4" t="inlineStr">
        <is>
          <t>Jul</t>
        </is>
      </c>
      <c r="V2" s="4" t="inlineStr">
        <is>
          <t>Aug</t>
        </is>
      </c>
      <c r="W2" s="4" t="inlineStr">
        <is>
          <t>Sep</t>
        </is>
      </c>
      <c r="X2" s="4" t="inlineStr">
        <is>
          <t>Oct</t>
        </is>
      </c>
      <c r="Y2" s="4" t="inlineStr">
        <is>
          <t>Nov</t>
        </is>
      </c>
      <c r="Z2" s="4" t="inlineStr">
        <is>
          <t>Dec</t>
        </is>
      </c>
      <c r="AA2" s="4" t="inlineStr">
        <is>
          <t>YTD</t>
        </is>
      </c>
      <c r="AB2" s="5" t="inlineStr">
        <is>
          <t>FY2026
Outlook</t>
        </is>
      </c>
      <c r="AC2" s="4" t="inlineStr">
        <is>
          <t>Jan</t>
        </is>
      </c>
      <c r="AD2" s="4" t="inlineStr">
        <is>
          <t>Feb</t>
        </is>
      </c>
      <c r="AE2" s="4" t="inlineStr">
        <is>
          <t>Mar</t>
        </is>
      </c>
      <c r="AF2" s="4" t="inlineStr">
        <is>
          <t>Apr</t>
        </is>
      </c>
      <c r="AG2" s="4" t="inlineStr">
        <is>
          <t>May</t>
        </is>
      </c>
      <c r="AH2" s="4" t="inlineStr">
        <is>
          <t>Jun</t>
        </is>
      </c>
      <c r="AI2" s="6" t="inlineStr">
        <is>
          <t>Jul-Dec
Proj.</t>
        </is>
      </c>
      <c r="AJ2" s="4" t="inlineStr">
        <is>
          <t>FY2027</t>
        </is>
      </c>
      <c r="AK2" s="6" t="inlineStr">
        <is>
          <t>25→26
%</t>
        </is>
      </c>
      <c r="AL2" s="6" t="inlineStr">
        <is>
          <t>26→27
%</t>
        </is>
      </c>
    </row>
    <row r="3" ht="15" customHeight="1">
      <c r="A3" s="7" t="inlineStr">
        <is>
          <t>INCOME</t>
        </is>
      </c>
    </row>
    <row r="4" ht="13" customHeight="1">
      <c r="A4" s="8" t="inlineStr">
        <is>
          <t xml:space="preserve">    Fee Income Regular</t>
        </is>
      </c>
      <c r="B4" s="9" t="n">
        <v>13547.64</v>
      </c>
      <c r="C4" s="9" t="n">
        <v>13678.94</v>
      </c>
      <c r="D4" s="9" t="n">
        <v>12493.24</v>
      </c>
      <c r="E4" s="9" t="n">
        <v>13668.68</v>
      </c>
      <c r="F4" s="9" t="n">
        <v>12240.43</v>
      </c>
      <c r="G4" s="9" t="n">
        <v>11294.85</v>
      </c>
      <c r="H4" s="9" t="n">
        <v>13915.66</v>
      </c>
      <c r="I4" s="9" t="n">
        <v>9820.360000000001</v>
      </c>
      <c r="J4" s="9" t="n">
        <v>6134.57</v>
      </c>
      <c r="K4" s="9" t="n">
        <v>6959.25</v>
      </c>
      <c r="L4" s="9" t="n">
        <v>4849.44</v>
      </c>
      <c r="M4" s="9" t="n">
        <v>5437.48</v>
      </c>
      <c r="N4" s="9">
        <f>SUM(B4:M4)</f>
        <v/>
      </c>
      <c r="O4" s="9" t="n">
        <v>3354.85</v>
      </c>
      <c r="P4" s="9" t="n">
        <v>3323.69</v>
      </c>
      <c r="Q4" s="9" t="n">
        <v>6666.78</v>
      </c>
      <c r="R4" s="9" t="n">
        <v>5593.219999999999</v>
      </c>
      <c r="S4" s="9" t="n">
        <v>5717.570000000001</v>
      </c>
      <c r="T4" s="9" t="n">
        <v>5699.46</v>
      </c>
      <c r="U4" s="9" t="n">
        <v>8315.869999999999</v>
      </c>
      <c r="AA4" s="9">
        <f>SUM(O4:U4)</f>
        <v/>
      </c>
      <c r="AB4" s="9">
        <f>SUM(O4:Z4)</f>
        <v/>
      </c>
      <c r="AC4" s="9" t="n">
        <v>18243.24</v>
      </c>
      <c r="AD4" s="9" t="n">
        <v>15179.01</v>
      </c>
      <c r="AE4" s="9" t="n">
        <v>21987.99</v>
      </c>
      <c r="AF4" s="9" t="n">
        <v>22298.56</v>
      </c>
      <c r="AG4" s="9" t="n">
        <v>14630.48</v>
      </c>
      <c r="AH4" s="9" t="n">
        <v>16601.21</v>
      </c>
      <c r="AI4" s="10">
        <f>SUM(AC4:AH4)</f>
        <v/>
      </c>
      <c r="AJ4" s="9">
        <f>SUM(AC4:AH4)+AI4</f>
        <v/>
      </c>
      <c r="AK4" s="11">
        <f>IF(N4&lt;&gt;0,(AB4-N4)/ABS(N4),0)</f>
        <v/>
      </c>
      <c r="AL4" s="11">
        <f>IF(AB4&lt;&gt;0,(AJ4-AB4)/ABS(AB4),0)</f>
        <v/>
      </c>
    </row>
    <row r="5" ht="13" customHeight="1">
      <c r="A5" s="8" t="inlineStr">
        <is>
          <t xml:space="preserve">    EEEF Embedded</t>
        </is>
      </c>
      <c r="B5" s="9" t="n">
        <v>6570.19</v>
      </c>
      <c r="C5" s="9" t="n">
        <v>6570.19</v>
      </c>
      <c r="D5" s="9" t="n">
        <v>14078.26</v>
      </c>
      <c r="E5" s="9" t="n">
        <v>6162.6</v>
      </c>
      <c r="F5" s="9" t="n">
        <v>6162.6</v>
      </c>
      <c r="G5" s="9" t="n">
        <v>6162.6</v>
      </c>
      <c r="H5" s="9" t="n">
        <v>10121.39</v>
      </c>
      <c r="I5" s="9" t="n">
        <v>0</v>
      </c>
      <c r="J5" s="9" t="n">
        <v>7065.1</v>
      </c>
      <c r="K5" s="9" t="n">
        <v>7065.1</v>
      </c>
      <c r="L5" s="9" t="n">
        <v>7823.9</v>
      </c>
      <c r="M5" s="9" t="n">
        <v>33221.15</v>
      </c>
      <c r="N5" s="9">
        <f>SUM(B5:M5)</f>
        <v/>
      </c>
      <c r="O5" s="9" t="n">
        <v>10507.32</v>
      </c>
      <c r="P5" s="9" t="n">
        <v>10507.32</v>
      </c>
      <c r="Q5" s="9" t="n">
        <v>-3957.84</v>
      </c>
      <c r="R5" s="9" t="n">
        <v>9029.950000000001</v>
      </c>
      <c r="S5" s="9" t="n">
        <v>9029.950000000001</v>
      </c>
      <c r="T5" s="9" t="n">
        <v>10442.83</v>
      </c>
      <c r="U5" s="9" t="n">
        <v>9500.91</v>
      </c>
      <c r="AA5" s="9">
        <f>SUM(O5:U5)</f>
        <v/>
      </c>
      <c r="AB5" s="9">
        <f>SUM(O5:Z5)</f>
        <v/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10">
        <f>SUM(AC5:AH5)</f>
        <v/>
      </c>
      <c r="AJ5" s="9">
        <f>SUM(AC5:AH5)+AI5</f>
        <v/>
      </c>
      <c r="AK5" s="11">
        <f>IF(N5&lt;&gt;0,(AB5-N5)/ABS(N5),0)</f>
        <v/>
      </c>
      <c r="AL5" s="11">
        <f>IF(AB5&lt;&gt;0,(AJ5-AB5)/ABS(AB5),0)</f>
        <v/>
      </c>
    </row>
    <row r="6" ht="13" customHeight="1">
      <c r="A6" s="8" t="inlineStr">
        <is>
          <t xml:space="preserve">    Other Income</t>
        </is>
      </c>
      <c r="B6" s="9" t="n">
        <v>0</v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1110.33</v>
      </c>
      <c r="J6" s="9" t="n">
        <v>0</v>
      </c>
      <c r="K6" s="9" t="n">
        <v>0</v>
      </c>
      <c r="L6" s="9" t="n">
        <v>0</v>
      </c>
      <c r="M6" s="9" t="n">
        <v>0</v>
      </c>
      <c r="N6" s="9">
        <f>SUM(B6:M6)</f>
        <v/>
      </c>
      <c r="O6" s="9" t="n">
        <v>0</v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0</v>
      </c>
      <c r="W6" s="9" t="n">
        <v>0</v>
      </c>
      <c r="X6" s="9" t="n">
        <v>0</v>
      </c>
      <c r="Y6" s="9" t="n">
        <v>0</v>
      </c>
      <c r="Z6" s="9" t="n">
        <v>0</v>
      </c>
      <c r="AA6" s="9">
        <f>SUM(O6:U6)</f>
        <v/>
      </c>
      <c r="AB6" s="9">
        <f>SUM(O6:Z6)</f>
        <v/>
      </c>
      <c r="AC6" s="9" t="n">
        <v>0</v>
      </c>
      <c r="AD6" s="9" t="n">
        <v>0</v>
      </c>
      <c r="AE6" s="9" t="n">
        <v>0</v>
      </c>
      <c r="AF6" s="9" t="n">
        <v>0</v>
      </c>
      <c r="AG6" s="9" t="n">
        <v>0</v>
      </c>
      <c r="AH6" s="9" t="n">
        <v>0</v>
      </c>
      <c r="AI6" s="10">
        <f>SUM(AC6:AH6)</f>
        <v/>
      </c>
      <c r="AJ6" s="9">
        <f>SUM(AC6:AH6)+AI6</f>
        <v/>
      </c>
      <c r="AK6" s="11">
        <f>IF(N6&lt;&gt;0,(AB6-N6)/ABS(N6),0)</f>
        <v/>
      </c>
      <c r="AL6" s="11">
        <f>IF(AB6&lt;&gt;0,(AJ6-AB6)/ABS(AB6),0)</f>
        <v/>
      </c>
    </row>
    <row r="7" ht="13" customHeight="1">
      <c r="A7" s="12" t="inlineStr">
        <is>
          <t>Total Income</t>
        </is>
      </c>
      <c r="B7" s="13">
        <f>B4+B5+B6</f>
        <v/>
      </c>
      <c r="C7" s="13">
        <f>C4+C5+C6</f>
        <v/>
      </c>
      <c r="D7" s="13">
        <f>D4+D5+D6</f>
        <v/>
      </c>
      <c r="E7" s="13">
        <f>E4+E5+E6</f>
        <v/>
      </c>
      <c r="F7" s="13">
        <f>F4+F5+F6</f>
        <v/>
      </c>
      <c r="G7" s="13">
        <f>G4+G5+G6</f>
        <v/>
      </c>
      <c r="H7" s="13">
        <f>H4+H5+H6</f>
        <v/>
      </c>
      <c r="I7" s="13">
        <f>I4+I5+I6</f>
        <v/>
      </c>
      <c r="J7" s="13">
        <f>J4+J5+J6</f>
        <v/>
      </c>
      <c r="K7" s="13">
        <f>K4+K5+K6</f>
        <v/>
      </c>
      <c r="L7" s="13">
        <f>L4+L5+L6</f>
        <v/>
      </c>
      <c r="M7" s="13">
        <f>M4+M5+M6</f>
        <v/>
      </c>
      <c r="N7" s="13">
        <f>N4+N5+N6</f>
        <v/>
      </c>
      <c r="O7" s="13">
        <f>O4+O5+O6</f>
        <v/>
      </c>
      <c r="P7" s="13">
        <f>P4+P5+P6</f>
        <v/>
      </c>
      <c r="Q7" s="13">
        <f>Q4+Q5+Q6</f>
        <v/>
      </c>
      <c r="R7" s="13">
        <f>R4+R5+R6</f>
        <v/>
      </c>
      <c r="S7" s="13">
        <f>S4+S5+S6</f>
        <v/>
      </c>
      <c r="T7" s="13">
        <f>T4+T5+T6</f>
        <v/>
      </c>
      <c r="U7" s="13">
        <f>U4+U5+U6</f>
        <v/>
      </c>
      <c r="V7" s="13">
        <f>V4+V5+V6</f>
        <v/>
      </c>
      <c r="W7" s="13">
        <f>W4+W5+W6</f>
        <v/>
      </c>
      <c r="X7" s="13">
        <f>X4+X5+X6</f>
        <v/>
      </c>
      <c r="Y7" s="13">
        <f>Y4+Y5+Y6</f>
        <v/>
      </c>
      <c r="Z7" s="13">
        <f>Z4+Z5+Z6</f>
        <v/>
      </c>
      <c r="AA7" s="13">
        <f>AA4+AA5+AA6</f>
        <v/>
      </c>
      <c r="AB7" s="13">
        <f>AB4+AB5+AB6</f>
        <v/>
      </c>
      <c r="AC7" s="13">
        <f>AC4+AC5+AC6</f>
        <v/>
      </c>
      <c r="AD7" s="13">
        <f>AD4+AD5+AD6</f>
        <v/>
      </c>
      <c r="AE7" s="13">
        <f>AE4+AE5+AE6</f>
        <v/>
      </c>
      <c r="AF7" s="13">
        <f>AF4+AF5+AF6</f>
        <v/>
      </c>
      <c r="AG7" s="13">
        <f>AG4+AG5+AG6</f>
        <v/>
      </c>
      <c r="AH7" s="13">
        <f>AH4+AH5+AH6</f>
        <v/>
      </c>
      <c r="AI7" s="13">
        <f>AI4+AI5+AI6</f>
        <v/>
      </c>
      <c r="AJ7" s="13">
        <f>AJ4+AJ5+AJ6</f>
        <v/>
      </c>
      <c r="AK7" s="11">
        <f>IF(N7&lt;&gt;0,(AB7-N7)/ABS(N7),0)</f>
        <v/>
      </c>
      <c r="AL7" s="11">
        <f>IF(AB7&lt;&gt;0,(AJ7-AB7)/ABS(AB7),0)</f>
        <v/>
      </c>
    </row>
    <row r="8" ht="5" customHeight="1"/>
    <row r="9" ht="15" customHeight="1">
      <c r="A9" s="7" t="inlineStr">
        <is>
          <t>DIRECT COSTS</t>
        </is>
      </c>
    </row>
    <row r="10" ht="13" customHeight="1">
      <c r="A10" s="14" t="inlineStr">
        <is>
          <t>Personnel</t>
        </is>
      </c>
    </row>
    <row r="11" ht="13" customHeight="1">
      <c r="A11" s="15" t="inlineStr">
        <is>
          <t xml:space="preserve">    Nursery Salaries</t>
        </is>
      </c>
      <c r="B11" s="16" t="n">
        <v>13853.25</v>
      </c>
      <c r="C11" s="16" t="n">
        <v>13920.39</v>
      </c>
      <c r="D11" s="16" t="n">
        <v>10885.86</v>
      </c>
      <c r="E11" s="16" t="n">
        <v>11734.94</v>
      </c>
      <c r="F11" s="16" t="n">
        <v>11884.27</v>
      </c>
      <c r="G11" s="16" t="n">
        <v>11731.04</v>
      </c>
      <c r="H11" s="16" t="n">
        <v>15058.12</v>
      </c>
      <c r="I11" s="16" t="n">
        <v>12658.92</v>
      </c>
      <c r="J11" s="16" t="n">
        <v>12033.38</v>
      </c>
      <c r="K11" s="16" t="n">
        <v>14221.18</v>
      </c>
      <c r="L11" s="16" t="n">
        <v>14943.61</v>
      </c>
      <c r="M11" s="16" t="n">
        <v>12969.62</v>
      </c>
      <c r="N11" s="16">
        <f>SUM(B11:M11)</f>
        <v/>
      </c>
      <c r="O11" s="16" t="n">
        <v>15250.07</v>
      </c>
      <c r="P11" s="16" t="n">
        <v>14732.04</v>
      </c>
      <c r="Q11" s="16" t="n">
        <v>17344.06</v>
      </c>
      <c r="R11" s="16" t="n">
        <v>15665.42</v>
      </c>
      <c r="S11" s="16" t="n">
        <v>17146.66</v>
      </c>
      <c r="T11" s="16" t="n">
        <v>17450.45</v>
      </c>
      <c r="U11" s="16" t="n">
        <v>16025.41</v>
      </c>
      <c r="AA11" s="16">
        <f>SUM(O11:U11)</f>
        <v/>
      </c>
      <c r="AB11" s="16">
        <f>SUM(O11:Z11)</f>
        <v/>
      </c>
      <c r="AC11" s="16" t="n">
        <v>17344.06</v>
      </c>
      <c r="AD11" s="16" t="n">
        <v>17344.06</v>
      </c>
      <c r="AE11" s="16" t="n">
        <v>17344.06</v>
      </c>
      <c r="AF11" s="16" t="n">
        <v>17344.06</v>
      </c>
      <c r="AG11" s="16" t="n">
        <v>17344.06</v>
      </c>
      <c r="AH11" s="16" t="n">
        <v>17344.06</v>
      </c>
      <c r="AI11" s="10">
        <f>SUM(AC11:AH11)</f>
        <v/>
      </c>
      <c r="AJ11" s="16">
        <f>SUM(AC11:AH11)+AI11</f>
        <v/>
      </c>
      <c r="AK11" s="11">
        <f>IF(N11&lt;&gt;0,(AB11-N11)/ABS(N11),0)</f>
        <v/>
      </c>
      <c r="AL11" s="11">
        <f>IF(AB11&lt;&gt;0,(AJ11-AB11)/ABS(AB11),0)</f>
        <v/>
      </c>
    </row>
    <row r="12" ht="13" customHeight="1">
      <c r="A12" s="15" t="inlineStr">
        <is>
          <t xml:space="preserve">    Nursery NI</t>
        </is>
      </c>
      <c r="B12" s="16" t="n">
        <v>1069.51</v>
      </c>
      <c r="C12" s="16" t="n">
        <v>1065.83</v>
      </c>
      <c r="D12" s="16" t="n">
        <v>730.8099999999999</v>
      </c>
      <c r="E12" s="16" t="n">
        <v>1121.54</v>
      </c>
      <c r="F12" s="16" t="n">
        <v>1145.85</v>
      </c>
      <c r="G12" s="16" t="n">
        <v>1120.74</v>
      </c>
      <c r="H12" s="16" t="n">
        <v>1457.54</v>
      </c>
      <c r="I12" s="16" t="n">
        <v>1187.6</v>
      </c>
      <c r="J12" s="16" t="n">
        <v>1147.14</v>
      </c>
      <c r="K12" s="16" t="n">
        <v>1417.58</v>
      </c>
      <c r="L12" s="16" t="n">
        <v>1470.89</v>
      </c>
      <c r="M12" s="16" t="n">
        <v>1237.76</v>
      </c>
      <c r="N12" s="16">
        <f>SUM(B12:M12)</f>
        <v/>
      </c>
      <c r="O12" s="16" t="n">
        <v>1906.06</v>
      </c>
      <c r="P12" s="16" t="n">
        <v>1552.42</v>
      </c>
      <c r="Q12" s="16" t="n">
        <v>1940.36</v>
      </c>
      <c r="R12" s="16" t="n">
        <v>1758.19</v>
      </c>
      <c r="S12" s="16" t="n">
        <v>1909.14</v>
      </c>
      <c r="T12" s="16" t="n">
        <v>1963.39</v>
      </c>
      <c r="U12" s="16" t="n">
        <v>1752.14</v>
      </c>
      <c r="AA12" s="16">
        <f>SUM(O12:U12)</f>
        <v/>
      </c>
      <c r="AB12" s="16">
        <f>SUM(O12:Z12)</f>
        <v/>
      </c>
      <c r="AC12" s="16" t="n">
        <v>1940.36</v>
      </c>
      <c r="AD12" s="16" t="n">
        <v>1940.36</v>
      </c>
      <c r="AE12" s="16" t="n">
        <v>1940.36</v>
      </c>
      <c r="AF12" s="16" t="n">
        <v>1940.36</v>
      </c>
      <c r="AG12" s="16" t="n">
        <v>1940.36</v>
      </c>
      <c r="AH12" s="16" t="n">
        <v>1940.36</v>
      </c>
      <c r="AI12" s="10">
        <f>SUM(AC12:AH12)</f>
        <v/>
      </c>
      <c r="AJ12" s="16">
        <f>SUM(AC12:AH12)+AI12</f>
        <v/>
      </c>
      <c r="AK12" s="11">
        <f>IF(N12&lt;&gt;0,(AB12-N12)/ABS(N12),0)</f>
        <v/>
      </c>
      <c r="AL12" s="11">
        <f>IF(AB12&lt;&gt;0,(AJ12-AB12)/ABS(AB12),0)</f>
        <v/>
      </c>
    </row>
    <row r="13" ht="13" customHeight="1">
      <c r="A13" s="15" t="inlineStr">
        <is>
          <t xml:space="preserve">    Nursery Pension</t>
        </is>
      </c>
      <c r="B13" s="16" t="n">
        <v>237.38</v>
      </c>
      <c r="C13" s="16" t="n">
        <v>236.58</v>
      </c>
      <c r="D13" s="16" t="n">
        <v>156.6</v>
      </c>
      <c r="E13" s="16" t="n">
        <v>179.38</v>
      </c>
      <c r="F13" s="16" t="n">
        <v>216.8</v>
      </c>
      <c r="G13" s="16" t="n">
        <v>211.77</v>
      </c>
      <c r="H13" s="16" t="n">
        <v>228</v>
      </c>
      <c r="I13" s="16" t="n">
        <v>221.31</v>
      </c>
      <c r="J13" s="16" t="n">
        <v>217.06</v>
      </c>
      <c r="K13" s="16" t="n">
        <v>234.2</v>
      </c>
      <c r="L13" s="16" t="n">
        <v>215.9</v>
      </c>
      <c r="M13" s="16" t="n">
        <v>203.98</v>
      </c>
      <c r="N13" s="16">
        <f>SUM(B13:M13)</f>
        <v/>
      </c>
      <c r="O13" s="16" t="n">
        <v>266.3</v>
      </c>
      <c r="P13" s="16" t="n">
        <v>211.64</v>
      </c>
      <c r="Q13" s="16" t="n">
        <v>282.56</v>
      </c>
      <c r="R13" s="16" t="n">
        <v>243.9</v>
      </c>
      <c r="S13" s="16" t="n">
        <v>244.03</v>
      </c>
      <c r="T13" s="16" t="n">
        <v>245.73</v>
      </c>
      <c r="U13" s="16" t="n">
        <v>210.34</v>
      </c>
      <c r="AA13" s="16">
        <f>SUM(O13:U13)</f>
        <v/>
      </c>
      <c r="AB13" s="16">
        <f>SUM(O13:Z13)</f>
        <v/>
      </c>
      <c r="AC13" s="16" t="n">
        <v>282.56</v>
      </c>
      <c r="AD13" s="16" t="n">
        <v>282.56</v>
      </c>
      <c r="AE13" s="16" t="n">
        <v>282.56</v>
      </c>
      <c r="AF13" s="16" t="n">
        <v>282.56</v>
      </c>
      <c r="AG13" s="16" t="n">
        <v>282.56</v>
      </c>
      <c r="AH13" s="16" t="n">
        <v>282.56</v>
      </c>
      <c r="AI13" s="10">
        <f>SUM(AC13:AH13)</f>
        <v/>
      </c>
      <c r="AJ13" s="16">
        <f>SUM(AC13:AH13)+AI13</f>
        <v/>
      </c>
      <c r="AK13" s="11">
        <f>IF(N13&lt;&gt;0,(AB13-N13)/ABS(N13),0)</f>
        <v/>
      </c>
      <c r="AL13" s="11">
        <f>IF(AB13&lt;&gt;0,(AJ13-AB13)/ABS(AB13),0)</f>
        <v/>
      </c>
    </row>
    <row r="14" ht="13" customHeight="1">
      <c r="A14" s="15" t="inlineStr">
        <is>
          <t xml:space="preserve">    Uniform</t>
        </is>
      </c>
      <c r="B14" s="16" t="n">
        <v>0</v>
      </c>
      <c r="C14" s="16" t="n">
        <v>97.16</v>
      </c>
      <c r="D14" s="16" t="n">
        <v>74.22</v>
      </c>
      <c r="E14" s="16" t="n">
        <v>0</v>
      </c>
      <c r="F14" s="16" t="n">
        <v>0</v>
      </c>
      <c r="G14" s="16" t="n">
        <v>0</v>
      </c>
      <c r="H14" s="16" t="n">
        <v>0</v>
      </c>
      <c r="I14" s="16" t="n">
        <v>0</v>
      </c>
      <c r="J14" s="16" t="n">
        <v>132.9</v>
      </c>
      <c r="K14" s="16" t="n">
        <v>0</v>
      </c>
      <c r="L14" s="16" t="n">
        <v>158.34</v>
      </c>
      <c r="M14" s="16" t="n">
        <v>0</v>
      </c>
      <c r="N14" s="16">
        <f>SUM(B14:M14)</f>
        <v/>
      </c>
      <c r="O14" s="16" t="n">
        <v>0</v>
      </c>
      <c r="P14" s="16" t="n">
        <v>64.56</v>
      </c>
      <c r="Q14" s="16" t="n">
        <v>0</v>
      </c>
      <c r="R14" s="16" t="n">
        <v>0</v>
      </c>
      <c r="S14" s="16" t="n">
        <v>54.48</v>
      </c>
      <c r="T14" s="16" t="n">
        <v>130.08</v>
      </c>
      <c r="U14" s="16" t="n">
        <v>44.16</v>
      </c>
      <c r="AA14" s="16">
        <f>SUM(O14:U14)</f>
        <v/>
      </c>
      <c r="AB14" s="16">
        <f>SUM(O14:Z14)</f>
        <v/>
      </c>
      <c r="AC14" s="16" t="n">
        <v>34</v>
      </c>
      <c r="AD14" s="16" t="n">
        <v>34</v>
      </c>
      <c r="AE14" s="16" t="n">
        <v>34</v>
      </c>
      <c r="AF14" s="16" t="n">
        <v>34</v>
      </c>
      <c r="AG14" s="16" t="n">
        <v>34</v>
      </c>
      <c r="AH14" s="16" t="n">
        <v>34</v>
      </c>
      <c r="AI14" s="10">
        <f>SUM(AC14:AH14)</f>
        <v/>
      </c>
      <c r="AJ14" s="16">
        <f>SUM(AC14:AH14)+AI14</f>
        <v/>
      </c>
      <c r="AK14" s="11">
        <f>IF(N14&lt;&gt;0,(AB14-N14)/ABS(N14),0)</f>
        <v/>
      </c>
      <c r="AL14" s="11">
        <f>IF(AB14&lt;&gt;0,(AJ14-AB14)/ABS(AB14),0)</f>
        <v/>
      </c>
    </row>
    <row r="15" ht="13" customHeight="1">
      <c r="A15" s="15" t="inlineStr">
        <is>
          <t xml:space="preserve">    Training</t>
        </is>
      </c>
      <c r="B15" s="16" t="n">
        <v>24.98</v>
      </c>
      <c r="C15" s="16" t="n">
        <v>0</v>
      </c>
      <c r="D15" s="16" t="n">
        <v>0</v>
      </c>
      <c r="E15" s="16" t="n">
        <v>72</v>
      </c>
      <c r="F15" s="16" t="n">
        <v>31.2</v>
      </c>
      <c r="G15" s="16" t="n">
        <v>0</v>
      </c>
      <c r="H15" s="16" t="n">
        <v>61.2</v>
      </c>
      <c r="I15" s="16" t="n">
        <v>78</v>
      </c>
      <c r="J15" s="16" t="n">
        <v>37.2</v>
      </c>
      <c r="K15" s="16" t="n">
        <v>114</v>
      </c>
      <c r="L15" s="16" t="n">
        <v>496.9</v>
      </c>
      <c r="M15" s="16" t="n">
        <v>0</v>
      </c>
      <c r="N15" s="16">
        <f>SUM(B15:M15)</f>
        <v/>
      </c>
      <c r="O15" s="16" t="n">
        <v>0</v>
      </c>
      <c r="P15" s="16" t="n">
        <v>78</v>
      </c>
      <c r="Q15" s="16" t="n">
        <v>0</v>
      </c>
      <c r="R15" s="16" t="n">
        <v>78</v>
      </c>
      <c r="S15" s="16" t="n">
        <v>0</v>
      </c>
      <c r="T15" s="16" t="n">
        <v>0</v>
      </c>
      <c r="U15" s="16" t="n">
        <v>0</v>
      </c>
      <c r="AA15" s="16">
        <f>SUM(O15:U15)</f>
        <v/>
      </c>
      <c r="AB15" s="16">
        <f>SUM(O15:Z15)</f>
        <v/>
      </c>
      <c r="AC15" s="16" t="n">
        <v>50</v>
      </c>
      <c r="AD15" s="16" t="n">
        <v>50</v>
      </c>
      <c r="AE15" s="16" t="n">
        <v>50</v>
      </c>
      <c r="AF15" s="16" t="n">
        <v>50</v>
      </c>
      <c r="AG15" s="16" t="n">
        <v>50</v>
      </c>
      <c r="AH15" s="16" t="n">
        <v>50</v>
      </c>
      <c r="AI15" s="10">
        <f>SUM(AC15:AH15)</f>
        <v/>
      </c>
      <c r="AJ15" s="16">
        <f>SUM(AC15:AH15)+AI15</f>
        <v/>
      </c>
      <c r="AK15" s="11">
        <f>IF(N15&lt;&gt;0,(AB15-N15)/ABS(N15),0)</f>
        <v/>
      </c>
      <c r="AL15" s="11">
        <f>IF(AB15&lt;&gt;0,(AJ15-AB15)/ABS(AB15),0)</f>
        <v/>
      </c>
    </row>
    <row r="16" ht="13" customHeight="1">
      <c r="A16" s="15" t="inlineStr">
        <is>
          <t xml:space="preserve">    Staff Welfare</t>
        </is>
      </c>
      <c r="B16" s="16" t="n">
        <v>52.64</v>
      </c>
      <c r="C16" s="16" t="n">
        <v>83.47</v>
      </c>
      <c r="D16" s="16" t="n">
        <v>184.8</v>
      </c>
      <c r="E16" s="16" t="n">
        <v>82.88</v>
      </c>
      <c r="F16" s="16" t="n">
        <v>111.1</v>
      </c>
      <c r="G16" s="16" t="n">
        <v>58.14</v>
      </c>
      <c r="H16" s="16" t="n">
        <v>174.11</v>
      </c>
      <c r="I16" s="16" t="n">
        <v>101.97</v>
      </c>
      <c r="J16" s="16" t="n">
        <v>76.61</v>
      </c>
      <c r="K16" s="16" t="n">
        <v>140.2</v>
      </c>
      <c r="L16" s="16" t="n">
        <v>107.45</v>
      </c>
      <c r="M16" s="16" t="n">
        <v>154.31</v>
      </c>
      <c r="N16" s="16">
        <f>SUM(B16:M16)</f>
        <v/>
      </c>
      <c r="O16" s="16" t="n">
        <v>51.24</v>
      </c>
      <c r="P16" s="16" t="n">
        <v>181.27</v>
      </c>
      <c r="Q16" s="16" t="n">
        <v>83.42999999999999</v>
      </c>
      <c r="R16" s="16" t="n">
        <v>49.29</v>
      </c>
      <c r="S16" s="16" t="n">
        <v>61.11</v>
      </c>
      <c r="T16" s="16" t="n">
        <v>64.43000000000001</v>
      </c>
      <c r="U16" s="16" t="n">
        <v>40.25</v>
      </c>
      <c r="AA16" s="16">
        <f>SUM(O16:U16)</f>
        <v/>
      </c>
      <c r="AB16" s="16">
        <f>SUM(O16:Z16)</f>
        <v/>
      </c>
      <c r="AC16" s="16" t="n">
        <v>70</v>
      </c>
      <c r="AD16" s="16" t="n">
        <v>70</v>
      </c>
      <c r="AE16" s="16" t="n">
        <v>70</v>
      </c>
      <c r="AF16" s="16" t="n">
        <v>70</v>
      </c>
      <c r="AG16" s="16" t="n">
        <v>70</v>
      </c>
      <c r="AH16" s="16" t="n">
        <v>70</v>
      </c>
      <c r="AI16" s="10">
        <f>SUM(AC16:AH16)</f>
        <v/>
      </c>
      <c r="AJ16" s="16">
        <f>SUM(AC16:AH16)+AI16</f>
        <v/>
      </c>
      <c r="AK16" s="11">
        <f>IF(N16&lt;&gt;0,(AB16-N16)/ABS(N16),0)</f>
        <v/>
      </c>
      <c r="AL16" s="11">
        <f>IF(AB16&lt;&gt;0,(AJ16-AB16)/ABS(AB16),0)</f>
        <v/>
      </c>
    </row>
    <row r="17" ht="13" customHeight="1">
      <c r="A17" s="15" t="inlineStr">
        <is>
          <t xml:space="preserve">    Recruitment</t>
        </is>
      </c>
      <c r="B17" s="16" t="n">
        <v>0</v>
      </c>
      <c r="C17" s="16" t="n">
        <v>0</v>
      </c>
      <c r="D17" s="16" t="n">
        <v>0</v>
      </c>
      <c r="E17" s="16" t="n">
        <v>0</v>
      </c>
      <c r="F17" s="16" t="n">
        <v>0</v>
      </c>
      <c r="G17" s="16" t="n">
        <v>0</v>
      </c>
      <c r="H17" s="16" t="n">
        <v>0</v>
      </c>
      <c r="I17" s="16" t="n">
        <v>0</v>
      </c>
      <c r="J17" s="16" t="n">
        <v>0</v>
      </c>
      <c r="K17" s="16" t="n">
        <v>0</v>
      </c>
      <c r="L17" s="16" t="n">
        <v>0</v>
      </c>
      <c r="M17" s="16" t="n">
        <v>0</v>
      </c>
      <c r="N17" s="16">
        <f>SUM(B17:M17)</f>
        <v/>
      </c>
      <c r="O17" s="16" t="n">
        <v>0</v>
      </c>
      <c r="P17" s="16" t="n">
        <v>0</v>
      </c>
      <c r="Q17" s="16" t="n">
        <v>0</v>
      </c>
      <c r="R17" s="16" t="n">
        <v>0</v>
      </c>
      <c r="S17" s="16" t="n">
        <v>0</v>
      </c>
      <c r="T17" s="16" t="n">
        <v>0</v>
      </c>
      <c r="U17" s="16" t="n">
        <v>0</v>
      </c>
      <c r="V17" s="16" t="n">
        <v>0</v>
      </c>
      <c r="W17" s="16" t="n">
        <v>0</v>
      </c>
      <c r="X17" s="16" t="n">
        <v>0</v>
      </c>
      <c r="Y17" s="16" t="n">
        <v>0</v>
      </c>
      <c r="Z17" s="16" t="n">
        <v>0</v>
      </c>
      <c r="AA17" s="16">
        <f>SUM(O17:U17)</f>
        <v/>
      </c>
      <c r="AB17" s="16">
        <f>SUM(O17:Z17)</f>
        <v/>
      </c>
      <c r="AC17" s="16" t="n">
        <v>0</v>
      </c>
      <c r="AD17" s="16" t="n">
        <v>0</v>
      </c>
      <c r="AE17" s="16" t="n">
        <v>0</v>
      </c>
      <c r="AF17" s="16" t="n">
        <v>0</v>
      </c>
      <c r="AG17" s="16" t="n">
        <v>0</v>
      </c>
      <c r="AH17" s="16" t="n">
        <v>0</v>
      </c>
      <c r="AI17" s="10">
        <f>SUM(AC17:AH17)</f>
        <v/>
      </c>
      <c r="AJ17" s="16">
        <f>SUM(AC17:AH17)+AI17</f>
        <v/>
      </c>
      <c r="AK17" s="11">
        <f>IF(N17&lt;&gt;0,(AB17-N17)/ABS(N17),0)</f>
        <v/>
      </c>
      <c r="AL17" s="11">
        <f>IF(AB17&lt;&gt;0,(AJ17-AB17)/ABS(AB17),0)</f>
        <v/>
      </c>
    </row>
    <row r="18" ht="13" customHeight="1">
      <c r="A18" s="15" t="inlineStr">
        <is>
          <t xml:space="preserve">    Rewards &amp; Recognition</t>
        </is>
      </c>
      <c r="B18" s="16" t="n">
        <v>0</v>
      </c>
      <c r="C18" s="16" t="n">
        <v>0</v>
      </c>
      <c r="D18" s="16" t="n">
        <v>0</v>
      </c>
      <c r="E18" s="16" t="n">
        <v>0</v>
      </c>
      <c r="F18" s="16" t="n">
        <v>0</v>
      </c>
      <c r="G18" s="16" t="n">
        <v>0</v>
      </c>
      <c r="H18" s="16" t="n">
        <v>15.98</v>
      </c>
      <c r="I18" s="16" t="n">
        <v>0</v>
      </c>
      <c r="J18" s="16" t="n">
        <v>0</v>
      </c>
      <c r="K18" s="16" t="n">
        <v>17.97</v>
      </c>
      <c r="L18" s="16" t="n">
        <v>0</v>
      </c>
      <c r="M18" s="16" t="n">
        <v>0</v>
      </c>
      <c r="N18" s="16">
        <f>SUM(B18:M18)</f>
        <v/>
      </c>
      <c r="O18" s="16" t="n">
        <v>18</v>
      </c>
      <c r="P18" s="16" t="n">
        <v>0</v>
      </c>
      <c r="Q18" s="16" t="n">
        <v>0</v>
      </c>
      <c r="R18" s="16" t="n">
        <v>0</v>
      </c>
      <c r="S18" s="16" t="n">
        <v>0</v>
      </c>
      <c r="T18" s="16" t="n">
        <v>0</v>
      </c>
      <c r="U18" s="16" t="n">
        <v>0</v>
      </c>
      <c r="AA18" s="16">
        <f>SUM(O18:U18)</f>
        <v/>
      </c>
      <c r="AB18" s="16">
        <f>SUM(O18:Z18)</f>
        <v/>
      </c>
      <c r="AC18" s="16" t="n">
        <v>29</v>
      </c>
      <c r="AD18" s="16" t="n">
        <v>29</v>
      </c>
      <c r="AE18" s="16" t="n">
        <v>29</v>
      </c>
      <c r="AF18" s="16" t="n">
        <v>29</v>
      </c>
      <c r="AG18" s="16" t="n">
        <v>29</v>
      </c>
      <c r="AH18" s="16" t="n">
        <v>29</v>
      </c>
      <c r="AI18" s="10">
        <f>SUM(AC18:AH18)</f>
        <v/>
      </c>
      <c r="AJ18" s="16">
        <f>SUM(AC18:AH18)+AI18</f>
        <v/>
      </c>
      <c r="AK18" s="11">
        <f>IF(N18&lt;&gt;0,(AB18-N18)/ABS(N18),0)</f>
        <v/>
      </c>
      <c r="AL18" s="11">
        <f>IF(AB18&lt;&gt;0,(AJ18-AB18)/ABS(AB18),0)</f>
        <v/>
      </c>
    </row>
    <row r="19" ht="13" customHeight="1">
      <c r="A19" s="15" t="inlineStr">
        <is>
          <t xml:space="preserve">    Temps</t>
        </is>
      </c>
      <c r="B19" s="16" t="n">
        <v>0</v>
      </c>
      <c r="C19" s="16" t="n">
        <v>0</v>
      </c>
      <c r="D19" s="16" t="n">
        <v>0</v>
      </c>
      <c r="E19" s="16" t="n">
        <v>0</v>
      </c>
      <c r="F19" s="16" t="n">
        <v>0</v>
      </c>
      <c r="G19" s="16" t="n">
        <v>0</v>
      </c>
      <c r="H19" s="16" t="n">
        <v>0</v>
      </c>
      <c r="I19" s="16" t="n">
        <v>0</v>
      </c>
      <c r="J19" s="16" t="n">
        <v>0</v>
      </c>
      <c r="K19" s="16" t="n">
        <v>0</v>
      </c>
      <c r="L19" s="16" t="n">
        <v>0</v>
      </c>
      <c r="M19" s="16" t="n">
        <v>0</v>
      </c>
      <c r="N19" s="16">
        <f>SUM(B19:M19)</f>
        <v/>
      </c>
      <c r="O19" s="16" t="n">
        <v>0</v>
      </c>
      <c r="P19" s="16" t="n">
        <v>0</v>
      </c>
      <c r="Q19" s="16" t="n">
        <v>0</v>
      </c>
      <c r="R19" s="16" t="n">
        <v>0</v>
      </c>
      <c r="S19" s="16" t="n">
        <v>0</v>
      </c>
      <c r="T19" s="16" t="n">
        <v>0</v>
      </c>
      <c r="U19" s="16" t="n">
        <v>0</v>
      </c>
      <c r="V19" s="16" t="n">
        <v>0</v>
      </c>
      <c r="W19" s="16" t="n">
        <v>0</v>
      </c>
      <c r="X19" s="16" t="n">
        <v>0</v>
      </c>
      <c r="Y19" s="16" t="n">
        <v>0</v>
      </c>
      <c r="Z19" s="16" t="n">
        <v>0</v>
      </c>
      <c r="AA19" s="16">
        <f>SUM(O19:U19)</f>
        <v/>
      </c>
      <c r="AB19" s="16">
        <f>SUM(O19:Z19)</f>
        <v/>
      </c>
      <c r="AC19" s="16" t="n">
        <v>0</v>
      </c>
      <c r="AD19" s="16" t="n">
        <v>0</v>
      </c>
      <c r="AE19" s="16" t="n">
        <v>0</v>
      </c>
      <c r="AF19" s="16" t="n">
        <v>0</v>
      </c>
      <c r="AG19" s="16" t="n">
        <v>0</v>
      </c>
      <c r="AH19" s="16" t="n">
        <v>0</v>
      </c>
      <c r="AI19" s="10">
        <f>SUM(AC19:AH19)</f>
        <v/>
      </c>
      <c r="AJ19" s="16">
        <f>SUM(AC19:AH19)+AI19</f>
        <v/>
      </c>
      <c r="AK19" s="11">
        <f>IF(N19&lt;&gt;0,(AB19-N19)/ABS(N19),0)</f>
        <v/>
      </c>
      <c r="AL19" s="11">
        <f>IF(AB19&lt;&gt;0,(AJ19-AB19)/ABS(AB19),0)</f>
        <v/>
      </c>
    </row>
    <row r="20" ht="13" customHeight="1">
      <c r="A20" s="17" t="inlineStr">
        <is>
          <t>Total Personnel</t>
        </is>
      </c>
      <c r="B20" s="18">
        <f>B11+B12+B13+B14+B15+B16+B17+B18+B19</f>
        <v/>
      </c>
      <c r="C20" s="18">
        <f>C11+C12+C13+C14+C15+C16+C17+C18+C19</f>
        <v/>
      </c>
      <c r="D20" s="18">
        <f>D11+D12+D13+D14+D15+D16+D17+D18+D19</f>
        <v/>
      </c>
      <c r="E20" s="18">
        <f>E11+E12+E13+E14+E15+E16+E17+E18+E19</f>
        <v/>
      </c>
      <c r="F20" s="18">
        <f>F11+F12+F13+F14+F15+F16+F17+F18+F19</f>
        <v/>
      </c>
      <c r="G20" s="18">
        <f>G11+G12+G13+G14+G15+G16+G17+G18+G19</f>
        <v/>
      </c>
      <c r="H20" s="18">
        <f>H11+H12+H13+H14+H15+H16+H17+H18+H19</f>
        <v/>
      </c>
      <c r="I20" s="18">
        <f>I11+I12+I13+I14+I15+I16+I17+I18+I19</f>
        <v/>
      </c>
      <c r="J20" s="18">
        <f>J11+J12+J13+J14+J15+J16+J17+J18+J19</f>
        <v/>
      </c>
      <c r="K20" s="18">
        <f>K11+K12+K13+K14+K15+K16+K17+K18+K19</f>
        <v/>
      </c>
      <c r="L20" s="18">
        <f>L11+L12+L13+L14+L15+L16+L17+L18+L19</f>
        <v/>
      </c>
      <c r="M20" s="18">
        <f>M11+M12+M13+M14+M15+M16+M17+M18+M19</f>
        <v/>
      </c>
      <c r="N20" s="18">
        <f>N11+N12+N13+N14+N15+N16+N17+N18+N19</f>
        <v/>
      </c>
      <c r="O20" s="18">
        <f>O11+O12+O13+O14+O15+O16+O17+O18+O19</f>
        <v/>
      </c>
      <c r="P20" s="18">
        <f>P11+P12+P13+P14+P15+P16+P17+P18+P19</f>
        <v/>
      </c>
      <c r="Q20" s="18">
        <f>Q11+Q12+Q13+Q14+Q15+Q16+Q17+Q18+Q19</f>
        <v/>
      </c>
      <c r="R20" s="18">
        <f>R11+R12+R13+R14+R15+R16+R17+R18+R19</f>
        <v/>
      </c>
      <c r="S20" s="18">
        <f>S11+S12+S13+S14+S15+S16+S17+S18+S19</f>
        <v/>
      </c>
      <c r="T20" s="18">
        <f>T11+T12+T13+T14+T15+T16+T17+T18+T19</f>
        <v/>
      </c>
      <c r="U20" s="18">
        <f>U11+U12+U13+U14+U15+U16+U17+U18+U19</f>
        <v/>
      </c>
      <c r="V20" s="18">
        <f>V11+V12+V13+V14+V15+V16+V17+V18+V19</f>
        <v/>
      </c>
      <c r="W20" s="18">
        <f>W11+W12+W13+W14+W15+W16+W17+W18+W19</f>
        <v/>
      </c>
      <c r="X20" s="18">
        <f>X11+X12+X13+X14+X15+X16+X17+X18+X19</f>
        <v/>
      </c>
      <c r="Y20" s="18">
        <f>Y11+Y12+Y13+Y14+Y15+Y16+Y17+Y18+Y19</f>
        <v/>
      </c>
      <c r="Z20" s="18">
        <f>Z11+Z12+Z13+Z14+Z15+Z16+Z17+Z18+Z19</f>
        <v/>
      </c>
      <c r="AA20" s="18">
        <f>AA11+AA12+AA13+AA14+AA15+AA16+AA17+AA18+AA19</f>
        <v/>
      </c>
      <c r="AB20" s="18">
        <f>AB11+AB12+AB13+AB14+AB15+AB16+AB17+AB18+AB19</f>
        <v/>
      </c>
      <c r="AC20" s="18">
        <f>AC11+AC12+AC13+AC14+AC15+AC16+AC17+AC18+AC19</f>
        <v/>
      </c>
      <c r="AD20" s="18">
        <f>AD11+AD12+AD13+AD14+AD15+AD16+AD17+AD18+AD19</f>
        <v/>
      </c>
      <c r="AE20" s="18">
        <f>AE11+AE12+AE13+AE14+AE15+AE16+AE17+AE18+AE19</f>
        <v/>
      </c>
      <c r="AF20" s="18">
        <f>AF11+AF12+AF13+AF14+AF15+AF16+AF17+AF18+AF19</f>
        <v/>
      </c>
      <c r="AG20" s="18">
        <f>AG11+AG12+AG13+AG14+AG15+AG16+AG17+AG18+AG19</f>
        <v/>
      </c>
      <c r="AH20" s="18">
        <f>AH11+AH12+AH13+AH14+AH15+AH16+AH17+AH18+AH19</f>
        <v/>
      </c>
      <c r="AI20" s="18">
        <f>AI11+AI12+AI13+AI14+AI15+AI16+AI17+AI18+AI19</f>
        <v/>
      </c>
      <c r="AJ20" s="18">
        <f>AJ11+AJ12+AJ13+AJ14+AJ15+AJ16+AJ17+AJ18+AJ19</f>
        <v/>
      </c>
      <c r="AK20" s="11">
        <f>IF(N20&lt;&gt;0,(AB20-N20)/ABS(N20),0)</f>
        <v/>
      </c>
      <c r="AL20" s="11">
        <f>IF(AB20&lt;&gt;0,(AJ20-AB20)/ABS(AB20),0)</f>
        <v/>
      </c>
    </row>
    <row r="21" ht="13" customHeight="1">
      <c r="A21" s="19" t="inlineStr">
        <is>
          <t xml:space="preserve">    Sal:Rev</t>
        </is>
      </c>
      <c r="B21" s="20">
        <f>IF(B7&gt;0,B20/B7,0)</f>
        <v/>
      </c>
      <c r="C21" s="20">
        <f>IF(C7&gt;0,C20/C7,0)</f>
        <v/>
      </c>
      <c r="D21" s="20">
        <f>IF(D7&gt;0,D20/D7,0)</f>
        <v/>
      </c>
      <c r="E21" s="20">
        <f>IF(E7&gt;0,E20/E7,0)</f>
        <v/>
      </c>
      <c r="F21" s="20">
        <f>IF(F7&gt;0,F20/F7,0)</f>
        <v/>
      </c>
      <c r="G21" s="20">
        <f>IF(G7&gt;0,G20/G7,0)</f>
        <v/>
      </c>
      <c r="H21" s="20">
        <f>IF(H7&gt;0,H20/H7,0)</f>
        <v/>
      </c>
      <c r="I21" s="20">
        <f>IF(I7&gt;0,I20/I7,0)</f>
        <v/>
      </c>
      <c r="J21" s="20">
        <f>IF(J7&gt;0,J20/J7,0)</f>
        <v/>
      </c>
      <c r="K21" s="20">
        <f>IF(K7&gt;0,K20/K7,0)</f>
        <v/>
      </c>
      <c r="L21" s="20">
        <f>IF(L7&gt;0,L20/L7,0)</f>
        <v/>
      </c>
      <c r="M21" s="20">
        <f>IF(M7&gt;0,M20/M7,0)</f>
        <v/>
      </c>
      <c r="N21" s="20">
        <f>IF(N7&gt;0,N20/N7,0)</f>
        <v/>
      </c>
      <c r="O21" s="20">
        <f>IF(O7&gt;0,O20/O7,0)</f>
        <v/>
      </c>
      <c r="P21" s="20">
        <f>IF(P7&gt;0,P20/P7,0)</f>
        <v/>
      </c>
      <c r="Q21" s="20">
        <f>IF(Q7&gt;0,Q20/Q7,0)</f>
        <v/>
      </c>
      <c r="R21" s="20">
        <f>IF(R7&gt;0,R20/R7,0)</f>
        <v/>
      </c>
      <c r="S21" s="20">
        <f>IF(S7&gt;0,S20/S7,0)</f>
        <v/>
      </c>
      <c r="T21" s="20">
        <f>IF(T7&gt;0,T20/T7,0)</f>
        <v/>
      </c>
      <c r="U21" s="20">
        <f>IF(U7&gt;0,U20/U7,0)</f>
        <v/>
      </c>
      <c r="V21" s="20">
        <f>IF(V7&gt;0,V20/V7,0)</f>
        <v/>
      </c>
      <c r="W21" s="20">
        <f>IF(W7&gt;0,W20/W7,0)</f>
        <v/>
      </c>
      <c r="X21" s="20">
        <f>IF(X7&gt;0,X20/X7,0)</f>
        <v/>
      </c>
      <c r="Y21" s="20">
        <f>IF(Y7&gt;0,Y20/Y7,0)</f>
        <v/>
      </c>
      <c r="Z21" s="20">
        <f>IF(Z7&gt;0,Z20/Z7,0)</f>
        <v/>
      </c>
      <c r="AA21" s="20">
        <f>IF(AA7&gt;0,AA20/AA7,0)</f>
        <v/>
      </c>
      <c r="AB21" s="20">
        <f>IF(AB7&gt;0,AB20/AB7,0)</f>
        <v/>
      </c>
      <c r="AC21" s="20">
        <f>IF(AC7&gt;0,AC20/AC7,0)</f>
        <v/>
      </c>
      <c r="AD21" s="20">
        <f>IF(AD7&gt;0,AD20/AD7,0)</f>
        <v/>
      </c>
      <c r="AE21" s="20">
        <f>IF(AE7&gt;0,AE20/AE7,0)</f>
        <v/>
      </c>
      <c r="AF21" s="20">
        <f>IF(AF7&gt;0,AF20/AF7,0)</f>
        <v/>
      </c>
      <c r="AG21" s="20">
        <f>IF(AG7&gt;0,AG20/AG7,0)</f>
        <v/>
      </c>
      <c r="AH21" s="20">
        <f>IF(AH7&gt;0,AH20/AH7,0)</f>
        <v/>
      </c>
      <c r="AI21" s="20">
        <f>IF(AI7&gt;0,AI20/AI7,0)</f>
        <v/>
      </c>
      <c r="AJ21" s="20">
        <f>IF(AJ7&gt;0,AJ20/AJ7,0)</f>
        <v/>
      </c>
    </row>
    <row r="22" ht="5" customHeight="1"/>
    <row r="23" ht="13" customHeight="1">
      <c r="A23" s="14" t="inlineStr">
        <is>
          <t>Childcare</t>
        </is>
      </c>
    </row>
    <row r="24" ht="13" customHeight="1">
      <c r="A24" s="21" t="inlineStr">
        <is>
          <t xml:space="preserve">    Catering Costs</t>
        </is>
      </c>
      <c r="N24" s="22">
        <f>SUM(B24:M24)</f>
        <v/>
      </c>
      <c r="O24" s="22" t="n">
        <v>399.77</v>
      </c>
      <c r="P24" s="22" t="n">
        <v>563.37</v>
      </c>
      <c r="Q24" s="22" t="n">
        <v>423.89</v>
      </c>
      <c r="R24" s="22" t="n">
        <v>648.3200000000001</v>
      </c>
      <c r="S24" s="22" t="n">
        <v>441.47</v>
      </c>
      <c r="T24" s="22" t="n">
        <v>489.36</v>
      </c>
      <c r="U24" s="22" t="n">
        <v>290.17</v>
      </c>
      <c r="V24" s="22" t="n">
        <v>161.1792</v>
      </c>
      <c r="W24" s="22" t="n">
        <v>428.5632</v>
      </c>
      <c r="X24" s="22" t="n">
        <v>531.1799999999999</v>
      </c>
      <c r="Y24" s="22" t="n">
        <v>606.4968</v>
      </c>
      <c r="Z24" s="22" t="n">
        <v>490.9632</v>
      </c>
      <c r="AA24" s="22">
        <f>SUM(O24:U24)</f>
        <v/>
      </c>
      <c r="AB24" s="22">
        <f>SUM(O24:Z24)</f>
        <v/>
      </c>
      <c r="AC24" s="22" t="n">
        <v>569.189088</v>
      </c>
      <c r="AD24" s="22" t="n">
        <v>473.585112</v>
      </c>
      <c r="AE24" s="22" t="n">
        <v>686.025288</v>
      </c>
      <c r="AF24" s="22" t="n">
        <v>695.715072</v>
      </c>
      <c r="AG24" s="22" t="n">
        <v>456.470976</v>
      </c>
      <c r="AH24" s="22" t="n">
        <v>517.9577519999999</v>
      </c>
      <c r="AI24" s="10">
        <f>SUM(AC24:AH24)</f>
        <v/>
      </c>
      <c r="AJ24" s="22">
        <f>SUM(AC24:AH24)+AI24</f>
        <v/>
      </c>
      <c r="AK24" s="11">
        <f>IF(N24&lt;&gt;0,(AB24-N24)/ABS(N24),0)</f>
        <v/>
      </c>
      <c r="AL24" s="11">
        <f>IF(AB24&lt;&gt;0,(AJ24-AB24)/ABS(AB24),0)</f>
        <v/>
      </c>
    </row>
    <row r="25" ht="13" customHeight="1">
      <c r="A25" s="21" t="inlineStr">
        <is>
          <t xml:space="preserve">    Toys and Games</t>
        </is>
      </c>
      <c r="B25" s="22" t="n">
        <v>111.07</v>
      </c>
      <c r="C25" s="22" t="n">
        <v>29.84</v>
      </c>
      <c r="D25" s="22" t="n">
        <v>112.62</v>
      </c>
      <c r="E25" s="22" t="n">
        <v>222.49</v>
      </c>
      <c r="F25" s="22" t="n">
        <v>143.88</v>
      </c>
      <c r="G25" s="22" t="n">
        <v>29.34</v>
      </c>
      <c r="H25" s="22" t="n">
        <v>10.94</v>
      </c>
      <c r="I25" s="22" t="n">
        <v>61.39000000000001</v>
      </c>
      <c r="J25" s="22" t="n">
        <v>0</v>
      </c>
      <c r="K25" s="22" t="n">
        <v>524.92</v>
      </c>
      <c r="L25" s="22" t="n">
        <v>5.57</v>
      </c>
      <c r="M25" s="22" t="n">
        <v>12</v>
      </c>
      <c r="N25" s="22">
        <f>SUM(B25:M25)</f>
        <v/>
      </c>
      <c r="O25" s="22" t="n">
        <v>0</v>
      </c>
      <c r="P25" s="22" t="n">
        <v>3.71</v>
      </c>
      <c r="Q25" s="22" t="n">
        <v>332.8700000000001</v>
      </c>
      <c r="R25" s="22" t="n">
        <v>12</v>
      </c>
      <c r="S25" s="22" t="n">
        <v>16</v>
      </c>
      <c r="T25" s="22" t="n">
        <v>35.11999999999989</v>
      </c>
      <c r="U25" s="22" t="n">
        <v>16.99</v>
      </c>
      <c r="AA25" s="22">
        <f>SUM(O25:U25)</f>
        <v/>
      </c>
      <c r="AB25" s="22">
        <f>SUM(O25:Z25)</f>
        <v/>
      </c>
      <c r="AC25" s="22" t="n">
        <v>58</v>
      </c>
      <c r="AD25" s="22" t="n">
        <v>58</v>
      </c>
      <c r="AE25" s="22" t="n">
        <v>58</v>
      </c>
      <c r="AF25" s="22" t="n">
        <v>58</v>
      </c>
      <c r="AG25" s="22" t="n">
        <v>58</v>
      </c>
      <c r="AH25" s="22" t="n">
        <v>58</v>
      </c>
      <c r="AI25" s="10">
        <f>SUM(AC25:AH25)</f>
        <v/>
      </c>
      <c r="AJ25" s="22">
        <f>SUM(AC25:AH25)+AI25</f>
        <v/>
      </c>
      <c r="AK25" s="11">
        <f>IF(N25&lt;&gt;0,(AB25-N25)/ABS(N25),0)</f>
        <v/>
      </c>
      <c r="AL25" s="11">
        <f>IF(AB25&lt;&gt;0,(AJ25-AB25)/ABS(AB25),0)</f>
        <v/>
      </c>
    </row>
    <row r="26" ht="13" customHeight="1">
      <c r="A26" s="21" t="inlineStr">
        <is>
          <t xml:space="preserve">    Art Materials</t>
        </is>
      </c>
      <c r="N26" s="22">
        <f>SUM(B26:M26)</f>
        <v/>
      </c>
      <c r="O26" s="22" t="n">
        <v>0</v>
      </c>
      <c r="P26" s="22" t="n">
        <v>10.97</v>
      </c>
      <c r="Q26" s="22" t="n">
        <v>64.73999999999999</v>
      </c>
      <c r="R26" s="22" t="n">
        <v>82.13</v>
      </c>
      <c r="S26" s="22" t="n">
        <v>5.69</v>
      </c>
      <c r="T26" s="22" t="n">
        <v>35.15</v>
      </c>
      <c r="U26" s="22" t="n">
        <v>4.99</v>
      </c>
      <c r="V26" s="22" t="n">
        <v>10.74528</v>
      </c>
      <c r="W26" s="22" t="n">
        <v>28.57088</v>
      </c>
      <c r="X26" s="22" t="n">
        <v>35.412</v>
      </c>
      <c r="Y26" s="22" t="n">
        <v>40.43312</v>
      </c>
      <c r="Z26" s="22" t="n">
        <v>32.73088</v>
      </c>
      <c r="AA26" s="22">
        <f>SUM(O26:U26)</f>
        <v/>
      </c>
      <c r="AB26" s="22">
        <f>SUM(O26:Z26)</f>
        <v/>
      </c>
      <c r="AC26" s="22" t="n">
        <v>37.9459392</v>
      </c>
      <c r="AD26" s="22" t="n">
        <v>31.5723408</v>
      </c>
      <c r="AE26" s="22" t="n">
        <v>45.7350192</v>
      </c>
      <c r="AF26" s="22" t="n">
        <v>46.3810048</v>
      </c>
      <c r="AG26" s="22" t="n">
        <v>30.4313984</v>
      </c>
      <c r="AH26" s="22" t="n">
        <v>34.53051679999999</v>
      </c>
      <c r="AI26" s="10">
        <f>SUM(AC26:AH26)</f>
        <v/>
      </c>
      <c r="AJ26" s="22">
        <f>SUM(AC26:AH26)+AI26</f>
        <v/>
      </c>
      <c r="AK26" s="11">
        <f>IF(N26&lt;&gt;0,(AB26-N26)/ABS(N26),0)</f>
        <v/>
      </c>
      <c r="AL26" s="11">
        <f>IF(AB26&lt;&gt;0,(AJ26-AB26)/ABS(AB26),0)</f>
        <v/>
      </c>
    </row>
    <row r="27" ht="13" customHeight="1">
      <c r="A27" s="21" t="inlineStr">
        <is>
          <t xml:space="preserve">    Nursery Stationery</t>
        </is>
      </c>
      <c r="B27" s="22" t="n">
        <v>26.31</v>
      </c>
      <c r="C27" s="22" t="n">
        <v>20.61</v>
      </c>
      <c r="D27" s="22" t="n">
        <v>3.69</v>
      </c>
      <c r="E27" s="22" t="n">
        <v>0</v>
      </c>
      <c r="F27" s="22" t="n">
        <v>16.59</v>
      </c>
      <c r="G27" s="22" t="n">
        <v>13.46</v>
      </c>
      <c r="H27" s="22" t="n">
        <v>25.94</v>
      </c>
      <c r="I27" s="22" t="n">
        <v>27.14</v>
      </c>
      <c r="J27" s="22" t="n">
        <v>20.75</v>
      </c>
      <c r="K27" s="22" t="n">
        <v>24.9</v>
      </c>
      <c r="L27" s="22" t="n">
        <v>0</v>
      </c>
      <c r="M27" s="22" t="n">
        <v>4.99</v>
      </c>
      <c r="N27" s="22">
        <f>SUM(B27:M27)</f>
        <v/>
      </c>
      <c r="O27" s="22" t="n">
        <v>17.99</v>
      </c>
      <c r="P27" s="22" t="n">
        <v>9.91</v>
      </c>
      <c r="Q27" s="22" t="n">
        <v>0</v>
      </c>
      <c r="R27" s="22" t="n">
        <v>5.91</v>
      </c>
      <c r="S27" s="22" t="n">
        <v>69.22</v>
      </c>
      <c r="T27" s="22" t="n">
        <v>6.98</v>
      </c>
      <c r="U27" s="22" t="n">
        <v>0</v>
      </c>
      <c r="AA27" s="22">
        <f>SUM(O27:U27)</f>
        <v/>
      </c>
      <c r="AB27" s="22">
        <f>SUM(O27:Z27)</f>
        <v/>
      </c>
      <c r="AC27" s="22" t="n">
        <v>70</v>
      </c>
      <c r="AD27" s="22" t="n">
        <v>70</v>
      </c>
      <c r="AE27" s="22" t="n">
        <v>70</v>
      </c>
      <c r="AF27" s="22" t="n">
        <v>70</v>
      </c>
      <c r="AG27" s="22" t="n">
        <v>70</v>
      </c>
      <c r="AH27" s="22" t="n">
        <v>70</v>
      </c>
      <c r="AI27" s="10">
        <f>SUM(AC27:AH27)</f>
        <v/>
      </c>
      <c r="AJ27" s="22">
        <f>SUM(AC27:AH27)+AI27</f>
        <v/>
      </c>
      <c r="AK27" s="11">
        <f>IF(N27&lt;&gt;0,(AB27-N27)/ABS(N27),0)</f>
        <v/>
      </c>
      <c r="AL27" s="11">
        <f>IF(AB27&lt;&gt;0,(AJ27-AB27)/ABS(AB27),0)</f>
        <v/>
      </c>
    </row>
    <row r="28" ht="13" customHeight="1">
      <c r="A28" s="21" t="inlineStr">
        <is>
          <t xml:space="preserve">    Nursery Equipment</t>
        </is>
      </c>
      <c r="B28" s="22" t="n">
        <v>0</v>
      </c>
      <c r="C28" s="22" t="n">
        <v>25.46</v>
      </c>
      <c r="D28" s="22" t="n">
        <v>30.22</v>
      </c>
      <c r="E28" s="22" t="n">
        <v>24.98</v>
      </c>
      <c r="F28" s="22" t="n">
        <v>0</v>
      </c>
      <c r="G28" s="22" t="n">
        <v>30.47</v>
      </c>
      <c r="H28" s="22" t="n">
        <v>34.33</v>
      </c>
      <c r="I28" s="22" t="n">
        <v>0</v>
      </c>
      <c r="J28" s="22" t="n">
        <v>273.99</v>
      </c>
      <c r="K28" s="22" t="n">
        <v>233.99</v>
      </c>
      <c r="L28" s="22" t="n">
        <v>0</v>
      </c>
      <c r="M28" s="22" t="n">
        <v>5.99</v>
      </c>
      <c r="N28" s="22">
        <f>SUM(B28:M28)</f>
        <v/>
      </c>
      <c r="O28" s="22" t="n">
        <v>7.58</v>
      </c>
      <c r="P28" s="22" t="n">
        <v>29.99</v>
      </c>
      <c r="Q28" s="22" t="n">
        <v>95.2</v>
      </c>
      <c r="R28" s="22" t="n">
        <v>373.95</v>
      </c>
      <c r="S28" s="22" t="n">
        <v>0</v>
      </c>
      <c r="T28" s="22" t="n">
        <v>4.99</v>
      </c>
      <c r="U28" s="22" t="n">
        <v>5.81</v>
      </c>
      <c r="AA28" s="22">
        <f>SUM(O28:U28)</f>
        <v/>
      </c>
      <c r="AB28" s="22">
        <f>SUM(O28:Z28)</f>
        <v/>
      </c>
      <c r="AC28" s="22" t="n">
        <v>50</v>
      </c>
      <c r="AD28" s="22" t="n">
        <v>50</v>
      </c>
      <c r="AE28" s="22" t="n">
        <v>50</v>
      </c>
      <c r="AF28" s="22" t="n">
        <v>50</v>
      </c>
      <c r="AG28" s="22" t="n">
        <v>50</v>
      </c>
      <c r="AH28" s="22" t="n">
        <v>50</v>
      </c>
      <c r="AI28" s="10">
        <f>SUM(AC28:AH28)</f>
        <v/>
      </c>
      <c r="AJ28" s="22">
        <f>SUM(AC28:AH28)+AI28</f>
        <v/>
      </c>
      <c r="AK28" s="11">
        <f>IF(N28&lt;&gt;0,(AB28-N28)/ABS(N28),0)</f>
        <v/>
      </c>
      <c r="AL28" s="11">
        <f>IF(AB28&lt;&gt;0,(AJ28-AB28)/ABS(AB28),0)</f>
        <v/>
      </c>
    </row>
    <row r="29" ht="13" customHeight="1">
      <c r="A29" s="21" t="inlineStr">
        <is>
          <t xml:space="preserve">    Nursery Consumables</t>
        </is>
      </c>
      <c r="N29" s="22">
        <f>SUM(B29:M29)</f>
        <v/>
      </c>
      <c r="O29" s="22" t="n">
        <v>44.37</v>
      </c>
      <c r="P29" s="22" t="n">
        <v>7.95</v>
      </c>
      <c r="Q29" s="22" t="n">
        <v>47.24</v>
      </c>
      <c r="R29" s="22" t="n">
        <v>2.89</v>
      </c>
      <c r="S29" s="22" t="n">
        <v>104.04</v>
      </c>
      <c r="T29" s="22" t="n">
        <v>77.33</v>
      </c>
      <c r="U29" s="22" t="n">
        <v>33.73</v>
      </c>
      <c r="V29" s="22" t="n">
        <v>21.49056000000001</v>
      </c>
      <c r="W29" s="22" t="n">
        <v>57.14176000000002</v>
      </c>
      <c r="X29" s="22" t="n">
        <v>70.82400000000003</v>
      </c>
      <c r="Y29" s="22" t="n">
        <v>80.86624000000003</v>
      </c>
      <c r="Z29" s="22" t="n">
        <v>65.46176000000003</v>
      </c>
      <c r="AA29" s="22">
        <f>SUM(O29:U29)</f>
        <v/>
      </c>
      <c r="AB29" s="22">
        <f>SUM(O29:Z29)</f>
        <v/>
      </c>
      <c r="AC29" s="22" t="n">
        <v>75.89187840000004</v>
      </c>
      <c r="AD29" s="22" t="n">
        <v>63.14468160000002</v>
      </c>
      <c r="AE29" s="22" t="n">
        <v>91.47003840000004</v>
      </c>
      <c r="AF29" s="22" t="n">
        <v>92.76200960000004</v>
      </c>
      <c r="AG29" s="22" t="n">
        <v>60.86279680000002</v>
      </c>
      <c r="AH29" s="22" t="n">
        <v>69.06103360000002</v>
      </c>
      <c r="AI29" s="10">
        <f>SUM(AC29:AH29)</f>
        <v/>
      </c>
      <c r="AJ29" s="22">
        <f>SUM(AC29:AH29)+AI29</f>
        <v/>
      </c>
      <c r="AK29" s="11">
        <f>IF(N29&lt;&gt;0,(AB29-N29)/ABS(N29),0)</f>
        <v/>
      </c>
      <c r="AL29" s="11">
        <f>IF(AB29&lt;&gt;0,(AJ29-AB29)/ABS(AB29),0)</f>
        <v/>
      </c>
    </row>
    <row r="30" ht="13" customHeight="1">
      <c r="A30" s="23" t="inlineStr">
        <is>
          <t>Total Childcare Costs</t>
        </is>
      </c>
      <c r="B30" s="24">
        <f>B24+B25+B26+B27+B28+B29</f>
        <v/>
      </c>
      <c r="C30" s="24">
        <f>C24+C25+C26+C27+C28+C29</f>
        <v/>
      </c>
      <c r="D30" s="24">
        <f>D24+D25+D26+D27+D28+D29</f>
        <v/>
      </c>
      <c r="E30" s="24">
        <f>E24+E25+E26+E27+E28+E29</f>
        <v/>
      </c>
      <c r="F30" s="24">
        <f>F24+F25+F26+F27+F28+F29</f>
        <v/>
      </c>
      <c r="G30" s="24">
        <f>G24+G25+G26+G27+G28+G29</f>
        <v/>
      </c>
      <c r="H30" s="24">
        <f>H24+H25+H26+H27+H28+H29</f>
        <v/>
      </c>
      <c r="I30" s="24">
        <f>I24+I25+I26+I27+I28+I29</f>
        <v/>
      </c>
      <c r="J30" s="24">
        <f>J24+J25+J26+J27+J28+J29</f>
        <v/>
      </c>
      <c r="K30" s="24">
        <f>K24+K25+K26+K27+K28+K29</f>
        <v/>
      </c>
      <c r="L30" s="24">
        <f>L24+L25+L26+L27+L28+L29</f>
        <v/>
      </c>
      <c r="M30" s="24">
        <f>M24+M25+M26+M27+M28+M29</f>
        <v/>
      </c>
      <c r="N30" s="24">
        <f>N24+N25+N26+N27+N28+N29</f>
        <v/>
      </c>
      <c r="O30" s="24">
        <f>O24+O25+O26+O27+O28+O29</f>
        <v/>
      </c>
      <c r="P30" s="24">
        <f>P24+P25+P26+P27+P28+P29</f>
        <v/>
      </c>
      <c r="Q30" s="24">
        <f>Q24+Q25+Q26+Q27+Q28+Q29</f>
        <v/>
      </c>
      <c r="R30" s="24">
        <f>R24+R25+R26+R27+R28+R29</f>
        <v/>
      </c>
      <c r="S30" s="24">
        <f>S24+S25+S26+S27+S28+S29</f>
        <v/>
      </c>
      <c r="T30" s="24">
        <f>T24+T25+T26+T27+T28+T29</f>
        <v/>
      </c>
      <c r="U30" s="24">
        <f>U24+U25+U26+U27+U28+U29</f>
        <v/>
      </c>
      <c r="V30" s="24">
        <f>V24+V25+V26+V27+V28+V29</f>
        <v/>
      </c>
      <c r="W30" s="24">
        <f>W24+W25+W26+W27+W28+W29</f>
        <v/>
      </c>
      <c r="X30" s="24">
        <f>X24+X25+X26+X27+X28+X29</f>
        <v/>
      </c>
      <c r="Y30" s="24">
        <f>Y24+Y25+Y26+Y27+Y28+Y29</f>
        <v/>
      </c>
      <c r="Z30" s="24">
        <f>Z24+Z25+Z26+Z27+Z28+Z29</f>
        <v/>
      </c>
      <c r="AA30" s="24">
        <f>AA24+AA25+AA26+AA27+AA28+AA29</f>
        <v/>
      </c>
      <c r="AB30" s="24">
        <f>AB24+AB25+AB26+AB27+AB28+AB29</f>
        <v/>
      </c>
      <c r="AC30" s="24">
        <f>AC24+AC25+AC26+AC27+AC28+AC29</f>
        <v/>
      </c>
      <c r="AD30" s="24">
        <f>AD24+AD25+AD26+AD27+AD28+AD29</f>
        <v/>
      </c>
      <c r="AE30" s="24">
        <f>AE24+AE25+AE26+AE27+AE28+AE29</f>
        <v/>
      </c>
      <c r="AF30" s="24">
        <f>AF24+AF25+AF26+AF27+AF28+AF29</f>
        <v/>
      </c>
      <c r="AG30" s="24">
        <f>AG24+AG25+AG26+AG27+AG28+AG29</f>
        <v/>
      </c>
      <c r="AH30" s="24">
        <f>AH24+AH25+AH26+AH27+AH28+AH29</f>
        <v/>
      </c>
      <c r="AI30" s="24">
        <f>AI24+AI25+AI26+AI27+AI28+AI29</f>
        <v/>
      </c>
      <c r="AJ30" s="24">
        <f>AJ24+AJ25+AJ26+AJ27+AJ28+AJ29</f>
        <v/>
      </c>
      <c r="AK30" s="11">
        <f>IF(N30&lt;&gt;0,(AB30-N30)/ABS(N30),0)</f>
        <v/>
      </c>
      <c r="AL30" s="11">
        <f>IF(AB30&lt;&gt;0,(AJ30-AB30)/ABS(AB30),0)</f>
        <v/>
      </c>
    </row>
    <row r="31" ht="5" customHeight="1"/>
    <row r="32" ht="13" customHeight="1">
      <c r="A32" s="14" t="inlineStr">
        <is>
          <t>Premises &amp; Admin</t>
        </is>
      </c>
    </row>
    <row r="33" ht="13" customHeight="1">
      <c r="A33" s="25" t="inlineStr">
        <is>
          <t xml:space="preserve">    Rent</t>
        </is>
      </c>
      <c r="B33" s="26" t="n">
        <v>900</v>
      </c>
      <c r="C33" s="26" t="n">
        <v>900</v>
      </c>
      <c r="D33" s="26" t="n">
        <v>900</v>
      </c>
      <c r="E33" s="26" t="n">
        <v>900</v>
      </c>
      <c r="F33" s="26" t="n">
        <v>900</v>
      </c>
      <c r="G33" s="26" t="n">
        <v>900</v>
      </c>
      <c r="H33" s="26" t="n">
        <v>900</v>
      </c>
      <c r="I33" s="26" t="n">
        <v>900</v>
      </c>
      <c r="J33" s="26" t="n">
        <v>900</v>
      </c>
      <c r="K33" s="26" t="n">
        <v>900</v>
      </c>
      <c r="L33" s="26" t="n">
        <v>900</v>
      </c>
      <c r="M33" s="26" t="n">
        <v>900</v>
      </c>
      <c r="N33" s="26">
        <f>SUM(B33:M33)</f>
        <v/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  <c r="AA33" s="26">
        <f>SUM(O33:U33)</f>
        <v/>
      </c>
      <c r="AB33" s="26">
        <f>SUM(O33:Z33)</f>
        <v/>
      </c>
      <c r="AC33" s="26" t="n">
        <v>0</v>
      </c>
      <c r="AD33" s="26" t="n">
        <v>0</v>
      </c>
      <c r="AE33" s="26" t="n">
        <v>0</v>
      </c>
      <c r="AF33" s="26" t="n">
        <v>0</v>
      </c>
      <c r="AG33" s="26" t="n">
        <v>0</v>
      </c>
      <c r="AH33" s="26" t="n">
        <v>0</v>
      </c>
      <c r="AI33" s="10">
        <f>SUM(AC33:AH33)</f>
        <v/>
      </c>
      <c r="AJ33" s="26">
        <f>SUM(AC33:AH33)+AI33</f>
        <v/>
      </c>
      <c r="AK33" s="11">
        <f>IF(N33&lt;&gt;0,(AB33-N33)/ABS(N33),0)</f>
        <v/>
      </c>
      <c r="AL33" s="11">
        <f>IF(AB33&lt;&gt;0,(AJ33-AB33)/ABS(AB33),0)</f>
        <v/>
      </c>
    </row>
    <row r="34" ht="13" customHeight="1">
      <c r="A34" s="25" t="inlineStr">
        <is>
          <t xml:space="preserve">    Business Rates</t>
        </is>
      </c>
      <c r="B34" s="26" t="n">
        <v>665.33</v>
      </c>
      <c r="C34" s="26" t="n">
        <v>665.33</v>
      </c>
      <c r="D34" s="26" t="n">
        <v>665.33</v>
      </c>
      <c r="E34" s="26" t="n">
        <v>665.33</v>
      </c>
      <c r="F34" s="26" t="n">
        <v>665.33</v>
      </c>
      <c r="G34" s="26" t="n">
        <v>665.33</v>
      </c>
      <c r="H34" s="26" t="n">
        <v>665.33</v>
      </c>
      <c r="I34" s="26" t="n">
        <v>665.33</v>
      </c>
      <c r="J34" s="26" t="n">
        <v>665.33</v>
      </c>
      <c r="K34" s="26" t="n">
        <v>665.33</v>
      </c>
      <c r="L34" s="26" t="n">
        <v>665.33</v>
      </c>
      <c r="M34" s="26" t="n">
        <v>665.33</v>
      </c>
      <c r="N34" s="26">
        <f>SUM(B34:M34)</f>
        <v/>
      </c>
      <c r="O34" s="26" t="n">
        <v>665.34</v>
      </c>
      <c r="P34" s="26" t="n">
        <v>665.34</v>
      </c>
      <c r="Q34" s="26" t="n">
        <v>665.34</v>
      </c>
      <c r="R34" s="26" t="n">
        <v>765.13</v>
      </c>
      <c r="S34" s="26" t="n">
        <v>765.13</v>
      </c>
      <c r="T34" s="26" t="n">
        <v>765.13</v>
      </c>
      <c r="U34" s="26" t="n">
        <v>765.13</v>
      </c>
      <c r="AA34" s="26">
        <f>SUM(O34:U34)</f>
        <v/>
      </c>
      <c r="AB34" s="26">
        <f>SUM(O34:Z34)</f>
        <v/>
      </c>
      <c r="AC34" s="26" t="n">
        <v>765</v>
      </c>
      <c r="AD34" s="26" t="n">
        <v>765</v>
      </c>
      <c r="AE34" s="26" t="n">
        <v>765</v>
      </c>
      <c r="AF34" s="26" t="n">
        <v>765</v>
      </c>
      <c r="AG34" s="26" t="n">
        <v>765</v>
      </c>
      <c r="AH34" s="26" t="n">
        <v>765</v>
      </c>
      <c r="AI34" s="10">
        <f>SUM(AC34:AH34)</f>
        <v/>
      </c>
      <c r="AJ34" s="26">
        <f>SUM(AC34:AH34)+AI34</f>
        <v/>
      </c>
      <c r="AK34" s="11">
        <f>IF(N34&lt;&gt;0,(AB34-N34)/ABS(N34),0)</f>
        <v/>
      </c>
      <c r="AL34" s="11">
        <f>IF(AB34&lt;&gt;0,(AJ34-AB34)/ABS(AB34),0)</f>
        <v/>
      </c>
    </row>
    <row r="35" ht="13" customHeight="1">
      <c r="A35" s="25" t="inlineStr">
        <is>
          <t xml:space="preserve">    Utilities</t>
        </is>
      </c>
      <c r="B35" s="26" t="n">
        <v>1473.89</v>
      </c>
      <c r="C35" s="26" t="n">
        <v>1366.4</v>
      </c>
      <c r="D35" s="26" t="n">
        <v>2603.3</v>
      </c>
      <c r="E35" s="26" t="n">
        <v>1870.5</v>
      </c>
      <c r="F35" s="26" t="n">
        <v>1063.68</v>
      </c>
      <c r="G35" s="26" t="n">
        <v>1396.75</v>
      </c>
      <c r="H35" s="26" t="n">
        <v>1107.36</v>
      </c>
      <c r="I35" s="26" t="n">
        <v>1181</v>
      </c>
      <c r="J35" s="26" t="n">
        <v>-275.1799999999999</v>
      </c>
      <c r="K35" s="26" t="n">
        <v>839.92</v>
      </c>
      <c r="L35" s="26" t="n">
        <v>1036.6</v>
      </c>
      <c r="M35" s="26" t="n">
        <v>2199.25</v>
      </c>
      <c r="N35" s="26">
        <f>SUM(B35:M35)</f>
        <v/>
      </c>
      <c r="O35" s="26" t="n">
        <v>1618.32</v>
      </c>
      <c r="P35" s="26" t="n">
        <v>1670.36</v>
      </c>
      <c r="Q35" s="26" t="n">
        <v>1621.91</v>
      </c>
      <c r="R35" s="26" t="n">
        <v>1425.43</v>
      </c>
      <c r="S35" s="26" t="n">
        <v>1194.09</v>
      </c>
      <c r="T35" s="26" t="n">
        <v>332.99</v>
      </c>
      <c r="U35" s="26" t="n">
        <v>1554.36</v>
      </c>
      <c r="AA35" s="26">
        <f>SUM(O35:U35)</f>
        <v/>
      </c>
      <c r="AB35" s="26">
        <f>SUM(O35:Z35)</f>
        <v/>
      </c>
      <c r="AC35" s="26" t="n">
        <v>1340</v>
      </c>
      <c r="AD35" s="26" t="n">
        <v>1340</v>
      </c>
      <c r="AE35" s="26" t="n">
        <v>1340</v>
      </c>
      <c r="AF35" s="26" t="n">
        <v>1340</v>
      </c>
      <c r="AG35" s="26" t="n">
        <v>1340</v>
      </c>
      <c r="AH35" s="26" t="n">
        <v>1340</v>
      </c>
      <c r="AI35" s="10">
        <f>SUM(AC35:AH35)</f>
        <v/>
      </c>
      <c r="AJ35" s="26">
        <f>SUM(AC35:AH35)+AI35</f>
        <v/>
      </c>
      <c r="AK35" s="11">
        <f>IF(N35&lt;&gt;0,(AB35-N35)/ABS(N35),0)</f>
        <v/>
      </c>
      <c r="AL35" s="11">
        <f>IF(AB35&lt;&gt;0,(AJ35-AB35)/ABS(AB35),0)</f>
        <v/>
      </c>
    </row>
    <row r="36" ht="13" customHeight="1">
      <c r="A36" s="25" t="inlineStr">
        <is>
          <t xml:space="preserve">    Repairs &amp; Maintenance</t>
        </is>
      </c>
      <c r="B36" s="26" t="n">
        <v>190.89</v>
      </c>
      <c r="C36" s="26" t="n">
        <v>334.56</v>
      </c>
      <c r="D36" s="26" t="n">
        <v>31.18</v>
      </c>
      <c r="E36" s="26" t="n">
        <v>140.03</v>
      </c>
      <c r="F36" s="26" t="n">
        <v>268.7</v>
      </c>
      <c r="G36" s="26" t="n">
        <v>6.98</v>
      </c>
      <c r="H36" s="26" t="n">
        <v>375.45</v>
      </c>
      <c r="I36" s="26" t="n">
        <v>68.62</v>
      </c>
      <c r="J36" s="26" t="n">
        <v>190.13</v>
      </c>
      <c r="K36" s="26" t="n">
        <v>37.19</v>
      </c>
      <c r="L36" s="26" t="n">
        <v>367.46</v>
      </c>
      <c r="M36" s="26" t="n">
        <v>121.98</v>
      </c>
      <c r="N36" s="26">
        <f>SUM(B36:M36)</f>
        <v/>
      </c>
      <c r="O36" s="26" t="n">
        <v>0</v>
      </c>
      <c r="P36" s="26" t="n">
        <v>143.11</v>
      </c>
      <c r="Q36" s="26" t="n">
        <v>5024.98</v>
      </c>
      <c r="R36" s="26" t="n">
        <v>1405.36</v>
      </c>
      <c r="S36" s="26" t="n">
        <v>382.9999999999999</v>
      </c>
      <c r="T36" s="26" t="n">
        <v>17.57</v>
      </c>
      <c r="U36" s="26" t="n">
        <v>108</v>
      </c>
      <c r="AA36" s="26">
        <f>SUM(O36:U36)</f>
        <v/>
      </c>
      <c r="AB36" s="26">
        <f>SUM(O36:Z36)</f>
        <v/>
      </c>
      <c r="AC36" s="26" t="n">
        <v>0</v>
      </c>
      <c r="AD36" s="26" t="n">
        <v>0</v>
      </c>
      <c r="AE36" s="26" t="n">
        <v>0</v>
      </c>
      <c r="AF36" s="26" t="n">
        <v>0</v>
      </c>
      <c r="AG36" s="26" t="n">
        <v>0</v>
      </c>
      <c r="AH36" s="26" t="n">
        <v>0</v>
      </c>
      <c r="AI36" s="10">
        <f>SUM(AC36:AH36)</f>
        <v/>
      </c>
      <c r="AJ36" s="26">
        <f>SUM(AC36:AH36)+AI36</f>
        <v/>
      </c>
      <c r="AK36" s="11">
        <f>IF(N36&lt;&gt;0,(AB36-N36)/ABS(N36),0)</f>
        <v/>
      </c>
      <c r="AL36" s="11">
        <f>IF(AB36&lt;&gt;0,(AJ36-AB36)/ABS(AB36),0)</f>
        <v/>
      </c>
    </row>
    <row r="37" ht="13" customHeight="1">
      <c r="A37" s="25" t="inlineStr">
        <is>
          <t xml:space="preserve">    Cleaning</t>
        </is>
      </c>
      <c r="B37" s="26" t="n">
        <v>190.06</v>
      </c>
      <c r="C37" s="26" t="n">
        <v>202.06</v>
      </c>
      <c r="D37" s="26" t="n">
        <v>55.16999999999999</v>
      </c>
      <c r="E37" s="26" t="n">
        <v>160.01</v>
      </c>
      <c r="F37" s="26" t="n">
        <v>83.73999999999999</v>
      </c>
      <c r="G37" s="26" t="n">
        <v>65.2</v>
      </c>
      <c r="H37" s="26" t="n">
        <v>159.27</v>
      </c>
      <c r="I37" s="26" t="n">
        <v>99.89</v>
      </c>
      <c r="J37" s="26" t="n">
        <v>134.23</v>
      </c>
      <c r="K37" s="26" t="n">
        <v>129.5</v>
      </c>
      <c r="L37" s="26" t="n">
        <v>136.31</v>
      </c>
      <c r="M37" s="26" t="n">
        <v>5.71</v>
      </c>
      <c r="N37" s="26">
        <f>SUM(B37:M37)</f>
        <v/>
      </c>
      <c r="O37" s="26" t="n">
        <v>112.87</v>
      </c>
      <c r="P37" s="26" t="n">
        <v>33</v>
      </c>
      <c r="Q37" s="26" t="n">
        <v>77.39</v>
      </c>
      <c r="R37" s="26" t="n">
        <v>0</v>
      </c>
      <c r="S37" s="26" t="n">
        <v>194.26</v>
      </c>
      <c r="T37" s="26" t="n">
        <v>124.22</v>
      </c>
      <c r="U37" s="26" t="n">
        <v>0</v>
      </c>
      <c r="AA37" s="26">
        <f>SUM(O37:U37)</f>
        <v/>
      </c>
      <c r="AB37" s="26">
        <f>SUM(O37:Z37)</f>
        <v/>
      </c>
      <c r="AC37" s="26" t="n">
        <v>128</v>
      </c>
      <c r="AD37" s="26" t="n">
        <v>128</v>
      </c>
      <c r="AE37" s="26" t="n">
        <v>128</v>
      </c>
      <c r="AF37" s="26" t="n">
        <v>128</v>
      </c>
      <c r="AG37" s="26" t="n">
        <v>128</v>
      </c>
      <c r="AH37" s="26" t="n">
        <v>128</v>
      </c>
      <c r="AI37" s="10">
        <f>SUM(AC37:AH37)</f>
        <v/>
      </c>
      <c r="AJ37" s="26">
        <f>SUM(AC37:AH37)+AI37</f>
        <v/>
      </c>
      <c r="AK37" s="11">
        <f>IF(N37&lt;&gt;0,(AB37-N37)/ABS(N37),0)</f>
        <v/>
      </c>
      <c r="AL37" s="11">
        <f>IF(AB37&lt;&gt;0,(AJ37-AB37)/ABS(AB37),0)</f>
        <v/>
      </c>
    </row>
    <row r="38" ht="13" customHeight="1">
      <c r="A38" s="25" t="inlineStr">
        <is>
          <t xml:space="preserve">    Waste Disposal</t>
        </is>
      </c>
      <c r="B38" s="26" t="n">
        <v>370.63</v>
      </c>
      <c r="C38" s="26" t="n">
        <v>434.89</v>
      </c>
      <c r="D38" s="26" t="n">
        <v>421.63</v>
      </c>
      <c r="E38" s="26" t="n">
        <v>380.28</v>
      </c>
      <c r="F38" s="26" t="n">
        <v>383.48</v>
      </c>
      <c r="G38" s="26" t="n">
        <v>436.89</v>
      </c>
      <c r="H38" s="26" t="n">
        <v>383.48</v>
      </c>
      <c r="I38" s="26" t="n">
        <v>491.1800000000001</v>
      </c>
      <c r="J38" s="26" t="n">
        <v>436.89</v>
      </c>
      <c r="K38" s="26" t="n">
        <v>392.44</v>
      </c>
      <c r="L38" s="26" t="n">
        <v>399.43</v>
      </c>
      <c r="M38" s="26" t="n">
        <v>470.88</v>
      </c>
      <c r="N38" s="26">
        <f>SUM(B38:M38)</f>
        <v/>
      </c>
      <c r="O38" s="26" t="n">
        <v>399.42</v>
      </c>
      <c r="P38" s="26" t="n">
        <v>408.91</v>
      </c>
      <c r="Q38" s="26" t="n">
        <v>452.83</v>
      </c>
      <c r="R38" s="26" t="n">
        <v>507.47</v>
      </c>
      <c r="S38" s="26" t="n">
        <v>426.43</v>
      </c>
      <c r="T38" s="26" t="n">
        <v>317.77</v>
      </c>
      <c r="U38" s="26" t="n">
        <v>399.42</v>
      </c>
      <c r="AA38" s="26">
        <f>SUM(O38:U38)</f>
        <v/>
      </c>
      <c r="AB38" s="26">
        <f>SUM(O38:Z38)</f>
        <v/>
      </c>
      <c r="AC38" s="26" t="n">
        <v>414</v>
      </c>
      <c r="AD38" s="26" t="n">
        <v>414</v>
      </c>
      <c r="AE38" s="26" t="n">
        <v>414</v>
      </c>
      <c r="AF38" s="26" t="n">
        <v>414</v>
      </c>
      <c r="AG38" s="26" t="n">
        <v>414</v>
      </c>
      <c r="AH38" s="26" t="n">
        <v>414</v>
      </c>
      <c r="AI38" s="10">
        <f>SUM(AC38:AH38)</f>
        <v/>
      </c>
      <c r="AJ38" s="26">
        <f>SUM(AC38:AH38)+AI38</f>
        <v/>
      </c>
      <c r="AK38" s="11">
        <f>IF(N38&lt;&gt;0,(AB38-N38)/ABS(N38),0)</f>
        <v/>
      </c>
      <c r="AL38" s="11">
        <f>IF(AB38&lt;&gt;0,(AJ38-AB38)/ABS(AB38),0)</f>
        <v/>
      </c>
    </row>
    <row r="39" ht="13" customHeight="1">
      <c r="A39" s="25" t="inlineStr">
        <is>
          <t xml:space="preserve">    Postage/Printing/Stationery</t>
        </is>
      </c>
      <c r="B39" s="26" t="n">
        <v>48.91</v>
      </c>
      <c r="C39" s="26" t="n">
        <v>26.65</v>
      </c>
      <c r="D39" s="26" t="n">
        <v>48.28</v>
      </c>
      <c r="E39" s="26" t="n">
        <v>37.56</v>
      </c>
      <c r="F39" s="26" t="n">
        <v>22.48</v>
      </c>
      <c r="G39" s="26" t="n">
        <v>32.72</v>
      </c>
      <c r="H39" s="26" t="n">
        <v>59.91</v>
      </c>
      <c r="I39" s="26" t="n">
        <v>27.53</v>
      </c>
      <c r="J39" s="26" t="n">
        <v>29.07</v>
      </c>
      <c r="K39" s="26" t="n">
        <v>54.09999999999999</v>
      </c>
      <c r="L39" s="26" t="n">
        <v>30.14</v>
      </c>
      <c r="M39" s="26" t="n">
        <v>11.04</v>
      </c>
      <c r="N39" s="26">
        <f>SUM(B39:M39)</f>
        <v/>
      </c>
      <c r="O39" s="26" t="n">
        <v>35.03</v>
      </c>
      <c r="P39" s="26" t="n">
        <v>36.49</v>
      </c>
      <c r="Q39" s="26" t="n">
        <v>0</v>
      </c>
      <c r="R39" s="26" t="n">
        <v>25.46</v>
      </c>
      <c r="S39" s="26" t="n">
        <v>28.47</v>
      </c>
      <c r="T39" s="26" t="n">
        <v>37.06999999999999</v>
      </c>
      <c r="U39" s="26" t="n">
        <v>13.88</v>
      </c>
      <c r="AA39" s="26">
        <f>SUM(O39:U39)</f>
        <v/>
      </c>
      <c r="AB39" s="26">
        <f>SUM(O39:Z39)</f>
        <v/>
      </c>
      <c r="AC39" s="26" t="n">
        <v>0</v>
      </c>
      <c r="AD39" s="26" t="n">
        <v>0</v>
      </c>
      <c r="AE39" s="26" t="n">
        <v>0</v>
      </c>
      <c r="AF39" s="26" t="n">
        <v>0</v>
      </c>
      <c r="AG39" s="26" t="n">
        <v>0</v>
      </c>
      <c r="AH39" s="26" t="n">
        <v>0</v>
      </c>
      <c r="AI39" s="10">
        <f>SUM(AC39:AH39)</f>
        <v/>
      </c>
      <c r="AJ39" s="26">
        <f>SUM(AC39:AH39)+AI39</f>
        <v/>
      </c>
      <c r="AK39" s="11">
        <f>IF(N39&lt;&gt;0,(AB39-N39)/ABS(N39),0)</f>
        <v/>
      </c>
      <c r="AL39" s="11">
        <f>IF(AB39&lt;&gt;0,(AJ39-AB39)/ABS(AB39),0)</f>
        <v/>
      </c>
    </row>
    <row r="40" ht="13" customHeight="1">
      <c r="A40" s="25" t="inlineStr">
        <is>
          <t xml:space="preserve">    Telephone</t>
        </is>
      </c>
      <c r="B40" s="26" t="n">
        <v>0</v>
      </c>
      <c r="C40" s="26" t="n">
        <v>0</v>
      </c>
      <c r="D40" s="26" t="n">
        <v>0</v>
      </c>
      <c r="E40" s="26" t="n">
        <v>0</v>
      </c>
      <c r="F40" s="26" t="n">
        <v>0</v>
      </c>
      <c r="G40" s="26" t="n">
        <v>0</v>
      </c>
      <c r="H40" s="26" t="n">
        <v>0</v>
      </c>
      <c r="I40" s="26" t="n">
        <v>0</v>
      </c>
      <c r="J40" s="26" t="n">
        <v>0</v>
      </c>
      <c r="K40" s="26" t="n">
        <v>0</v>
      </c>
      <c r="L40" s="26" t="n">
        <v>0</v>
      </c>
      <c r="M40" s="26" t="n">
        <v>0</v>
      </c>
      <c r="N40" s="26">
        <f>SUM(B40:M40)</f>
        <v/>
      </c>
      <c r="O40" s="26" t="n">
        <v>25</v>
      </c>
      <c r="P40" s="26" t="n">
        <v>0</v>
      </c>
      <c r="Q40" s="26" t="n">
        <v>783.74</v>
      </c>
      <c r="R40" s="26" t="n">
        <v>1037</v>
      </c>
      <c r="S40" s="26" t="n">
        <v>237</v>
      </c>
      <c r="T40" s="26" t="n">
        <v>23</v>
      </c>
      <c r="U40" s="26" t="n">
        <v>56</v>
      </c>
      <c r="AA40" s="26">
        <f>SUM(O40:U40)</f>
        <v/>
      </c>
      <c r="AB40" s="26">
        <f>SUM(O40:Z40)</f>
        <v/>
      </c>
      <c r="AC40" s="26" t="n">
        <v>0</v>
      </c>
      <c r="AD40" s="26" t="n">
        <v>0</v>
      </c>
      <c r="AE40" s="26" t="n">
        <v>0</v>
      </c>
      <c r="AF40" s="26" t="n">
        <v>0</v>
      </c>
      <c r="AG40" s="26" t="n">
        <v>0</v>
      </c>
      <c r="AH40" s="26" t="n">
        <v>0</v>
      </c>
      <c r="AI40" s="10">
        <f>SUM(AC40:AH40)</f>
        <v/>
      </c>
      <c r="AJ40" s="26">
        <f>SUM(AC40:AH40)+AI40</f>
        <v/>
      </c>
      <c r="AK40" s="11">
        <f>IF(N40&lt;&gt;0,(AB40-N40)/ABS(N40),0)</f>
        <v/>
      </c>
      <c r="AL40" s="11">
        <f>IF(AB40&lt;&gt;0,(AJ40-AB40)/ABS(AB40),0)</f>
        <v/>
      </c>
    </row>
    <row r="41" ht="13" customHeight="1">
      <c r="A41" s="25" t="inlineStr">
        <is>
          <t xml:space="preserve">    Marketing</t>
        </is>
      </c>
      <c r="B41" s="26" t="n">
        <v>0</v>
      </c>
      <c r="C41" s="26" t="n">
        <v>0</v>
      </c>
      <c r="D41" s="26" t="n">
        <v>0</v>
      </c>
      <c r="E41" s="26" t="n">
        <v>0</v>
      </c>
      <c r="F41" s="26" t="n">
        <v>0</v>
      </c>
      <c r="G41" s="26" t="n">
        <v>0</v>
      </c>
      <c r="H41" s="26" t="n">
        <v>0</v>
      </c>
      <c r="I41" s="26" t="n">
        <v>0</v>
      </c>
      <c r="J41" s="26" t="n">
        <v>0</v>
      </c>
      <c r="K41" s="26" t="n">
        <v>137.5</v>
      </c>
      <c r="L41" s="26" t="n">
        <v>137.5</v>
      </c>
      <c r="M41" s="26" t="n">
        <v>137.5</v>
      </c>
      <c r="N41" s="26">
        <f>SUM(B41:M41)</f>
        <v/>
      </c>
      <c r="O41" s="26" t="n">
        <v>137.5</v>
      </c>
      <c r="P41" s="26" t="n">
        <v>137.5</v>
      </c>
      <c r="Q41" s="26" t="n">
        <v>137.5</v>
      </c>
      <c r="R41" s="26" t="n">
        <v>137.5</v>
      </c>
      <c r="S41" s="26" t="n">
        <v>137.5</v>
      </c>
      <c r="T41" s="26" t="n">
        <v>137.5</v>
      </c>
      <c r="U41" s="26" t="n">
        <v>137.5</v>
      </c>
      <c r="AA41" s="26">
        <f>SUM(O41:U41)</f>
        <v/>
      </c>
      <c r="AB41" s="26">
        <f>SUM(O41:Z41)</f>
        <v/>
      </c>
      <c r="AC41" s="26" t="n">
        <v>138</v>
      </c>
      <c r="AD41" s="26" t="n">
        <v>138</v>
      </c>
      <c r="AE41" s="26" t="n">
        <v>138</v>
      </c>
      <c r="AF41" s="26" t="n">
        <v>138</v>
      </c>
      <c r="AG41" s="26" t="n">
        <v>138</v>
      </c>
      <c r="AH41" s="26" t="n">
        <v>138</v>
      </c>
      <c r="AI41" s="10">
        <f>SUM(AC41:AH41)</f>
        <v/>
      </c>
      <c r="AJ41" s="26">
        <f>SUM(AC41:AH41)+AI41</f>
        <v/>
      </c>
      <c r="AK41" s="11">
        <f>IF(N41&lt;&gt;0,(AB41-N41)/ABS(N41),0)</f>
        <v/>
      </c>
      <c r="AL41" s="11">
        <f>IF(AB41&lt;&gt;0,(AJ41-AB41)/ABS(AB41),0)</f>
        <v/>
      </c>
    </row>
    <row r="42" ht="13" customHeight="1">
      <c r="A42" s="27" t="inlineStr">
        <is>
          <t>Total Premises &amp; Admin</t>
        </is>
      </c>
      <c r="B42" s="28">
        <f>B33+B34+B35+B36+B37+B38+B39+B40+B41</f>
        <v/>
      </c>
      <c r="C42" s="28">
        <f>C33+C34+C35+C36+C37+C38+C39+C40+C41</f>
        <v/>
      </c>
      <c r="D42" s="28">
        <f>D33+D34+D35+D36+D37+D38+D39+D40+D41</f>
        <v/>
      </c>
      <c r="E42" s="28">
        <f>E33+E34+E35+E36+E37+E38+E39+E40+E41</f>
        <v/>
      </c>
      <c r="F42" s="28">
        <f>F33+F34+F35+F36+F37+F38+F39+F40+F41</f>
        <v/>
      </c>
      <c r="G42" s="28">
        <f>G33+G34+G35+G36+G37+G38+G39+G40+G41</f>
        <v/>
      </c>
      <c r="H42" s="28">
        <f>H33+H34+H35+H36+H37+H38+H39+H40+H41</f>
        <v/>
      </c>
      <c r="I42" s="28">
        <f>I33+I34+I35+I36+I37+I38+I39+I40+I41</f>
        <v/>
      </c>
      <c r="J42" s="28">
        <f>J33+J34+J35+J36+J37+J38+J39+J40+J41</f>
        <v/>
      </c>
      <c r="K42" s="28">
        <f>K33+K34+K35+K36+K37+K38+K39+K40+K41</f>
        <v/>
      </c>
      <c r="L42" s="28">
        <f>L33+L34+L35+L36+L37+L38+L39+L40+L41</f>
        <v/>
      </c>
      <c r="M42" s="28">
        <f>M33+M34+M35+M36+M37+M38+M39+M40+M41</f>
        <v/>
      </c>
      <c r="N42" s="28">
        <f>N33+N34+N35+N36+N37+N38+N39+N40+N41</f>
        <v/>
      </c>
      <c r="O42" s="28">
        <f>O33+O34+O35+O36+O37+O38+O39+O40+O41</f>
        <v/>
      </c>
      <c r="P42" s="28">
        <f>P33+P34+P35+P36+P37+P38+P39+P40+P41</f>
        <v/>
      </c>
      <c r="Q42" s="28">
        <f>Q33+Q34+Q35+Q36+Q37+Q38+Q39+Q40+Q41</f>
        <v/>
      </c>
      <c r="R42" s="28">
        <f>R33+R34+R35+R36+R37+R38+R39+R40+R41</f>
        <v/>
      </c>
      <c r="S42" s="28">
        <f>S33+S34+S35+S36+S37+S38+S39+S40+S41</f>
        <v/>
      </c>
      <c r="T42" s="28">
        <f>T33+T34+T35+T36+T37+T38+T39+T40+T41</f>
        <v/>
      </c>
      <c r="U42" s="28">
        <f>U33+U34+U35+U36+U37+U38+U39+U40+U41</f>
        <v/>
      </c>
      <c r="V42" s="28">
        <f>V33+V34+V35+V36+V37+V38+V39+V40+V41</f>
        <v/>
      </c>
      <c r="W42" s="28">
        <f>W33+W34+W35+W36+W37+W38+W39+W40+W41</f>
        <v/>
      </c>
      <c r="X42" s="28">
        <f>X33+X34+X35+X36+X37+X38+X39+X40+X41</f>
        <v/>
      </c>
      <c r="Y42" s="28">
        <f>Y33+Y34+Y35+Y36+Y37+Y38+Y39+Y40+Y41</f>
        <v/>
      </c>
      <c r="Z42" s="28">
        <f>Z33+Z34+Z35+Z36+Z37+Z38+Z39+Z40+Z41</f>
        <v/>
      </c>
      <c r="AA42" s="28">
        <f>AA33+AA34+AA35+AA36+AA37+AA38+AA39+AA40+AA41</f>
        <v/>
      </c>
      <c r="AB42" s="28">
        <f>AB33+AB34+AB35+AB36+AB37+AB38+AB39+AB40+AB41</f>
        <v/>
      </c>
      <c r="AC42" s="28">
        <f>AC33+AC34+AC35+AC36+AC37+AC38+AC39+AC40+AC41</f>
        <v/>
      </c>
      <c r="AD42" s="28">
        <f>AD33+AD34+AD35+AD36+AD37+AD38+AD39+AD40+AD41</f>
        <v/>
      </c>
      <c r="AE42" s="28">
        <f>AE33+AE34+AE35+AE36+AE37+AE38+AE39+AE40+AE41</f>
        <v/>
      </c>
      <c r="AF42" s="28">
        <f>AF33+AF34+AF35+AF36+AF37+AF38+AF39+AF40+AF41</f>
        <v/>
      </c>
      <c r="AG42" s="28">
        <f>AG33+AG34+AG35+AG36+AG37+AG38+AG39+AG40+AG41</f>
        <v/>
      </c>
      <c r="AH42" s="28">
        <f>AH33+AH34+AH35+AH36+AH37+AH38+AH39+AH40+AH41</f>
        <v/>
      </c>
      <c r="AI42" s="28">
        <f>AI33+AI34+AI35+AI36+AI37+AI38+AI39+AI40+AI41</f>
        <v/>
      </c>
      <c r="AJ42" s="28">
        <f>AJ33+AJ34+AJ35+AJ36+AJ37+AJ38+AJ39+AJ40+AJ41</f>
        <v/>
      </c>
      <c r="AK42" s="11">
        <f>IF(N42&lt;&gt;0,(AB42-N42)/ABS(N42),0)</f>
        <v/>
      </c>
      <c r="AL42" s="11">
        <f>IF(AB42&lt;&gt;0,(AJ42-AB42)/ABS(AB42),0)</f>
        <v/>
      </c>
    </row>
    <row r="43" ht="5" customHeight="1"/>
    <row r="44" ht="13" customHeight="1">
      <c r="A44" s="29" t="inlineStr">
        <is>
          <t>Total Direct Costs</t>
        </is>
      </c>
      <c r="AK44" s="11">
        <f>IF(N44&lt;&gt;0,(AB44-N44)/ABS(N44),0)</f>
        <v/>
      </c>
      <c r="AL44" s="11">
        <f>IF(AB44&lt;&gt;0,(AJ44-AB44)/ABS(AB44),0)</f>
        <v/>
      </c>
    </row>
    <row r="45" ht="5" customHeight="1"/>
    <row r="46" ht="15" customHeight="1">
      <c r="A46" s="30" t="inlineStr">
        <is>
          <t>CONTRIBUTION</t>
        </is>
      </c>
      <c r="B46" s="31">
        <f>B7-B44</f>
        <v/>
      </c>
      <c r="C46" s="31">
        <f>C7-C44</f>
        <v/>
      </c>
      <c r="D46" s="31">
        <f>D7-D44</f>
        <v/>
      </c>
      <c r="E46" s="31">
        <f>E7-E44</f>
        <v/>
      </c>
      <c r="F46" s="31">
        <f>F7-F44</f>
        <v/>
      </c>
      <c r="G46" s="31">
        <f>G7-G44</f>
        <v/>
      </c>
      <c r="H46" s="31">
        <f>H7-H44</f>
        <v/>
      </c>
      <c r="I46" s="31">
        <f>I7-I44</f>
        <v/>
      </c>
      <c r="J46" s="31">
        <f>J7-J44</f>
        <v/>
      </c>
      <c r="K46" s="31">
        <f>K7-K44</f>
        <v/>
      </c>
      <c r="L46" s="31">
        <f>L7-L44</f>
        <v/>
      </c>
      <c r="M46" s="31">
        <f>M7-M44</f>
        <v/>
      </c>
      <c r="N46" s="31">
        <f>N7-N44</f>
        <v/>
      </c>
      <c r="O46" s="31">
        <f>O7-O44</f>
        <v/>
      </c>
      <c r="P46" s="31">
        <f>P7-P44</f>
        <v/>
      </c>
      <c r="Q46" s="31">
        <f>Q7-Q44</f>
        <v/>
      </c>
      <c r="R46" s="31">
        <f>R7-R44</f>
        <v/>
      </c>
      <c r="S46" s="31">
        <f>S7-S44</f>
        <v/>
      </c>
      <c r="T46" s="31">
        <f>T7-T44</f>
        <v/>
      </c>
      <c r="U46" s="31">
        <f>U7-U44</f>
        <v/>
      </c>
      <c r="V46" s="31">
        <f>V7-V44</f>
        <v/>
      </c>
      <c r="W46" s="31">
        <f>W7-W44</f>
        <v/>
      </c>
      <c r="X46" s="31">
        <f>X7-X44</f>
        <v/>
      </c>
      <c r="Y46" s="31">
        <f>Y7-Y44</f>
        <v/>
      </c>
      <c r="Z46" s="31">
        <f>Z7-Z44</f>
        <v/>
      </c>
      <c r="AA46" s="31">
        <f>AA7-AA44</f>
        <v/>
      </c>
      <c r="AB46" s="31">
        <f>AB7-AB44</f>
        <v/>
      </c>
      <c r="AC46" s="31">
        <f>AC7-AC44</f>
        <v/>
      </c>
      <c r="AD46" s="31">
        <f>AD7-AD44</f>
        <v/>
      </c>
      <c r="AE46" s="31">
        <f>AE7-AE44</f>
        <v/>
      </c>
      <c r="AF46" s="31">
        <f>AF7-AF44</f>
        <v/>
      </c>
      <c r="AG46" s="31">
        <f>AG7-AG44</f>
        <v/>
      </c>
      <c r="AH46" s="31">
        <f>AH7-AH44</f>
        <v/>
      </c>
      <c r="AI46" s="31">
        <f>AI7-AI44</f>
        <v/>
      </c>
      <c r="AJ46" s="31">
        <f>AJ7-AJ44</f>
        <v/>
      </c>
      <c r="AK46" s="11">
        <f>IF(N46&lt;&gt;0,(AB46-N46)/ABS(N46),0)</f>
        <v/>
      </c>
      <c r="AL46" s="11">
        <f>IF(AB46&lt;&gt;0,(AJ46-AB46)/ABS(AB46),0)</f>
        <v/>
      </c>
    </row>
  </sheetData>
  <mergeCells count="8">
    <mergeCell ref="A10:AL10"/>
    <mergeCell ref="B1:N1"/>
    <mergeCell ref="A23:AL23"/>
    <mergeCell ref="A32:AL32"/>
    <mergeCell ref="AC1:AJ1"/>
    <mergeCell ref="A9:AL9"/>
    <mergeCell ref="A3:AL3"/>
    <mergeCell ref="O1:AB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L4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9.5" customWidth="1" min="27" max="27"/>
    <col width="9.5" customWidth="1" min="28" max="28"/>
    <col width="9.5" customWidth="1" min="29" max="29"/>
    <col width="9.5" customWidth="1" min="30" max="30"/>
    <col width="9.5" customWidth="1" min="31" max="31"/>
    <col width="9.5" customWidth="1" min="32" max="32"/>
    <col width="9.5" customWidth="1" min="33" max="33"/>
    <col width="9.5" customWidth="1" min="34" max="34"/>
    <col width="9.5" customWidth="1" min="35" max="35"/>
    <col width="11" customWidth="1" min="36" max="36"/>
    <col width="10" customWidth="1" min="37" max="37"/>
    <col width="10" customWidth="1" min="38" max="38"/>
  </cols>
  <sheetData>
    <row r="1" ht="18" customHeight="1">
      <c r="A1" s="1" t="inlineStr">
        <is>
          <t>Abacus</t>
        </is>
      </c>
      <c r="B1" s="2" t="inlineStr">
        <is>
          <t>Actuals 2025</t>
        </is>
      </c>
      <c r="O1" s="2" t="inlineStr">
        <is>
          <t>2026 Actual / Forecast</t>
        </is>
      </c>
      <c r="AC1" s="32" t="inlineStr">
        <is>
          <t>2027 Plan</t>
        </is>
      </c>
      <c r="AK1" s="3" t="inlineStr">
        <is>
          <t>YoY</t>
        </is>
      </c>
      <c r="AL1" s="3" t="inlineStr">
        <is>
          <t>YoY</t>
        </is>
      </c>
    </row>
    <row r="2" ht="22" customHeight="1">
      <c r="B2" s="4" t="inlineStr">
        <is>
          <t>Jan</t>
        </is>
      </c>
      <c r="C2" s="4" t="inlineStr">
        <is>
          <t>Feb</t>
        </is>
      </c>
      <c r="D2" s="4" t="inlineStr">
        <is>
          <t>Mar</t>
        </is>
      </c>
      <c r="E2" s="4" t="inlineStr">
        <is>
          <t>Apr</t>
        </is>
      </c>
      <c r="F2" s="4" t="inlineStr">
        <is>
          <t>May</t>
        </is>
      </c>
      <c r="G2" s="4" t="inlineStr">
        <is>
          <t>Jun</t>
        </is>
      </c>
      <c r="H2" s="4" t="inlineStr">
        <is>
          <t>Jul</t>
        </is>
      </c>
      <c r="I2" s="4" t="inlineStr">
        <is>
          <t>Aug</t>
        </is>
      </c>
      <c r="J2" s="4" t="inlineStr">
        <is>
          <t>Sep</t>
        </is>
      </c>
      <c r="K2" s="4" t="inlineStr">
        <is>
          <t>Oct</t>
        </is>
      </c>
      <c r="L2" s="4" t="inlineStr">
        <is>
          <t>Nov</t>
        </is>
      </c>
      <c r="M2" s="4" t="inlineStr">
        <is>
          <t>Dec</t>
        </is>
      </c>
      <c r="N2" s="5" t="inlineStr">
        <is>
          <t>FY2025
Total</t>
        </is>
      </c>
      <c r="O2" s="4" t="inlineStr">
        <is>
          <t>Jan</t>
        </is>
      </c>
      <c r="P2" s="4" t="inlineStr">
        <is>
          <t>Feb</t>
        </is>
      </c>
      <c r="Q2" s="4" t="inlineStr">
        <is>
          <t>Mar</t>
        </is>
      </c>
      <c r="R2" s="4" t="inlineStr">
        <is>
          <t>Apr</t>
        </is>
      </c>
      <c r="S2" s="4" t="inlineStr">
        <is>
          <t>May</t>
        </is>
      </c>
      <c r="T2" s="4" t="inlineStr">
        <is>
          <t>Jun</t>
        </is>
      </c>
      <c r="U2" s="4" t="inlineStr">
        <is>
          <t>Jul</t>
        </is>
      </c>
      <c r="V2" s="4" t="inlineStr">
        <is>
          <t>Aug</t>
        </is>
      </c>
      <c r="W2" s="4" t="inlineStr">
        <is>
          <t>Sep</t>
        </is>
      </c>
      <c r="X2" s="4" t="inlineStr">
        <is>
          <t>Oct</t>
        </is>
      </c>
      <c r="Y2" s="4" t="inlineStr">
        <is>
          <t>Nov</t>
        </is>
      </c>
      <c r="Z2" s="4" t="inlineStr">
        <is>
          <t>Dec</t>
        </is>
      </c>
      <c r="AA2" s="4" t="inlineStr">
        <is>
          <t>YTD</t>
        </is>
      </c>
      <c r="AB2" s="5" t="inlineStr">
        <is>
          <t>FY2026
Outlook</t>
        </is>
      </c>
      <c r="AC2" s="4" t="inlineStr">
        <is>
          <t>Jan</t>
        </is>
      </c>
      <c r="AD2" s="4" t="inlineStr">
        <is>
          <t>Feb</t>
        </is>
      </c>
      <c r="AE2" s="4" t="inlineStr">
        <is>
          <t>Mar</t>
        </is>
      </c>
      <c r="AF2" s="4" t="inlineStr">
        <is>
          <t>Apr</t>
        </is>
      </c>
      <c r="AG2" s="4" t="inlineStr">
        <is>
          <t>May</t>
        </is>
      </c>
      <c r="AH2" s="4" t="inlineStr">
        <is>
          <t>Jun</t>
        </is>
      </c>
      <c r="AI2" s="33" t="inlineStr">
        <is>
          <t>Jul-Dec
Plan</t>
        </is>
      </c>
      <c r="AJ2" s="4" t="inlineStr">
        <is>
          <t>FY2027</t>
        </is>
      </c>
      <c r="AK2" s="6" t="inlineStr">
        <is>
          <t>25→26
%</t>
        </is>
      </c>
      <c r="AL2" s="6" t="inlineStr">
        <is>
          <t>26→27
%</t>
        </is>
      </c>
    </row>
    <row r="3" ht="15" customHeight="1">
      <c r="A3" s="7" t="inlineStr">
        <is>
          <t>INCOME</t>
        </is>
      </c>
    </row>
    <row r="4" ht="13" customHeight="1">
      <c r="A4" s="8" t="inlineStr">
        <is>
          <t xml:space="preserve">    Fee Income Regular</t>
        </is>
      </c>
      <c r="B4" s="9" t="n">
        <v>45121.08</v>
      </c>
      <c r="C4" s="9" t="n">
        <v>48317.09</v>
      </c>
      <c r="D4" s="9" t="n">
        <v>59604</v>
      </c>
      <c r="E4" s="9" t="n">
        <v>58999.57</v>
      </c>
      <c r="F4" s="9" t="n">
        <v>54973.4</v>
      </c>
      <c r="G4" s="9" t="n">
        <v>54200.75</v>
      </c>
      <c r="H4" s="9" t="n">
        <v>68470.83</v>
      </c>
      <c r="I4" s="9" t="n">
        <v>57893.73</v>
      </c>
      <c r="J4" s="9" t="n">
        <v>46302.96</v>
      </c>
      <c r="K4" s="9" t="n">
        <v>47210.81</v>
      </c>
      <c r="L4" s="9" t="n">
        <v>44551.63</v>
      </c>
      <c r="M4" s="9" t="n">
        <v>58823.32</v>
      </c>
      <c r="N4" s="9">
        <f>SUM(B4:M4)</f>
        <v/>
      </c>
      <c r="O4" s="9" t="n">
        <v>51261.86000000002</v>
      </c>
      <c r="P4" s="9" t="n">
        <v>47040.00000000002</v>
      </c>
      <c r="Q4" s="9" t="n">
        <v>62383.19999999999</v>
      </c>
      <c r="R4" s="9" t="n">
        <v>65608.48999999999</v>
      </c>
      <c r="S4" s="9" t="n">
        <v>54732.77</v>
      </c>
      <c r="T4" s="9" t="n">
        <v>63533.83999999999</v>
      </c>
      <c r="U4" s="9" t="n">
        <v>77254.31999999998</v>
      </c>
      <c r="AA4" s="9">
        <f>SUM(O4:U4)</f>
        <v/>
      </c>
      <c r="AB4" s="9">
        <f>SUM(O4:Z4)</f>
        <v/>
      </c>
      <c r="AC4" s="9" t="n">
        <v>105589.88</v>
      </c>
      <c r="AD4" s="9" t="n">
        <v>122011.99</v>
      </c>
      <c r="AE4" s="9" t="n">
        <v>95286.97</v>
      </c>
      <c r="AF4" s="9" t="n">
        <v>109311.06</v>
      </c>
      <c r="AG4" s="9" t="n">
        <v>116010.76</v>
      </c>
      <c r="AH4" s="9" t="n">
        <v>110257.62</v>
      </c>
      <c r="AI4" s="34">
        <f>SUM(AC4:AH4)</f>
        <v/>
      </c>
      <c r="AJ4" s="9">
        <f>SUM(AC4:AH4)+AI4</f>
        <v/>
      </c>
      <c r="AK4" s="11">
        <f>IF(N4&lt;&gt;0,(AB4-N4)/ABS(N4),0)</f>
        <v/>
      </c>
      <c r="AL4" s="11">
        <f>IF(AB4&lt;&gt;0,(AJ4-AB4)/ABS(AB4),0)</f>
        <v/>
      </c>
    </row>
    <row r="5" ht="13" customHeight="1">
      <c r="A5" s="8" t="inlineStr">
        <is>
          <t xml:space="preserve">    EEEF Embedded</t>
        </is>
      </c>
      <c r="B5" s="9" t="n">
        <v>11395.45</v>
      </c>
      <c r="C5" s="9" t="n">
        <v>30240.26</v>
      </c>
      <c r="D5" s="9" t="n">
        <v>33852.92</v>
      </c>
      <c r="E5" s="9" t="n">
        <v>11973.37</v>
      </c>
      <c r="F5" s="9" t="n">
        <v>11973.37</v>
      </c>
      <c r="G5" s="9" t="n">
        <v>44731.22</v>
      </c>
      <c r="H5" s="9" t="n">
        <v>40794.17</v>
      </c>
      <c r="I5" s="9" t="n">
        <v>0</v>
      </c>
      <c r="J5" s="9" t="n">
        <v>12746.69</v>
      </c>
      <c r="K5" s="9" t="n">
        <v>34548.74</v>
      </c>
      <c r="L5" s="9" t="n">
        <v>34548.75</v>
      </c>
      <c r="M5" s="9" t="n">
        <v>37093.27</v>
      </c>
      <c r="N5" s="9">
        <f>SUM(B5:M5)</f>
        <v/>
      </c>
      <c r="O5" s="9" t="n">
        <v>16246.68</v>
      </c>
      <c r="P5" s="9" t="n">
        <v>45919.86</v>
      </c>
      <c r="Q5" s="9" t="n">
        <v>45919.86</v>
      </c>
      <c r="R5" s="9" t="n">
        <v>36357.78</v>
      </c>
      <c r="S5" s="9" t="n">
        <v>36357.78</v>
      </c>
      <c r="T5" s="9" t="n">
        <v>37136.04</v>
      </c>
      <c r="U5" s="9" t="n">
        <v>39324.86</v>
      </c>
      <c r="AA5" s="9">
        <f>SUM(O5:U5)</f>
        <v/>
      </c>
      <c r="AB5" s="9">
        <f>SUM(O5:Z5)</f>
        <v/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34">
        <f>SUM(AC5:AH5)</f>
        <v/>
      </c>
      <c r="AJ5" s="9">
        <f>SUM(AC5:AH5)+AI5</f>
        <v/>
      </c>
      <c r="AK5" s="11">
        <f>IF(N5&lt;&gt;0,(AB5-N5)/ABS(N5),0)</f>
        <v/>
      </c>
      <c r="AL5" s="11">
        <f>IF(AB5&lt;&gt;0,(AJ5-AB5)/ABS(AB5),0)</f>
        <v/>
      </c>
    </row>
    <row r="6" ht="13" customHeight="1">
      <c r="A6" s="8" t="inlineStr">
        <is>
          <t xml:space="preserve">    Other Income</t>
        </is>
      </c>
      <c r="B6" s="9" t="n">
        <v>1000</v>
      </c>
      <c r="C6" s="9" t="n">
        <v>0</v>
      </c>
      <c r="D6" s="9" t="n">
        <v>0</v>
      </c>
      <c r="E6" s="9" t="n">
        <v>240</v>
      </c>
      <c r="F6" s="9" t="n">
        <v>150</v>
      </c>
      <c r="G6" s="9" t="n">
        <v>150</v>
      </c>
      <c r="H6" s="9" t="n">
        <v>150</v>
      </c>
      <c r="I6" s="9" t="n">
        <v>150</v>
      </c>
      <c r="J6" s="9" t="n">
        <v>150</v>
      </c>
      <c r="K6" s="9" t="n">
        <v>150</v>
      </c>
      <c r="L6" s="9" t="n">
        <v>150</v>
      </c>
      <c r="M6" s="9" t="n">
        <v>150</v>
      </c>
      <c r="N6" s="9">
        <f>SUM(B6:M6)</f>
        <v/>
      </c>
      <c r="O6" s="9" t="n">
        <v>650</v>
      </c>
      <c r="P6" s="9" t="n">
        <v>150</v>
      </c>
      <c r="Q6" s="9" t="n">
        <v>150</v>
      </c>
      <c r="R6" s="9" t="n">
        <v>150</v>
      </c>
      <c r="S6" s="9" t="n">
        <v>150</v>
      </c>
      <c r="T6" s="9" t="n">
        <v>150</v>
      </c>
      <c r="U6" s="9" t="n">
        <v>150</v>
      </c>
      <c r="AA6" s="9">
        <f>SUM(O6:U6)</f>
        <v/>
      </c>
      <c r="AB6" s="9">
        <f>SUM(O6:Z6)</f>
        <v/>
      </c>
      <c r="AC6" s="9" t="n">
        <v>0</v>
      </c>
      <c r="AD6" s="9" t="n">
        <v>0</v>
      </c>
      <c r="AE6" s="9" t="n">
        <v>0</v>
      </c>
      <c r="AF6" s="9" t="n">
        <v>0</v>
      </c>
      <c r="AG6" s="9" t="n">
        <v>0</v>
      </c>
      <c r="AH6" s="9" t="n">
        <v>0</v>
      </c>
      <c r="AI6" s="34">
        <f>SUM(AC6:AH6)</f>
        <v/>
      </c>
      <c r="AJ6" s="9">
        <f>SUM(AC6:AH6)+AI6</f>
        <v/>
      </c>
      <c r="AK6" s="11">
        <f>IF(N6&lt;&gt;0,(AB6-N6)/ABS(N6),0)</f>
        <v/>
      </c>
      <c r="AL6" s="11">
        <f>IF(AB6&lt;&gt;0,(AJ6-AB6)/ABS(AB6),0)</f>
        <v/>
      </c>
    </row>
    <row r="7" ht="13" customHeight="1">
      <c r="A7" s="12" t="inlineStr">
        <is>
          <t>Total Income</t>
        </is>
      </c>
      <c r="B7" s="13">
        <f>B4+B5+B6</f>
        <v/>
      </c>
      <c r="C7" s="13">
        <f>C4+C5+C6</f>
        <v/>
      </c>
      <c r="D7" s="13">
        <f>D4+D5+D6</f>
        <v/>
      </c>
      <c r="E7" s="13">
        <f>E4+E5+E6</f>
        <v/>
      </c>
      <c r="F7" s="13">
        <f>F4+F5+F6</f>
        <v/>
      </c>
      <c r="G7" s="13">
        <f>G4+G5+G6</f>
        <v/>
      </c>
      <c r="H7" s="13">
        <f>H4+H5+H6</f>
        <v/>
      </c>
      <c r="I7" s="13">
        <f>I4+I5+I6</f>
        <v/>
      </c>
      <c r="J7" s="13">
        <f>J4+J5+J6</f>
        <v/>
      </c>
      <c r="K7" s="13">
        <f>K4+K5+K6</f>
        <v/>
      </c>
      <c r="L7" s="13">
        <f>L4+L5+L6</f>
        <v/>
      </c>
      <c r="M7" s="13">
        <f>M4+M5+M6</f>
        <v/>
      </c>
      <c r="N7" s="13">
        <f>N4+N5+N6</f>
        <v/>
      </c>
      <c r="O7" s="13">
        <f>O4+O5+O6</f>
        <v/>
      </c>
      <c r="P7" s="13">
        <f>P4+P5+P6</f>
        <v/>
      </c>
      <c r="Q7" s="13">
        <f>Q4+Q5+Q6</f>
        <v/>
      </c>
      <c r="R7" s="13">
        <f>R4+R5+R6</f>
        <v/>
      </c>
      <c r="S7" s="13">
        <f>S4+S5+S6</f>
        <v/>
      </c>
      <c r="T7" s="13">
        <f>T4+T5+T6</f>
        <v/>
      </c>
      <c r="U7" s="13">
        <f>U4+U5+U6</f>
        <v/>
      </c>
      <c r="V7" s="13">
        <f>V4+V5+V6</f>
        <v/>
      </c>
      <c r="W7" s="13">
        <f>W4+W5+W6</f>
        <v/>
      </c>
      <c r="X7" s="13">
        <f>X4+X5+X6</f>
        <v/>
      </c>
      <c r="Y7" s="13">
        <f>Y4+Y5+Y6</f>
        <v/>
      </c>
      <c r="Z7" s="13">
        <f>Z4+Z5+Z6</f>
        <v/>
      </c>
      <c r="AA7" s="13">
        <f>AA4+AA5+AA6</f>
        <v/>
      </c>
      <c r="AB7" s="13">
        <f>AB4+AB5+AB6</f>
        <v/>
      </c>
      <c r="AC7" s="13">
        <f>AC4+AC5+AC6</f>
        <v/>
      </c>
      <c r="AD7" s="13">
        <f>AD4+AD5+AD6</f>
        <v/>
      </c>
      <c r="AE7" s="13">
        <f>AE4+AE5+AE6</f>
        <v/>
      </c>
      <c r="AF7" s="13">
        <f>AF4+AF5+AF6</f>
        <v/>
      </c>
      <c r="AG7" s="13">
        <f>AG4+AG5+AG6</f>
        <v/>
      </c>
      <c r="AH7" s="13">
        <f>AH4+AH5+AH6</f>
        <v/>
      </c>
      <c r="AI7" s="13">
        <f>AI4+AI5+AI6</f>
        <v/>
      </c>
      <c r="AJ7" s="13">
        <f>AJ4+AJ5+AJ6</f>
        <v/>
      </c>
      <c r="AK7" s="11">
        <f>IF(N7&lt;&gt;0,(AB7-N7)/ABS(N7),0)</f>
        <v/>
      </c>
      <c r="AL7" s="11">
        <f>IF(AB7&lt;&gt;0,(AJ7-AB7)/ABS(AB7),0)</f>
        <v/>
      </c>
    </row>
    <row r="8" ht="5" customHeight="1"/>
    <row r="9" ht="15" customHeight="1">
      <c r="A9" s="7" t="inlineStr">
        <is>
          <t>DIRECT COSTS</t>
        </is>
      </c>
    </row>
    <row r="10" ht="13" customHeight="1">
      <c r="A10" s="14" t="inlineStr">
        <is>
          <t>Personnel</t>
        </is>
      </c>
    </row>
    <row r="11" ht="13" customHeight="1">
      <c r="A11" s="15" t="inlineStr">
        <is>
          <t xml:space="preserve">    Nursery Salaries</t>
        </is>
      </c>
      <c r="B11" s="16" t="n">
        <v>31316.14</v>
      </c>
      <c r="C11" s="16" t="n">
        <v>32272.71</v>
      </c>
      <c r="D11" s="16" t="n">
        <v>33507.52</v>
      </c>
      <c r="E11" s="16" t="n">
        <v>35857.02</v>
      </c>
      <c r="F11" s="16" t="n">
        <v>36300.07</v>
      </c>
      <c r="G11" s="16" t="n">
        <v>37005.6</v>
      </c>
      <c r="H11" s="16" t="n">
        <v>38811.34</v>
      </c>
      <c r="I11" s="16" t="n">
        <v>36024.66</v>
      </c>
      <c r="J11" s="16" t="n">
        <v>35973.55</v>
      </c>
      <c r="K11" s="16" t="n">
        <v>34210.75</v>
      </c>
      <c r="L11" s="16" t="n">
        <v>33941.4</v>
      </c>
      <c r="M11" s="16" t="n">
        <v>34611.41</v>
      </c>
      <c r="N11" s="16">
        <f>SUM(B11:M11)</f>
        <v/>
      </c>
      <c r="O11" s="16" t="n">
        <v>33098.55</v>
      </c>
      <c r="P11" s="16" t="n">
        <v>37530.83</v>
      </c>
      <c r="Q11" s="16" t="n">
        <v>38072.4</v>
      </c>
      <c r="R11" s="16" t="n">
        <v>42905.75</v>
      </c>
      <c r="S11" s="16" t="n">
        <v>44862.47</v>
      </c>
      <c r="T11" s="16" t="n">
        <v>42474.52</v>
      </c>
      <c r="U11" s="16" t="n">
        <v>44079.43</v>
      </c>
      <c r="AA11" s="16">
        <f>SUM(O11:U11)</f>
        <v/>
      </c>
      <c r="AB11" s="16">
        <f>SUM(O11:Z11)</f>
        <v/>
      </c>
      <c r="AC11" s="16" t="n">
        <v>44079.43</v>
      </c>
      <c r="AD11" s="16" t="n">
        <v>44079.43</v>
      </c>
      <c r="AE11" s="16" t="n">
        <v>44079.43</v>
      </c>
      <c r="AF11" s="16" t="n">
        <v>44079.43</v>
      </c>
      <c r="AG11" s="16" t="n">
        <v>44079.43</v>
      </c>
      <c r="AH11" s="16" t="n">
        <v>44079.43</v>
      </c>
      <c r="AI11" s="34">
        <f>SUM(AC11:AH11)</f>
        <v/>
      </c>
      <c r="AJ11" s="16">
        <f>SUM(AC11:AH11)+AI11</f>
        <v/>
      </c>
      <c r="AK11" s="11">
        <f>IF(N11&lt;&gt;0,(AB11-N11)/ABS(N11),0)</f>
        <v/>
      </c>
      <c r="AL11" s="11">
        <f>IF(AB11&lt;&gt;0,(AJ11-AB11)/ABS(AB11),0)</f>
        <v/>
      </c>
    </row>
    <row r="12" ht="13" customHeight="1">
      <c r="A12" s="15" t="inlineStr">
        <is>
          <t xml:space="preserve">    Nursery NI</t>
        </is>
      </c>
      <c r="B12" s="16" t="n">
        <v>2200.8</v>
      </c>
      <c r="C12" s="16" t="n">
        <v>2181.6</v>
      </c>
      <c r="D12" s="16" t="n">
        <v>2265.66</v>
      </c>
      <c r="E12" s="16" t="n">
        <v>3434.81</v>
      </c>
      <c r="F12" s="16" t="n">
        <v>3452.56</v>
      </c>
      <c r="G12" s="16" t="n">
        <v>3639.83</v>
      </c>
      <c r="H12" s="16" t="n">
        <v>4034.6</v>
      </c>
      <c r="I12" s="16" t="n">
        <v>3525.03</v>
      </c>
      <c r="J12" s="16" t="n">
        <v>3409.27</v>
      </c>
      <c r="K12" s="16" t="n">
        <v>3148</v>
      </c>
      <c r="L12" s="16" t="n">
        <v>3079.55</v>
      </c>
      <c r="M12" s="16" t="n">
        <v>3438.39</v>
      </c>
      <c r="N12" s="16">
        <f>SUM(B12:M12)</f>
        <v/>
      </c>
      <c r="O12" s="16" t="n">
        <v>3146.95</v>
      </c>
      <c r="P12" s="16" t="n">
        <v>3574.88</v>
      </c>
      <c r="Q12" s="16" t="n">
        <v>3481.84</v>
      </c>
      <c r="R12" s="16" t="n">
        <v>3882.54</v>
      </c>
      <c r="S12" s="16" t="n">
        <v>4221.13</v>
      </c>
      <c r="T12" s="16" t="n">
        <v>4123.59</v>
      </c>
      <c r="U12" s="16" t="n">
        <v>4289.92</v>
      </c>
      <c r="AA12" s="16">
        <f>SUM(O12:U12)</f>
        <v/>
      </c>
      <c r="AB12" s="16">
        <f>SUM(O12:Z12)</f>
        <v/>
      </c>
      <c r="AC12" s="16" t="n">
        <v>4289.92</v>
      </c>
      <c r="AD12" s="16" t="n">
        <v>4289.92</v>
      </c>
      <c r="AE12" s="16" t="n">
        <v>4289.92</v>
      </c>
      <c r="AF12" s="16" t="n">
        <v>4289.92</v>
      </c>
      <c r="AG12" s="16" t="n">
        <v>4289.92</v>
      </c>
      <c r="AH12" s="16" t="n">
        <v>4289.92</v>
      </c>
      <c r="AI12" s="34">
        <f>SUM(AC12:AH12)</f>
        <v/>
      </c>
      <c r="AJ12" s="16">
        <f>SUM(AC12:AH12)+AI12</f>
        <v/>
      </c>
      <c r="AK12" s="11">
        <f>IF(N12&lt;&gt;0,(AB12-N12)/ABS(N12),0)</f>
        <v/>
      </c>
      <c r="AL12" s="11">
        <f>IF(AB12&lt;&gt;0,(AJ12-AB12)/ABS(AB12),0)</f>
        <v/>
      </c>
    </row>
    <row r="13" ht="13" customHeight="1">
      <c r="A13" s="15" t="inlineStr">
        <is>
          <t xml:space="preserve">    Nursery Pension</t>
        </is>
      </c>
      <c r="B13" s="16" t="n">
        <v>609.12</v>
      </c>
      <c r="C13" s="16" t="n">
        <v>604.7</v>
      </c>
      <c r="D13" s="16" t="n">
        <v>593.33</v>
      </c>
      <c r="E13" s="16" t="n">
        <v>633.2</v>
      </c>
      <c r="F13" s="16" t="n">
        <v>631.9</v>
      </c>
      <c r="G13" s="16" t="n">
        <v>716.47</v>
      </c>
      <c r="H13" s="16" t="n">
        <v>746.36</v>
      </c>
      <c r="I13" s="16" t="n">
        <v>648.61</v>
      </c>
      <c r="J13" s="16" t="n">
        <v>678.39</v>
      </c>
      <c r="K13" s="16" t="n">
        <v>624.58</v>
      </c>
      <c r="L13" s="16" t="n">
        <v>612.97</v>
      </c>
      <c r="M13" s="16" t="n">
        <v>624.6900000000001</v>
      </c>
      <c r="N13" s="16">
        <f>SUM(B13:M13)</f>
        <v/>
      </c>
      <c r="O13" s="16" t="n">
        <v>571.62</v>
      </c>
      <c r="P13" s="16" t="n">
        <v>534.23</v>
      </c>
      <c r="Q13" s="16" t="n">
        <v>534.37</v>
      </c>
      <c r="R13" s="16" t="n">
        <v>564.58</v>
      </c>
      <c r="S13" s="16" t="n">
        <v>653.95</v>
      </c>
      <c r="T13" s="16" t="n">
        <v>674.11</v>
      </c>
      <c r="U13" s="16" t="n">
        <v>706.29</v>
      </c>
      <c r="AA13" s="16">
        <f>SUM(O13:U13)</f>
        <v/>
      </c>
      <c r="AB13" s="16">
        <f>SUM(O13:Z13)</f>
        <v/>
      </c>
      <c r="AC13" s="16" t="n">
        <v>706.29</v>
      </c>
      <c r="AD13" s="16" t="n">
        <v>706.29</v>
      </c>
      <c r="AE13" s="16" t="n">
        <v>706.29</v>
      </c>
      <c r="AF13" s="16" t="n">
        <v>706.29</v>
      </c>
      <c r="AG13" s="16" t="n">
        <v>706.29</v>
      </c>
      <c r="AH13" s="16" t="n">
        <v>706.29</v>
      </c>
      <c r="AI13" s="34">
        <f>SUM(AC13:AH13)</f>
        <v/>
      </c>
      <c r="AJ13" s="16">
        <f>SUM(AC13:AH13)+AI13</f>
        <v/>
      </c>
      <c r="AK13" s="11">
        <f>IF(N13&lt;&gt;0,(AB13-N13)/ABS(N13),0)</f>
        <v/>
      </c>
      <c r="AL13" s="11">
        <f>IF(AB13&lt;&gt;0,(AJ13-AB13)/ABS(AB13),0)</f>
        <v/>
      </c>
    </row>
    <row r="14" ht="13" customHeight="1">
      <c r="A14" s="15" t="inlineStr">
        <is>
          <t xml:space="preserve">    Uniform</t>
        </is>
      </c>
      <c r="B14" s="16" t="n">
        <v>86.04000000000001</v>
      </c>
      <c r="C14" s="16" t="n">
        <v>0</v>
      </c>
      <c r="D14" s="16" t="n">
        <v>181.94</v>
      </c>
      <c r="E14" s="16" t="n">
        <v>0</v>
      </c>
      <c r="F14" s="16" t="n">
        <v>251.04</v>
      </c>
      <c r="G14" s="16" t="n">
        <v>85.92</v>
      </c>
      <c r="H14" s="16" t="n">
        <v>0</v>
      </c>
      <c r="I14" s="16" t="n">
        <v>0</v>
      </c>
      <c r="J14" s="16" t="n">
        <v>105.66</v>
      </c>
      <c r="K14" s="16" t="n">
        <v>0</v>
      </c>
      <c r="L14" s="16" t="n">
        <v>0</v>
      </c>
      <c r="M14" s="16" t="n">
        <v>0</v>
      </c>
      <c r="N14" s="16">
        <f>SUM(B14:M14)</f>
        <v/>
      </c>
      <c r="O14" s="16" t="n">
        <v>371.7</v>
      </c>
      <c r="P14" s="16" t="n">
        <v>98.81999999999999</v>
      </c>
      <c r="Q14" s="16" t="n">
        <v>0</v>
      </c>
      <c r="R14" s="16" t="n">
        <v>203.82</v>
      </c>
      <c r="S14" s="16" t="n">
        <v>98.81999999999999</v>
      </c>
      <c r="T14" s="16" t="n">
        <v>263.64</v>
      </c>
      <c r="U14" s="16" t="n">
        <v>100.81</v>
      </c>
      <c r="AA14" s="16">
        <f>SUM(O14:U14)</f>
        <v/>
      </c>
      <c r="AB14" s="16">
        <f>SUM(O14:Z14)</f>
        <v/>
      </c>
      <c r="AC14" s="16" t="n">
        <v>173</v>
      </c>
      <c r="AD14" s="16" t="n">
        <v>173</v>
      </c>
      <c r="AE14" s="16" t="n">
        <v>173</v>
      </c>
      <c r="AF14" s="16" t="n">
        <v>173</v>
      </c>
      <c r="AG14" s="16" t="n">
        <v>173</v>
      </c>
      <c r="AH14" s="16" t="n">
        <v>173</v>
      </c>
      <c r="AI14" s="34">
        <f>SUM(AC14:AH14)</f>
        <v/>
      </c>
      <c r="AJ14" s="16">
        <f>SUM(AC14:AH14)+AI14</f>
        <v/>
      </c>
      <c r="AK14" s="11">
        <f>IF(N14&lt;&gt;0,(AB14-N14)/ABS(N14),0)</f>
        <v/>
      </c>
      <c r="AL14" s="11">
        <f>IF(AB14&lt;&gt;0,(AJ14-AB14)/ABS(AB14),0)</f>
        <v/>
      </c>
    </row>
    <row r="15" ht="13" customHeight="1">
      <c r="A15" s="15" t="inlineStr">
        <is>
          <t xml:space="preserve">    Training</t>
        </is>
      </c>
      <c r="B15" s="16" t="n">
        <v>270</v>
      </c>
      <c r="C15" s="16" t="n">
        <v>66</v>
      </c>
      <c r="D15" s="16" t="n">
        <v>145</v>
      </c>
      <c r="E15" s="16" t="n">
        <v>29.43</v>
      </c>
      <c r="F15" s="16" t="n">
        <v>291.7</v>
      </c>
      <c r="G15" s="16" t="n">
        <v>0</v>
      </c>
      <c r="H15" s="16" t="n">
        <v>298.2</v>
      </c>
      <c r="I15" s="16" t="n">
        <v>0</v>
      </c>
      <c r="J15" s="16" t="n">
        <v>0</v>
      </c>
      <c r="K15" s="16" t="n">
        <v>123.5</v>
      </c>
      <c r="L15" s="16" t="n">
        <v>247.5</v>
      </c>
      <c r="M15" s="16" t="n">
        <v>176.67</v>
      </c>
      <c r="N15" s="16">
        <f>SUM(B15:M15)</f>
        <v/>
      </c>
      <c r="O15" s="16" t="n">
        <v>295.67</v>
      </c>
      <c r="P15" s="16" t="n">
        <v>29.94</v>
      </c>
      <c r="Q15" s="16" t="n">
        <v>177.97</v>
      </c>
      <c r="R15" s="16" t="n">
        <v>857.74</v>
      </c>
      <c r="S15" s="16" t="n">
        <v>106</v>
      </c>
      <c r="T15" s="16" t="n">
        <v>468.5</v>
      </c>
      <c r="U15" s="16" t="n">
        <v>579.1</v>
      </c>
      <c r="AA15" s="16">
        <f>SUM(O15:U15)</f>
        <v/>
      </c>
      <c r="AB15" s="16">
        <f>SUM(O15:Z15)</f>
        <v/>
      </c>
      <c r="AC15" s="16" t="n">
        <v>323</v>
      </c>
      <c r="AD15" s="16" t="n">
        <v>323</v>
      </c>
      <c r="AE15" s="16" t="n">
        <v>323</v>
      </c>
      <c r="AF15" s="16" t="n">
        <v>323</v>
      </c>
      <c r="AG15" s="16" t="n">
        <v>323</v>
      </c>
      <c r="AH15" s="16" t="n">
        <v>323</v>
      </c>
      <c r="AI15" s="34">
        <f>SUM(AC15:AH15)</f>
        <v/>
      </c>
      <c r="AJ15" s="16">
        <f>SUM(AC15:AH15)+AI15</f>
        <v/>
      </c>
      <c r="AK15" s="11">
        <f>IF(N15&lt;&gt;0,(AB15-N15)/ABS(N15),0)</f>
        <v/>
      </c>
      <c r="AL15" s="11">
        <f>IF(AB15&lt;&gt;0,(AJ15-AB15)/ABS(AB15),0)</f>
        <v/>
      </c>
    </row>
    <row r="16" ht="13" customHeight="1">
      <c r="A16" s="15" t="inlineStr">
        <is>
          <t xml:space="preserve">    Staff Welfare</t>
        </is>
      </c>
      <c r="B16" s="16" t="n">
        <v>92.7</v>
      </c>
      <c r="C16" s="16" t="n">
        <v>249.13</v>
      </c>
      <c r="D16" s="16" t="n">
        <v>279.46</v>
      </c>
      <c r="E16" s="16" t="n">
        <v>346.01</v>
      </c>
      <c r="F16" s="16" t="n">
        <v>289.41</v>
      </c>
      <c r="G16" s="16" t="n">
        <v>78.06999999999999</v>
      </c>
      <c r="H16" s="16" t="n">
        <v>604.4200000000001</v>
      </c>
      <c r="I16" s="16" t="n">
        <v>209.95</v>
      </c>
      <c r="J16" s="16" t="n">
        <v>136.72</v>
      </c>
      <c r="K16" s="16" t="n">
        <v>248.7</v>
      </c>
      <c r="L16" s="16" t="n">
        <v>246.42</v>
      </c>
      <c r="M16" s="16" t="n">
        <v>79.21000000000001</v>
      </c>
      <c r="N16" s="16">
        <f>SUM(B16:M16)</f>
        <v/>
      </c>
      <c r="O16" s="16" t="n">
        <v>150.67</v>
      </c>
      <c r="P16" s="16" t="n">
        <v>252.42</v>
      </c>
      <c r="Q16" s="16" t="n">
        <v>238.57</v>
      </c>
      <c r="R16" s="16" t="n">
        <v>211.38</v>
      </c>
      <c r="S16" s="16" t="n">
        <v>213.69</v>
      </c>
      <c r="T16" s="16" t="n">
        <v>198.14</v>
      </c>
      <c r="U16" s="16" t="n">
        <v>358.37</v>
      </c>
      <c r="AA16" s="16">
        <f>SUM(O16:U16)</f>
        <v/>
      </c>
      <c r="AB16" s="16">
        <f>SUM(O16:Z16)</f>
        <v/>
      </c>
      <c r="AC16" s="16" t="n">
        <v>211</v>
      </c>
      <c r="AD16" s="16" t="n">
        <v>211</v>
      </c>
      <c r="AE16" s="16" t="n">
        <v>211</v>
      </c>
      <c r="AF16" s="16" t="n">
        <v>211</v>
      </c>
      <c r="AG16" s="16" t="n">
        <v>211</v>
      </c>
      <c r="AH16" s="16" t="n">
        <v>211</v>
      </c>
      <c r="AI16" s="34">
        <f>SUM(AC16:AH16)</f>
        <v/>
      </c>
      <c r="AJ16" s="16">
        <f>SUM(AC16:AH16)+AI16</f>
        <v/>
      </c>
      <c r="AK16" s="11">
        <f>IF(N16&lt;&gt;0,(AB16-N16)/ABS(N16),0)</f>
        <v/>
      </c>
      <c r="AL16" s="11">
        <f>IF(AB16&lt;&gt;0,(AJ16-AB16)/ABS(AB16),0)</f>
        <v/>
      </c>
    </row>
    <row r="17" ht="13" customHeight="1">
      <c r="A17" s="15" t="inlineStr">
        <is>
          <t xml:space="preserve">    Recruitment</t>
        </is>
      </c>
      <c r="B17" s="16" t="n">
        <v>0</v>
      </c>
      <c r="C17" s="16" t="n">
        <v>0</v>
      </c>
      <c r="D17" s="16" t="n">
        <v>0</v>
      </c>
      <c r="E17" s="16" t="n">
        <v>0</v>
      </c>
      <c r="F17" s="16" t="n">
        <v>0</v>
      </c>
      <c r="G17" s="16" t="n">
        <v>0</v>
      </c>
      <c r="H17" s="16" t="n">
        <v>0</v>
      </c>
      <c r="I17" s="16" t="n">
        <v>0</v>
      </c>
      <c r="J17" s="16" t="n">
        <v>0</v>
      </c>
      <c r="K17" s="16" t="n">
        <v>0</v>
      </c>
      <c r="L17" s="16" t="n">
        <v>0</v>
      </c>
      <c r="M17" s="16" t="n">
        <v>0</v>
      </c>
      <c r="N17" s="16">
        <f>SUM(B17:M17)</f>
        <v/>
      </c>
      <c r="O17" s="16" t="n">
        <v>0</v>
      </c>
      <c r="P17" s="16" t="n">
        <v>0</v>
      </c>
      <c r="Q17" s="16" t="n">
        <v>0</v>
      </c>
      <c r="R17" s="16" t="n">
        <v>0</v>
      </c>
      <c r="S17" s="16" t="n">
        <v>0</v>
      </c>
      <c r="T17" s="16" t="n">
        <v>0</v>
      </c>
      <c r="U17" s="16" t="n">
        <v>0</v>
      </c>
      <c r="V17" s="16" t="n">
        <v>0</v>
      </c>
      <c r="W17" s="16" t="n">
        <v>0</v>
      </c>
      <c r="X17" s="16" t="n">
        <v>0</v>
      </c>
      <c r="Y17" s="16" t="n">
        <v>0</v>
      </c>
      <c r="Z17" s="16" t="n">
        <v>0</v>
      </c>
      <c r="AA17" s="16">
        <f>SUM(O17:U17)</f>
        <v/>
      </c>
      <c r="AB17" s="16">
        <f>SUM(O17:Z17)</f>
        <v/>
      </c>
      <c r="AC17" s="16" t="n">
        <v>0</v>
      </c>
      <c r="AD17" s="16" t="n">
        <v>0</v>
      </c>
      <c r="AE17" s="16" t="n">
        <v>0</v>
      </c>
      <c r="AF17" s="16" t="n">
        <v>0</v>
      </c>
      <c r="AG17" s="16" t="n">
        <v>0</v>
      </c>
      <c r="AH17" s="16" t="n">
        <v>0</v>
      </c>
      <c r="AI17" s="34">
        <f>SUM(AC17:AH17)</f>
        <v/>
      </c>
      <c r="AJ17" s="16">
        <f>SUM(AC17:AH17)+AI17</f>
        <v/>
      </c>
      <c r="AK17" s="11">
        <f>IF(N17&lt;&gt;0,(AB17-N17)/ABS(N17),0)</f>
        <v/>
      </c>
      <c r="AL17" s="11">
        <f>IF(AB17&lt;&gt;0,(AJ17-AB17)/ABS(AB17),0)</f>
        <v/>
      </c>
    </row>
    <row r="18" ht="13" customHeight="1">
      <c r="A18" s="15" t="inlineStr">
        <is>
          <t xml:space="preserve">    Rewards &amp; Recognition</t>
        </is>
      </c>
      <c r="B18" s="16" t="n">
        <v>0</v>
      </c>
      <c r="C18" s="16" t="n">
        <v>0</v>
      </c>
      <c r="D18" s="16" t="n">
        <v>0</v>
      </c>
      <c r="E18" s="16" t="n">
        <v>0</v>
      </c>
      <c r="F18" s="16" t="n">
        <v>0</v>
      </c>
      <c r="G18" s="16" t="n">
        <v>0</v>
      </c>
      <c r="H18" s="16" t="n">
        <v>330</v>
      </c>
      <c r="I18" s="16" t="n">
        <v>25</v>
      </c>
      <c r="J18" s="16" t="n">
        <v>0</v>
      </c>
      <c r="K18" s="16" t="n">
        <v>48.95</v>
      </c>
      <c r="L18" s="16" t="n">
        <v>21.64</v>
      </c>
      <c r="M18" s="16" t="n">
        <v>218.89</v>
      </c>
      <c r="N18" s="16">
        <f>SUM(B18:M18)</f>
        <v/>
      </c>
      <c r="O18" s="16" t="n">
        <v>106.69</v>
      </c>
      <c r="P18" s="16" t="n">
        <v>67.95999999999999</v>
      </c>
      <c r="Q18" s="16" t="n">
        <v>139.8</v>
      </c>
      <c r="R18" s="16" t="n">
        <v>111.47</v>
      </c>
      <c r="S18" s="16" t="n">
        <v>216.45</v>
      </c>
      <c r="T18" s="16" t="n">
        <v>83.25</v>
      </c>
      <c r="U18" s="16" t="n">
        <v>113.9</v>
      </c>
      <c r="AA18" s="16">
        <f>SUM(O18:U18)</f>
        <v/>
      </c>
      <c r="AB18" s="16">
        <f>SUM(O18:Z18)</f>
        <v/>
      </c>
      <c r="AC18" s="16" t="n">
        <v>121</v>
      </c>
      <c r="AD18" s="16" t="n">
        <v>121</v>
      </c>
      <c r="AE18" s="16" t="n">
        <v>121</v>
      </c>
      <c r="AF18" s="16" t="n">
        <v>121</v>
      </c>
      <c r="AG18" s="16" t="n">
        <v>121</v>
      </c>
      <c r="AH18" s="16" t="n">
        <v>121</v>
      </c>
      <c r="AI18" s="34">
        <f>SUM(AC18:AH18)</f>
        <v/>
      </c>
      <c r="AJ18" s="16">
        <f>SUM(AC18:AH18)+AI18</f>
        <v/>
      </c>
      <c r="AK18" s="11">
        <f>IF(N18&lt;&gt;0,(AB18-N18)/ABS(N18),0)</f>
        <v/>
      </c>
      <c r="AL18" s="11">
        <f>IF(AB18&lt;&gt;0,(AJ18-AB18)/ABS(AB18),0)</f>
        <v/>
      </c>
    </row>
    <row r="19" ht="13" customHeight="1">
      <c r="A19" s="15" t="inlineStr">
        <is>
          <t xml:space="preserve">    Temps</t>
        </is>
      </c>
      <c r="B19" s="16" t="n">
        <v>0</v>
      </c>
      <c r="C19" s="16" t="n">
        <v>0</v>
      </c>
      <c r="D19" s="16" t="n">
        <v>0</v>
      </c>
      <c r="E19" s="16" t="n">
        <v>0</v>
      </c>
      <c r="F19" s="16" t="n">
        <v>0</v>
      </c>
      <c r="G19" s="16" t="n">
        <v>0</v>
      </c>
      <c r="H19" s="16" t="n">
        <v>0</v>
      </c>
      <c r="I19" s="16" t="n">
        <v>0</v>
      </c>
      <c r="J19" s="16" t="n">
        <v>0</v>
      </c>
      <c r="K19" s="16" t="n">
        <v>0</v>
      </c>
      <c r="L19" s="16" t="n">
        <v>0</v>
      </c>
      <c r="M19" s="16" t="n">
        <v>0</v>
      </c>
      <c r="N19" s="16">
        <f>SUM(B19:M19)</f>
        <v/>
      </c>
      <c r="O19" s="16" t="n">
        <v>0</v>
      </c>
      <c r="P19" s="16" t="n">
        <v>0</v>
      </c>
      <c r="Q19" s="16" t="n">
        <v>0</v>
      </c>
      <c r="R19" s="16" t="n">
        <v>0</v>
      </c>
      <c r="S19" s="16" t="n">
        <v>0</v>
      </c>
      <c r="T19" s="16" t="n">
        <v>0</v>
      </c>
      <c r="U19" s="16" t="n">
        <v>0</v>
      </c>
      <c r="V19" s="16" t="n">
        <v>0</v>
      </c>
      <c r="W19" s="16" t="n">
        <v>0</v>
      </c>
      <c r="X19" s="16" t="n">
        <v>0</v>
      </c>
      <c r="Y19" s="16" t="n">
        <v>0</v>
      </c>
      <c r="Z19" s="16" t="n">
        <v>0</v>
      </c>
      <c r="AA19" s="16">
        <f>SUM(O19:U19)</f>
        <v/>
      </c>
      <c r="AB19" s="16">
        <f>SUM(O19:Z19)</f>
        <v/>
      </c>
      <c r="AC19" s="16" t="n">
        <v>0</v>
      </c>
      <c r="AD19" s="16" t="n">
        <v>0</v>
      </c>
      <c r="AE19" s="16" t="n">
        <v>0</v>
      </c>
      <c r="AF19" s="16" t="n">
        <v>0</v>
      </c>
      <c r="AG19" s="16" t="n">
        <v>0</v>
      </c>
      <c r="AH19" s="16" t="n">
        <v>0</v>
      </c>
      <c r="AI19" s="34">
        <f>SUM(AC19:AH19)</f>
        <v/>
      </c>
      <c r="AJ19" s="16">
        <f>SUM(AC19:AH19)+AI19</f>
        <v/>
      </c>
      <c r="AK19" s="11">
        <f>IF(N19&lt;&gt;0,(AB19-N19)/ABS(N19),0)</f>
        <v/>
      </c>
      <c r="AL19" s="11">
        <f>IF(AB19&lt;&gt;0,(AJ19-AB19)/ABS(AB19),0)</f>
        <v/>
      </c>
    </row>
    <row r="20" ht="13" customHeight="1">
      <c r="A20" s="17" t="inlineStr">
        <is>
          <t>Total Personnel</t>
        </is>
      </c>
      <c r="B20" s="18">
        <f>B11+B12+B13+B14+B15+B16+B17+B18+B19</f>
        <v/>
      </c>
      <c r="C20" s="18">
        <f>C11+C12+C13+C14+C15+C16+C17+C18+C19</f>
        <v/>
      </c>
      <c r="D20" s="18">
        <f>D11+D12+D13+D14+D15+D16+D17+D18+D19</f>
        <v/>
      </c>
      <c r="E20" s="18">
        <f>E11+E12+E13+E14+E15+E16+E17+E18+E19</f>
        <v/>
      </c>
      <c r="F20" s="18">
        <f>F11+F12+F13+F14+F15+F16+F17+F18+F19</f>
        <v/>
      </c>
      <c r="G20" s="18">
        <f>G11+G12+G13+G14+G15+G16+G17+G18+G19</f>
        <v/>
      </c>
      <c r="H20" s="18">
        <f>H11+H12+H13+H14+H15+H16+H17+H18+H19</f>
        <v/>
      </c>
      <c r="I20" s="18">
        <f>I11+I12+I13+I14+I15+I16+I17+I18+I19</f>
        <v/>
      </c>
      <c r="J20" s="18">
        <f>J11+J12+J13+J14+J15+J16+J17+J18+J19</f>
        <v/>
      </c>
      <c r="K20" s="18">
        <f>K11+K12+K13+K14+K15+K16+K17+K18+K19</f>
        <v/>
      </c>
      <c r="L20" s="18">
        <f>L11+L12+L13+L14+L15+L16+L17+L18+L19</f>
        <v/>
      </c>
      <c r="M20" s="18">
        <f>M11+M12+M13+M14+M15+M16+M17+M18+M19</f>
        <v/>
      </c>
      <c r="N20" s="18">
        <f>N11+N12+N13+N14+N15+N16+N17+N18+N19</f>
        <v/>
      </c>
      <c r="O20" s="18">
        <f>O11+O12+O13+O14+O15+O16+O17+O18+O19</f>
        <v/>
      </c>
      <c r="P20" s="18">
        <f>P11+P12+P13+P14+P15+P16+P17+P18+P19</f>
        <v/>
      </c>
      <c r="Q20" s="18">
        <f>Q11+Q12+Q13+Q14+Q15+Q16+Q17+Q18+Q19</f>
        <v/>
      </c>
      <c r="R20" s="18">
        <f>R11+R12+R13+R14+R15+R16+R17+R18+R19</f>
        <v/>
      </c>
      <c r="S20" s="18">
        <f>S11+S12+S13+S14+S15+S16+S17+S18+S19</f>
        <v/>
      </c>
      <c r="T20" s="18">
        <f>T11+T12+T13+T14+T15+T16+T17+T18+T19</f>
        <v/>
      </c>
      <c r="U20" s="18">
        <f>U11+U12+U13+U14+U15+U16+U17+U18+U19</f>
        <v/>
      </c>
      <c r="V20" s="18">
        <f>V11+V12+V13+V14+V15+V16+V17+V18+V19</f>
        <v/>
      </c>
      <c r="W20" s="18">
        <f>W11+W12+W13+W14+W15+W16+W17+W18+W19</f>
        <v/>
      </c>
      <c r="X20" s="18">
        <f>X11+X12+X13+X14+X15+X16+X17+X18+X19</f>
        <v/>
      </c>
      <c r="Y20" s="18">
        <f>Y11+Y12+Y13+Y14+Y15+Y16+Y17+Y18+Y19</f>
        <v/>
      </c>
      <c r="Z20" s="18">
        <f>Z11+Z12+Z13+Z14+Z15+Z16+Z17+Z18+Z19</f>
        <v/>
      </c>
      <c r="AA20" s="18">
        <f>AA11+AA12+AA13+AA14+AA15+AA16+AA17+AA18+AA19</f>
        <v/>
      </c>
      <c r="AB20" s="18">
        <f>AB11+AB12+AB13+AB14+AB15+AB16+AB17+AB18+AB19</f>
        <v/>
      </c>
      <c r="AC20" s="18">
        <f>AC11+AC12+AC13+AC14+AC15+AC16+AC17+AC18+AC19</f>
        <v/>
      </c>
      <c r="AD20" s="18">
        <f>AD11+AD12+AD13+AD14+AD15+AD16+AD17+AD18+AD19</f>
        <v/>
      </c>
      <c r="AE20" s="18">
        <f>AE11+AE12+AE13+AE14+AE15+AE16+AE17+AE18+AE19</f>
        <v/>
      </c>
      <c r="AF20" s="18">
        <f>AF11+AF12+AF13+AF14+AF15+AF16+AF17+AF18+AF19</f>
        <v/>
      </c>
      <c r="AG20" s="18">
        <f>AG11+AG12+AG13+AG14+AG15+AG16+AG17+AG18+AG19</f>
        <v/>
      </c>
      <c r="AH20" s="18">
        <f>AH11+AH12+AH13+AH14+AH15+AH16+AH17+AH18+AH19</f>
        <v/>
      </c>
      <c r="AI20" s="18">
        <f>AI11+AI12+AI13+AI14+AI15+AI16+AI17+AI18+AI19</f>
        <v/>
      </c>
      <c r="AJ20" s="18">
        <f>AJ11+AJ12+AJ13+AJ14+AJ15+AJ16+AJ17+AJ18+AJ19</f>
        <v/>
      </c>
      <c r="AK20" s="11">
        <f>IF(N20&lt;&gt;0,(AB20-N20)/ABS(N20),0)</f>
        <v/>
      </c>
      <c r="AL20" s="11">
        <f>IF(AB20&lt;&gt;0,(AJ20-AB20)/ABS(AB20),0)</f>
        <v/>
      </c>
    </row>
    <row r="21" ht="13" customHeight="1">
      <c r="A21" s="19" t="inlineStr">
        <is>
          <t xml:space="preserve">    Sal:Rev</t>
        </is>
      </c>
      <c r="B21" s="20">
        <f>IF(B7&gt;0,B20/B7,0)</f>
        <v/>
      </c>
      <c r="C21" s="20">
        <f>IF(C7&gt;0,C20/C7,0)</f>
        <v/>
      </c>
      <c r="D21" s="20">
        <f>IF(D7&gt;0,D20/D7,0)</f>
        <v/>
      </c>
      <c r="E21" s="20">
        <f>IF(E7&gt;0,E20/E7,0)</f>
        <v/>
      </c>
      <c r="F21" s="20">
        <f>IF(F7&gt;0,F20/F7,0)</f>
        <v/>
      </c>
      <c r="G21" s="20">
        <f>IF(G7&gt;0,G20/G7,0)</f>
        <v/>
      </c>
      <c r="H21" s="20">
        <f>IF(H7&gt;0,H20/H7,0)</f>
        <v/>
      </c>
      <c r="I21" s="20">
        <f>IF(I7&gt;0,I20/I7,0)</f>
        <v/>
      </c>
      <c r="J21" s="20">
        <f>IF(J7&gt;0,J20/J7,0)</f>
        <v/>
      </c>
      <c r="K21" s="20">
        <f>IF(K7&gt;0,K20/K7,0)</f>
        <v/>
      </c>
      <c r="L21" s="20">
        <f>IF(L7&gt;0,L20/L7,0)</f>
        <v/>
      </c>
      <c r="M21" s="20">
        <f>IF(M7&gt;0,M20/M7,0)</f>
        <v/>
      </c>
      <c r="N21" s="20">
        <f>IF(N7&gt;0,N20/N7,0)</f>
        <v/>
      </c>
      <c r="O21" s="20">
        <f>IF(O7&gt;0,O20/O7,0)</f>
        <v/>
      </c>
      <c r="P21" s="20">
        <f>IF(P7&gt;0,P20/P7,0)</f>
        <v/>
      </c>
      <c r="Q21" s="20">
        <f>IF(Q7&gt;0,Q20/Q7,0)</f>
        <v/>
      </c>
      <c r="R21" s="20">
        <f>IF(R7&gt;0,R20/R7,0)</f>
        <v/>
      </c>
      <c r="S21" s="20">
        <f>IF(S7&gt;0,S20/S7,0)</f>
        <v/>
      </c>
      <c r="T21" s="20">
        <f>IF(T7&gt;0,T20/T7,0)</f>
        <v/>
      </c>
      <c r="U21" s="20">
        <f>IF(U7&gt;0,U20/U7,0)</f>
        <v/>
      </c>
      <c r="V21" s="20">
        <f>IF(V7&gt;0,V20/V7,0)</f>
        <v/>
      </c>
      <c r="W21" s="20">
        <f>IF(W7&gt;0,W20/W7,0)</f>
        <v/>
      </c>
      <c r="X21" s="20">
        <f>IF(X7&gt;0,X20/X7,0)</f>
        <v/>
      </c>
      <c r="Y21" s="20">
        <f>IF(Y7&gt;0,Y20/Y7,0)</f>
        <v/>
      </c>
      <c r="Z21" s="20">
        <f>IF(Z7&gt;0,Z20/Z7,0)</f>
        <v/>
      </c>
      <c r="AA21" s="20">
        <f>IF(AA7&gt;0,AA20/AA7,0)</f>
        <v/>
      </c>
      <c r="AB21" s="20">
        <f>IF(AB7&gt;0,AB20/AB7,0)</f>
        <v/>
      </c>
      <c r="AC21" s="20">
        <f>IF(AC7&gt;0,AC20/AC7,0)</f>
        <v/>
      </c>
      <c r="AD21" s="20">
        <f>IF(AD7&gt;0,AD20/AD7,0)</f>
        <v/>
      </c>
      <c r="AE21" s="20">
        <f>IF(AE7&gt;0,AE20/AE7,0)</f>
        <v/>
      </c>
      <c r="AF21" s="20">
        <f>IF(AF7&gt;0,AF20/AF7,0)</f>
        <v/>
      </c>
      <c r="AG21" s="20">
        <f>IF(AG7&gt;0,AG20/AG7,0)</f>
        <v/>
      </c>
      <c r="AH21" s="20">
        <f>IF(AH7&gt;0,AH20/AH7,0)</f>
        <v/>
      </c>
      <c r="AI21" s="20">
        <f>IF(AI7&gt;0,AI20/AI7,0)</f>
        <v/>
      </c>
      <c r="AJ21" s="20">
        <f>IF(AJ7&gt;0,AJ20/AJ7,0)</f>
        <v/>
      </c>
    </row>
    <row r="22" ht="5" customHeight="1"/>
    <row r="23" ht="13" customHeight="1">
      <c r="A23" s="14" t="inlineStr">
        <is>
          <t>Childcare</t>
        </is>
      </c>
    </row>
    <row r="24" ht="13" customHeight="1">
      <c r="A24" s="21" t="inlineStr">
        <is>
          <t xml:space="preserve">    Catering Costs</t>
        </is>
      </c>
      <c r="N24" s="22">
        <f>SUM(B24:M24)</f>
        <v/>
      </c>
      <c r="O24" s="22" t="n">
        <v>1508.1</v>
      </c>
      <c r="P24" s="22" t="n">
        <v>1785.93</v>
      </c>
      <c r="Q24" s="22" t="n">
        <v>1663.75</v>
      </c>
      <c r="R24" s="22" t="n">
        <v>1925.35</v>
      </c>
      <c r="S24" s="22" t="n">
        <v>1813.7</v>
      </c>
      <c r="T24" s="22" t="n">
        <v>2243.37</v>
      </c>
      <c r="U24" s="22" t="n">
        <v>1983.4</v>
      </c>
      <c r="V24" s="22" t="n">
        <v>2224.935018</v>
      </c>
      <c r="W24" s="22" t="n">
        <v>3005.0682</v>
      </c>
      <c r="X24" s="22" t="n">
        <v>3228.8766</v>
      </c>
      <c r="Y24" s="22" t="n">
        <v>3386.9226</v>
      </c>
      <c r="Z24" s="22" t="n">
        <v>3287.8974</v>
      </c>
      <c r="AA24" s="22">
        <f>SUM(O24:U24)</f>
        <v/>
      </c>
      <c r="AB24" s="22">
        <f>SUM(O24:Z24)</f>
        <v/>
      </c>
      <c r="AC24" s="22" t="n">
        <v>3357.758184</v>
      </c>
      <c r="AD24" s="22" t="n">
        <v>3879.981282</v>
      </c>
      <c r="AE24" s="22" t="n">
        <v>3030.125646</v>
      </c>
      <c r="AF24" s="22" t="n">
        <v>3476.091708</v>
      </c>
      <c r="AG24" s="22" t="n">
        <v>3689.142168</v>
      </c>
      <c r="AH24" s="22" t="n">
        <v>3506.192316</v>
      </c>
      <c r="AI24" s="34">
        <f>SUM(AC24:AH24)</f>
        <v/>
      </c>
      <c r="AJ24" s="22">
        <f>SUM(AC24:AH24)+AI24</f>
        <v/>
      </c>
      <c r="AK24" s="11">
        <f>IF(N24&lt;&gt;0,(AB24-N24)/ABS(N24),0)</f>
        <v/>
      </c>
      <c r="AL24" s="11">
        <f>IF(AB24&lt;&gt;0,(AJ24-AB24)/ABS(AB24),0)</f>
        <v/>
      </c>
    </row>
    <row r="25" ht="13" customHeight="1">
      <c r="A25" s="21" t="inlineStr">
        <is>
          <t xml:space="preserve">    Toys and Games</t>
        </is>
      </c>
      <c r="B25" s="22" t="n">
        <v>91.51000000000001</v>
      </c>
      <c r="C25" s="22" t="n">
        <v>452.3</v>
      </c>
      <c r="D25" s="22" t="n">
        <v>327.22</v>
      </c>
      <c r="E25" s="22" t="n">
        <v>103.6</v>
      </c>
      <c r="F25" s="22" t="n">
        <v>851.51</v>
      </c>
      <c r="G25" s="22" t="n">
        <v>37.37</v>
      </c>
      <c r="H25" s="22" t="n">
        <v>2634.18</v>
      </c>
      <c r="I25" s="22" t="n">
        <v>1272.86</v>
      </c>
      <c r="J25" s="22" t="n">
        <v>-132.59</v>
      </c>
      <c r="K25" s="22" t="n">
        <v>313.94</v>
      </c>
      <c r="L25" s="22" t="n">
        <v>334.54</v>
      </c>
      <c r="M25" s="22" t="n">
        <v>543.5300000000001</v>
      </c>
      <c r="N25" s="22">
        <f>SUM(B25:M25)</f>
        <v/>
      </c>
      <c r="O25" s="22" t="n">
        <v>100.23</v>
      </c>
      <c r="P25" s="22" t="n">
        <v>133.83</v>
      </c>
      <c r="Q25" s="22" t="n">
        <v>501.26</v>
      </c>
      <c r="R25" s="22" t="n">
        <v>235.26</v>
      </c>
      <c r="S25" s="22" t="n">
        <v>513.5799999999999</v>
      </c>
      <c r="T25" s="22" t="n">
        <v>239.97</v>
      </c>
      <c r="U25" s="22" t="n">
        <v>555.6700000000001</v>
      </c>
      <c r="AA25" s="22">
        <f>SUM(O25:U25)</f>
        <v/>
      </c>
      <c r="AB25" s="22">
        <f>SUM(O25:Z25)</f>
        <v/>
      </c>
      <c r="AC25" s="22" t="n">
        <v>100</v>
      </c>
      <c r="AD25" s="22" t="n">
        <v>100</v>
      </c>
      <c r="AE25" s="22" t="n">
        <v>100</v>
      </c>
      <c r="AF25" s="22" t="n">
        <v>100</v>
      </c>
      <c r="AG25" s="22" t="n">
        <v>100</v>
      </c>
      <c r="AH25" s="22" t="n">
        <v>100</v>
      </c>
      <c r="AI25" s="34">
        <f>SUM(AC25:AH25)</f>
        <v/>
      </c>
      <c r="AJ25" s="22">
        <f>SUM(AC25:AH25)+AI25</f>
        <v/>
      </c>
      <c r="AK25" s="11">
        <f>IF(N25&lt;&gt;0,(AB25-N25)/ABS(N25),0)</f>
        <v/>
      </c>
      <c r="AL25" s="11">
        <f>IF(AB25&lt;&gt;0,(AJ25-AB25)/ABS(AB25),0)</f>
        <v/>
      </c>
    </row>
    <row r="26" ht="13" customHeight="1">
      <c r="A26" s="21" t="inlineStr">
        <is>
          <t xml:space="preserve">    Art Materials</t>
        </is>
      </c>
      <c r="N26" s="22">
        <f>SUM(B26:M26)</f>
        <v/>
      </c>
      <c r="O26" s="22" t="n">
        <v>303.04</v>
      </c>
      <c r="P26" s="22" t="n">
        <v>223.68</v>
      </c>
      <c r="Q26" s="22" t="n">
        <v>252.26</v>
      </c>
      <c r="R26" s="22" t="n">
        <v>79.11</v>
      </c>
      <c r="S26" s="22" t="n">
        <v>149.63</v>
      </c>
      <c r="T26" s="22" t="n">
        <v>291.66</v>
      </c>
      <c r="U26" s="22" t="n">
        <v>81</v>
      </c>
      <c r="V26" s="22" t="n">
        <v>296.6580024</v>
      </c>
      <c r="W26" s="22" t="n">
        <v>400.6757600000001</v>
      </c>
      <c r="X26" s="22" t="n">
        <v>430.5168800000001</v>
      </c>
      <c r="Y26" s="22" t="n">
        <v>451.5896800000001</v>
      </c>
      <c r="Z26" s="22" t="n">
        <v>438.3863200000001</v>
      </c>
      <c r="AA26" s="22">
        <f>SUM(O26:U26)</f>
        <v/>
      </c>
      <c r="AB26" s="22">
        <f>SUM(O26:Z26)</f>
        <v/>
      </c>
      <c r="AC26" s="22" t="n">
        <v>447.7010912000001</v>
      </c>
      <c r="AD26" s="22" t="n">
        <v>517.3308376000001</v>
      </c>
      <c r="AE26" s="22" t="n">
        <v>404.0167528000001</v>
      </c>
      <c r="AF26" s="22" t="n">
        <v>463.4788944000001</v>
      </c>
      <c r="AG26" s="22" t="n">
        <v>491.8856224</v>
      </c>
      <c r="AH26" s="22" t="n">
        <v>467.4923088</v>
      </c>
      <c r="AI26" s="34">
        <f>SUM(AC26:AH26)</f>
        <v/>
      </c>
      <c r="AJ26" s="22">
        <f>SUM(AC26:AH26)+AI26</f>
        <v/>
      </c>
      <c r="AK26" s="11">
        <f>IF(N26&lt;&gt;0,(AB26-N26)/ABS(N26),0)</f>
        <v/>
      </c>
      <c r="AL26" s="11">
        <f>IF(AB26&lt;&gt;0,(AJ26-AB26)/ABS(AB26),0)</f>
        <v/>
      </c>
    </row>
    <row r="27" ht="13" customHeight="1">
      <c r="A27" s="21" t="inlineStr">
        <is>
          <t xml:space="preserve">    Nursery Stationery</t>
        </is>
      </c>
      <c r="B27" s="22" t="n">
        <v>94.15000000000001</v>
      </c>
      <c r="C27" s="22" t="n">
        <v>42.29</v>
      </c>
      <c r="D27" s="22" t="n">
        <v>57.79</v>
      </c>
      <c r="E27" s="22" t="n">
        <v>75.59</v>
      </c>
      <c r="F27" s="22" t="n">
        <v>44.53</v>
      </c>
      <c r="G27" s="22" t="n">
        <v>83.44999999999999</v>
      </c>
      <c r="H27" s="22" t="n">
        <v>34.42</v>
      </c>
      <c r="I27" s="22" t="n">
        <v>28.37</v>
      </c>
      <c r="J27" s="22" t="n">
        <v>31.5</v>
      </c>
      <c r="K27" s="22" t="n">
        <v>12.34</v>
      </c>
      <c r="L27" s="22" t="n">
        <v>338.1</v>
      </c>
      <c r="M27" s="22" t="n">
        <v>33.94</v>
      </c>
      <c r="N27" s="22">
        <f>SUM(B27:M27)</f>
        <v/>
      </c>
      <c r="O27" s="22" t="n">
        <v>168.45</v>
      </c>
      <c r="P27" s="22" t="n">
        <v>260.32</v>
      </c>
      <c r="Q27" s="22" t="n">
        <v>107.71</v>
      </c>
      <c r="R27" s="22" t="n">
        <v>152.41</v>
      </c>
      <c r="S27" s="22" t="n">
        <v>36.04</v>
      </c>
      <c r="T27" s="22" t="n">
        <v>155.55</v>
      </c>
      <c r="U27" s="22" t="n">
        <v>55.27</v>
      </c>
      <c r="AA27" s="22">
        <f>SUM(O27:U27)</f>
        <v/>
      </c>
      <c r="AB27" s="22">
        <f>SUM(O27:Z27)</f>
        <v/>
      </c>
      <c r="AC27" s="22" t="n">
        <v>100</v>
      </c>
      <c r="AD27" s="22" t="n">
        <v>100</v>
      </c>
      <c r="AE27" s="22" t="n">
        <v>100</v>
      </c>
      <c r="AF27" s="22" t="n">
        <v>100</v>
      </c>
      <c r="AG27" s="22" t="n">
        <v>100</v>
      </c>
      <c r="AH27" s="22" t="n">
        <v>100</v>
      </c>
      <c r="AI27" s="34">
        <f>SUM(AC27:AH27)</f>
        <v/>
      </c>
      <c r="AJ27" s="22">
        <f>SUM(AC27:AH27)+AI27</f>
        <v/>
      </c>
      <c r="AK27" s="11">
        <f>IF(N27&lt;&gt;0,(AB27-N27)/ABS(N27),0)</f>
        <v/>
      </c>
      <c r="AL27" s="11">
        <f>IF(AB27&lt;&gt;0,(AJ27-AB27)/ABS(AB27),0)</f>
        <v/>
      </c>
    </row>
    <row r="28" ht="13" customHeight="1">
      <c r="A28" s="21" t="inlineStr">
        <is>
          <t xml:space="preserve">    Nursery Equipment</t>
        </is>
      </c>
      <c r="B28" s="22" t="n">
        <v>189.9</v>
      </c>
      <c r="C28" s="22" t="n">
        <v>131.91</v>
      </c>
      <c r="D28" s="22" t="n">
        <v>63.11000000000001</v>
      </c>
      <c r="E28" s="22" t="n">
        <v>17.99</v>
      </c>
      <c r="F28" s="22" t="n">
        <v>140.72</v>
      </c>
      <c r="G28" s="22" t="n">
        <v>671.26</v>
      </c>
      <c r="H28" s="22" t="n">
        <v>453.3</v>
      </c>
      <c r="I28" s="22" t="n">
        <v>32.21</v>
      </c>
      <c r="J28" s="22" t="n">
        <v>25.47</v>
      </c>
      <c r="K28" s="22" t="n">
        <v>59.66</v>
      </c>
      <c r="L28" s="22" t="n">
        <v>94.7</v>
      </c>
      <c r="M28" s="22" t="n">
        <v>57.97</v>
      </c>
      <c r="N28" s="22">
        <f>SUM(B28:M28)</f>
        <v/>
      </c>
      <c r="O28" s="22" t="n">
        <v>275.4</v>
      </c>
      <c r="P28" s="22" t="n">
        <v>107.01</v>
      </c>
      <c r="Q28" s="22" t="n">
        <v>152.55</v>
      </c>
      <c r="R28" s="22" t="n">
        <v>51.51</v>
      </c>
      <c r="S28" s="22" t="n">
        <v>816.79</v>
      </c>
      <c r="T28" s="22" t="n">
        <v>427.2</v>
      </c>
      <c r="U28" s="22" t="n">
        <v>120.7</v>
      </c>
      <c r="AA28" s="22">
        <f>SUM(O28:U28)</f>
        <v/>
      </c>
      <c r="AB28" s="22">
        <f>SUM(O28:Z28)</f>
        <v/>
      </c>
      <c r="AC28" s="22" t="n">
        <v>100</v>
      </c>
      <c r="AD28" s="22" t="n">
        <v>100</v>
      </c>
      <c r="AE28" s="22" t="n">
        <v>100</v>
      </c>
      <c r="AF28" s="22" t="n">
        <v>100</v>
      </c>
      <c r="AG28" s="22" t="n">
        <v>100</v>
      </c>
      <c r="AH28" s="22" t="n">
        <v>100</v>
      </c>
      <c r="AI28" s="34">
        <f>SUM(AC28:AH28)</f>
        <v/>
      </c>
      <c r="AJ28" s="22">
        <f>SUM(AC28:AH28)+AI28</f>
        <v/>
      </c>
      <c r="AK28" s="11">
        <f>IF(N28&lt;&gt;0,(AB28-N28)/ABS(N28),0)</f>
        <v/>
      </c>
      <c r="AL28" s="11">
        <f>IF(AB28&lt;&gt;0,(AJ28-AB28)/ABS(AB28),0)</f>
        <v/>
      </c>
    </row>
    <row r="29" ht="13" customHeight="1">
      <c r="A29" s="21" t="inlineStr">
        <is>
          <t xml:space="preserve">    Nursery Consumables</t>
        </is>
      </c>
      <c r="N29" s="22">
        <f>SUM(B29:M29)</f>
        <v/>
      </c>
      <c r="O29" s="22" t="n">
        <v>382.52</v>
      </c>
      <c r="P29" s="22" t="n">
        <v>459.73</v>
      </c>
      <c r="Q29" s="22" t="n">
        <v>663.4499999999999</v>
      </c>
      <c r="R29" s="22" t="n">
        <v>360.23</v>
      </c>
      <c r="S29" s="22" t="n">
        <v>640.16</v>
      </c>
      <c r="T29" s="22" t="n">
        <v>717.62</v>
      </c>
      <c r="U29" s="22" t="n">
        <v>558.66</v>
      </c>
      <c r="V29" s="22" t="n">
        <v>436.5910224</v>
      </c>
      <c r="W29" s="22" t="n">
        <v>589.67376</v>
      </c>
      <c r="X29" s="22" t="n">
        <v>633.5908800000001</v>
      </c>
      <c r="Y29" s="22" t="n">
        <v>664.6036800000001</v>
      </c>
      <c r="Z29" s="22" t="n">
        <v>645.1723200000001</v>
      </c>
      <c r="AA29" s="22">
        <f>SUM(O29:U29)</f>
        <v/>
      </c>
      <c r="AB29" s="22">
        <f>SUM(O29:Z29)</f>
        <v/>
      </c>
      <c r="AC29" s="22" t="n">
        <v>658.8808512000001</v>
      </c>
      <c r="AD29" s="22" t="n">
        <v>761.3548176000002</v>
      </c>
      <c r="AE29" s="22" t="n">
        <v>594.5906928000001</v>
      </c>
      <c r="AF29" s="22" t="n">
        <v>682.1010144000001</v>
      </c>
      <c r="AG29" s="22" t="n">
        <v>723.9071424000001</v>
      </c>
      <c r="AH29" s="22" t="n">
        <v>688.0075488000001</v>
      </c>
      <c r="AI29" s="34">
        <f>SUM(AC29:AH29)</f>
        <v/>
      </c>
      <c r="AJ29" s="22">
        <f>SUM(AC29:AH29)+AI29</f>
        <v/>
      </c>
      <c r="AK29" s="11">
        <f>IF(N29&lt;&gt;0,(AB29-N29)/ABS(N29),0)</f>
        <v/>
      </c>
      <c r="AL29" s="11">
        <f>IF(AB29&lt;&gt;0,(AJ29-AB29)/ABS(AB29),0)</f>
        <v/>
      </c>
    </row>
    <row r="30" ht="13" customHeight="1">
      <c r="A30" s="23" t="inlineStr">
        <is>
          <t>Total Childcare Costs</t>
        </is>
      </c>
      <c r="B30" s="24">
        <f>B24+B25+B26+B27+B28+B29</f>
        <v/>
      </c>
      <c r="C30" s="24">
        <f>C24+C25+C26+C27+C28+C29</f>
        <v/>
      </c>
      <c r="D30" s="24">
        <f>D24+D25+D26+D27+D28+D29</f>
        <v/>
      </c>
      <c r="E30" s="24">
        <f>E24+E25+E26+E27+E28+E29</f>
        <v/>
      </c>
      <c r="F30" s="24">
        <f>F24+F25+F26+F27+F28+F29</f>
        <v/>
      </c>
      <c r="G30" s="24">
        <f>G24+G25+G26+G27+G28+G29</f>
        <v/>
      </c>
      <c r="H30" s="24">
        <f>H24+H25+H26+H27+H28+H29</f>
        <v/>
      </c>
      <c r="I30" s="24">
        <f>I24+I25+I26+I27+I28+I29</f>
        <v/>
      </c>
      <c r="J30" s="24">
        <f>J24+J25+J26+J27+J28+J29</f>
        <v/>
      </c>
      <c r="K30" s="24">
        <f>K24+K25+K26+K27+K28+K29</f>
        <v/>
      </c>
      <c r="L30" s="24">
        <f>L24+L25+L26+L27+L28+L29</f>
        <v/>
      </c>
      <c r="M30" s="24">
        <f>M24+M25+M26+M27+M28+M29</f>
        <v/>
      </c>
      <c r="N30" s="24">
        <f>N24+N25+N26+N27+N28+N29</f>
        <v/>
      </c>
      <c r="O30" s="24">
        <f>O24+O25+O26+O27+O28+O29</f>
        <v/>
      </c>
      <c r="P30" s="24">
        <f>P24+P25+P26+P27+P28+P29</f>
        <v/>
      </c>
      <c r="Q30" s="24">
        <f>Q24+Q25+Q26+Q27+Q28+Q29</f>
        <v/>
      </c>
      <c r="R30" s="24">
        <f>R24+R25+R26+R27+R28+R29</f>
        <v/>
      </c>
      <c r="S30" s="24">
        <f>S24+S25+S26+S27+S28+S29</f>
        <v/>
      </c>
      <c r="T30" s="24">
        <f>T24+T25+T26+T27+T28+T29</f>
        <v/>
      </c>
      <c r="U30" s="24">
        <f>U24+U25+U26+U27+U28+U29</f>
        <v/>
      </c>
      <c r="V30" s="24">
        <f>V24+V25+V26+V27+V28+V29</f>
        <v/>
      </c>
      <c r="W30" s="24">
        <f>W24+W25+W26+W27+W28+W29</f>
        <v/>
      </c>
      <c r="X30" s="24">
        <f>X24+X25+X26+X27+X28+X29</f>
        <v/>
      </c>
      <c r="Y30" s="24">
        <f>Y24+Y25+Y26+Y27+Y28+Y29</f>
        <v/>
      </c>
      <c r="Z30" s="24">
        <f>Z24+Z25+Z26+Z27+Z28+Z29</f>
        <v/>
      </c>
      <c r="AA30" s="24">
        <f>AA24+AA25+AA26+AA27+AA28+AA29</f>
        <v/>
      </c>
      <c r="AB30" s="24">
        <f>AB24+AB25+AB26+AB27+AB28+AB29</f>
        <v/>
      </c>
      <c r="AC30" s="24">
        <f>AC24+AC25+AC26+AC27+AC28+AC29</f>
        <v/>
      </c>
      <c r="AD30" s="24">
        <f>AD24+AD25+AD26+AD27+AD28+AD29</f>
        <v/>
      </c>
      <c r="AE30" s="24">
        <f>AE24+AE25+AE26+AE27+AE28+AE29</f>
        <v/>
      </c>
      <c r="AF30" s="24">
        <f>AF24+AF25+AF26+AF27+AF28+AF29</f>
        <v/>
      </c>
      <c r="AG30" s="24">
        <f>AG24+AG25+AG26+AG27+AG28+AG29</f>
        <v/>
      </c>
      <c r="AH30" s="24">
        <f>AH24+AH25+AH26+AH27+AH28+AH29</f>
        <v/>
      </c>
      <c r="AI30" s="24">
        <f>AI24+AI25+AI26+AI27+AI28+AI29</f>
        <v/>
      </c>
      <c r="AJ30" s="24">
        <f>AJ24+AJ25+AJ26+AJ27+AJ28+AJ29</f>
        <v/>
      </c>
      <c r="AK30" s="11">
        <f>IF(N30&lt;&gt;0,(AB30-N30)/ABS(N30),0)</f>
        <v/>
      </c>
      <c r="AL30" s="11">
        <f>IF(AB30&lt;&gt;0,(AJ30-AB30)/ABS(AB30),0)</f>
        <v/>
      </c>
    </row>
    <row r="31" ht="5" customHeight="1"/>
    <row r="32" ht="13" customHeight="1">
      <c r="A32" s="14" t="inlineStr">
        <is>
          <t>Premises &amp; Admin</t>
        </is>
      </c>
    </row>
    <row r="33" ht="13" customHeight="1">
      <c r="A33" s="25" t="inlineStr">
        <is>
          <t xml:space="preserve">    Rent</t>
        </is>
      </c>
      <c r="B33" s="26" t="n">
        <v>0</v>
      </c>
      <c r="C33" s="26" t="n">
        <v>0</v>
      </c>
      <c r="D33" s="26" t="n">
        <v>0</v>
      </c>
      <c r="E33" s="26" t="n">
        <v>0</v>
      </c>
      <c r="F33" s="26" t="n">
        <v>0</v>
      </c>
      <c r="G33" s="26" t="n">
        <v>0</v>
      </c>
      <c r="H33" s="26" t="n">
        <v>0</v>
      </c>
      <c r="I33" s="26" t="n">
        <v>0</v>
      </c>
      <c r="J33" s="26" t="n">
        <v>0</v>
      </c>
      <c r="K33" s="26" t="n">
        <v>0</v>
      </c>
      <c r="L33" s="26" t="n">
        <v>0</v>
      </c>
      <c r="M33" s="26" t="n">
        <v>0</v>
      </c>
      <c r="N33" s="26">
        <f>SUM(B33:M33)</f>
        <v/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  <c r="V33" s="26" t="n">
        <v>0</v>
      </c>
      <c r="W33" s="26" t="n">
        <v>0</v>
      </c>
      <c r="X33" s="26" t="n">
        <v>0</v>
      </c>
      <c r="Y33" s="26" t="n">
        <v>0</v>
      </c>
      <c r="Z33" s="26" t="n">
        <v>0</v>
      </c>
      <c r="AA33" s="26">
        <f>SUM(O33:U33)</f>
        <v/>
      </c>
      <c r="AB33" s="26">
        <f>SUM(O33:Z33)</f>
        <v/>
      </c>
      <c r="AC33" s="26" t="n">
        <v>0</v>
      </c>
      <c r="AD33" s="26" t="n">
        <v>0</v>
      </c>
      <c r="AE33" s="26" t="n">
        <v>0</v>
      </c>
      <c r="AF33" s="26" t="n">
        <v>0</v>
      </c>
      <c r="AG33" s="26" t="n">
        <v>0</v>
      </c>
      <c r="AH33" s="26" t="n">
        <v>0</v>
      </c>
      <c r="AI33" s="34">
        <f>SUM(AC33:AH33)</f>
        <v/>
      </c>
      <c r="AJ33" s="26">
        <f>SUM(AC33:AH33)+AI33</f>
        <v/>
      </c>
      <c r="AK33" s="11">
        <f>IF(N33&lt;&gt;0,(AB33-N33)/ABS(N33),0)</f>
        <v/>
      </c>
      <c r="AL33" s="11">
        <f>IF(AB33&lt;&gt;0,(AJ33-AB33)/ABS(AB33),0)</f>
        <v/>
      </c>
    </row>
    <row r="34" ht="13" customHeight="1">
      <c r="A34" s="25" t="inlineStr">
        <is>
          <t xml:space="preserve">    Business Rates</t>
        </is>
      </c>
      <c r="B34" s="26" t="n">
        <v>1704.92</v>
      </c>
      <c r="C34" s="26" t="n">
        <v>1704.92</v>
      </c>
      <c r="D34" s="26" t="n">
        <v>1704.92</v>
      </c>
      <c r="E34" s="26" t="n">
        <v>1704.92</v>
      </c>
      <c r="F34" s="26" t="n">
        <v>1704.92</v>
      </c>
      <c r="G34" s="26" t="n">
        <v>1704.92</v>
      </c>
      <c r="H34" s="26" t="n">
        <v>1704.92</v>
      </c>
      <c r="I34" s="26" t="n">
        <v>1704.92</v>
      </c>
      <c r="J34" s="26" t="n">
        <v>1704.92</v>
      </c>
      <c r="K34" s="26" t="n">
        <v>1704.92</v>
      </c>
      <c r="L34" s="26" t="n">
        <v>1704.92</v>
      </c>
      <c r="M34" s="26" t="n">
        <v>1704.92</v>
      </c>
      <c r="N34" s="26">
        <f>SUM(B34:M34)</f>
        <v/>
      </c>
      <c r="O34" s="26" t="n">
        <v>1704.91</v>
      </c>
      <c r="P34" s="26" t="n">
        <v>1704.91</v>
      </c>
      <c r="Q34" s="26" t="n">
        <v>1704.9</v>
      </c>
      <c r="R34" s="26" t="n">
        <v>1823.25</v>
      </c>
      <c r="S34" s="26" t="n">
        <v>1823.25</v>
      </c>
      <c r="T34" s="26" t="n">
        <v>1823.25</v>
      </c>
      <c r="U34" s="26" t="n">
        <v>1823.25</v>
      </c>
      <c r="AA34" s="26">
        <f>SUM(O34:U34)</f>
        <v/>
      </c>
      <c r="AB34" s="26">
        <f>SUM(O34:Z34)</f>
        <v/>
      </c>
      <c r="AC34" s="26" t="n">
        <v>1823.25</v>
      </c>
      <c r="AD34" s="26" t="n">
        <v>1823.25</v>
      </c>
      <c r="AE34" s="26" t="n">
        <v>1823.25</v>
      </c>
      <c r="AF34" s="26" t="n">
        <v>1823.25</v>
      </c>
      <c r="AG34" s="26" t="n">
        <v>1823.25</v>
      </c>
      <c r="AH34" s="26" t="n">
        <v>1823.25</v>
      </c>
      <c r="AI34" s="34">
        <f>SUM(AC34:AH34)</f>
        <v/>
      </c>
      <c r="AJ34" s="26">
        <f>SUM(AC34:AH34)+AI34</f>
        <v/>
      </c>
      <c r="AK34" s="11">
        <f>IF(N34&lt;&gt;0,(AB34-N34)/ABS(N34),0)</f>
        <v/>
      </c>
      <c r="AL34" s="11">
        <f>IF(AB34&lt;&gt;0,(AJ34-AB34)/ABS(AB34),0)</f>
        <v/>
      </c>
    </row>
    <row r="35" ht="13" customHeight="1">
      <c r="A35" s="25" t="inlineStr">
        <is>
          <t xml:space="preserve">    Utilities</t>
        </is>
      </c>
      <c r="B35" s="26" t="n">
        <v>895.97</v>
      </c>
      <c r="C35" s="26" t="n">
        <v>27.47</v>
      </c>
      <c r="D35" s="26" t="n">
        <v>1315.56</v>
      </c>
      <c r="E35" s="26" t="n">
        <v>712.0700000000001</v>
      </c>
      <c r="F35" s="26" t="n">
        <v>4544.52</v>
      </c>
      <c r="G35" s="26" t="n">
        <v>684.5699999999999</v>
      </c>
      <c r="H35" s="26" t="n">
        <v>627.64</v>
      </c>
      <c r="I35" s="26" t="n">
        <v>514.1999999999999</v>
      </c>
      <c r="J35" s="26" t="n">
        <v>-607.48</v>
      </c>
      <c r="K35" s="26" t="n">
        <v>4237.07</v>
      </c>
      <c r="L35" s="26" t="n">
        <v>769.03</v>
      </c>
      <c r="M35" s="26" t="n">
        <v>2369.66</v>
      </c>
      <c r="N35" s="26">
        <f>SUM(B35:M35)</f>
        <v/>
      </c>
      <c r="O35" s="26" t="n">
        <v>899.4200000000001</v>
      </c>
      <c r="P35" s="26" t="n">
        <v>3128.63</v>
      </c>
      <c r="Q35" s="26" t="n">
        <v>1798.29</v>
      </c>
      <c r="R35" s="26" t="n">
        <v>1482.2</v>
      </c>
      <c r="S35" s="26" t="n">
        <v>906.4300000000001</v>
      </c>
      <c r="T35" s="26" t="n">
        <v>319.8099999999999</v>
      </c>
      <c r="U35" s="26" t="n">
        <v>724.03</v>
      </c>
      <c r="AA35" s="26">
        <f>SUM(O35:U35)</f>
        <v/>
      </c>
      <c r="AB35" s="26">
        <f>SUM(O35:Z35)</f>
        <v/>
      </c>
      <c r="AC35" s="26" t="n">
        <v>1429</v>
      </c>
      <c r="AD35" s="26" t="n">
        <v>1429</v>
      </c>
      <c r="AE35" s="26" t="n">
        <v>1429</v>
      </c>
      <c r="AF35" s="26" t="n">
        <v>1429</v>
      </c>
      <c r="AG35" s="26" t="n">
        <v>1429</v>
      </c>
      <c r="AH35" s="26" t="n">
        <v>1429</v>
      </c>
      <c r="AI35" s="34">
        <f>SUM(AC35:AH35)</f>
        <v/>
      </c>
      <c r="AJ35" s="26">
        <f>SUM(AC35:AH35)+AI35</f>
        <v/>
      </c>
      <c r="AK35" s="11">
        <f>IF(N35&lt;&gt;0,(AB35-N35)/ABS(N35),0)</f>
        <v/>
      </c>
      <c r="AL35" s="11">
        <f>IF(AB35&lt;&gt;0,(AJ35-AB35)/ABS(AB35),0)</f>
        <v/>
      </c>
    </row>
    <row r="36" ht="13" customHeight="1">
      <c r="A36" s="25" t="inlineStr">
        <is>
          <t xml:space="preserve">    Repairs &amp; Maintenance</t>
        </is>
      </c>
      <c r="B36" s="26" t="n">
        <v>46.95</v>
      </c>
      <c r="C36" s="26" t="n">
        <v>4832.910000000001</v>
      </c>
      <c r="D36" s="26" t="n">
        <v>603.49</v>
      </c>
      <c r="E36" s="26" t="n">
        <v>179.64</v>
      </c>
      <c r="F36" s="26" t="n">
        <v>504.08</v>
      </c>
      <c r="G36" s="26" t="n">
        <v>1430</v>
      </c>
      <c r="H36" s="26" t="n">
        <v>0</v>
      </c>
      <c r="I36" s="26" t="n">
        <v>5.99</v>
      </c>
      <c r="J36" s="26" t="n">
        <v>14</v>
      </c>
      <c r="K36" s="26" t="n">
        <v>0</v>
      </c>
      <c r="L36" s="26" t="n">
        <v>55.29</v>
      </c>
      <c r="M36" s="26" t="n">
        <v>225.21</v>
      </c>
      <c r="N36" s="26">
        <f>SUM(B36:M36)</f>
        <v/>
      </c>
      <c r="O36" s="26" t="n">
        <v>0</v>
      </c>
      <c r="P36" s="26" t="n">
        <v>57.06</v>
      </c>
      <c r="Q36" s="26" t="n">
        <v>9.140000000000001</v>
      </c>
      <c r="R36" s="26" t="n">
        <v>10.19</v>
      </c>
      <c r="S36" s="26" t="n">
        <v>141.97</v>
      </c>
      <c r="T36" s="26" t="n">
        <v>150.64</v>
      </c>
      <c r="U36" s="26" t="n">
        <v>415.34</v>
      </c>
      <c r="AA36" s="26">
        <f>SUM(O36:U36)</f>
        <v/>
      </c>
      <c r="AB36" s="26">
        <f>SUM(O36:Z36)</f>
        <v/>
      </c>
      <c r="AC36" s="26" t="n">
        <v>0</v>
      </c>
      <c r="AD36" s="26" t="n">
        <v>0</v>
      </c>
      <c r="AE36" s="26" t="n">
        <v>0</v>
      </c>
      <c r="AF36" s="26" t="n">
        <v>0</v>
      </c>
      <c r="AG36" s="26" t="n">
        <v>0</v>
      </c>
      <c r="AH36" s="26" t="n">
        <v>0</v>
      </c>
      <c r="AI36" s="34">
        <f>SUM(AC36:AH36)</f>
        <v/>
      </c>
      <c r="AJ36" s="26">
        <f>SUM(AC36:AH36)+AI36</f>
        <v/>
      </c>
      <c r="AK36" s="11">
        <f>IF(N36&lt;&gt;0,(AB36-N36)/ABS(N36),0)</f>
        <v/>
      </c>
      <c r="AL36" s="11">
        <f>IF(AB36&lt;&gt;0,(AJ36-AB36)/ABS(AB36),0)</f>
        <v/>
      </c>
    </row>
    <row r="37" ht="13" customHeight="1">
      <c r="A37" s="25" t="inlineStr">
        <is>
          <t xml:space="preserve">    Cleaning</t>
        </is>
      </c>
      <c r="B37" s="26" t="n">
        <v>1610.41</v>
      </c>
      <c r="C37" s="26" t="n">
        <v>1341.28</v>
      </c>
      <c r="D37" s="26" t="n">
        <v>618.85</v>
      </c>
      <c r="E37" s="26" t="n">
        <v>1357.49</v>
      </c>
      <c r="F37" s="26" t="n">
        <v>1371.67</v>
      </c>
      <c r="G37" s="26" t="n">
        <v>703.42</v>
      </c>
      <c r="H37" s="26" t="n">
        <v>477.23</v>
      </c>
      <c r="I37" s="26" t="n">
        <v>1549.67</v>
      </c>
      <c r="J37" s="26" t="n">
        <v>1414.78</v>
      </c>
      <c r="K37" s="26" t="n">
        <v>1644.37</v>
      </c>
      <c r="L37" s="26" t="n">
        <v>1432.79</v>
      </c>
      <c r="M37" s="26" t="n">
        <v>1367.21</v>
      </c>
      <c r="N37" s="26">
        <f>SUM(B37:M37)</f>
        <v/>
      </c>
      <c r="O37" s="26" t="n">
        <v>1432.83</v>
      </c>
      <c r="P37" s="26" t="n">
        <v>1526.79</v>
      </c>
      <c r="Q37" s="26" t="n">
        <v>1392.29</v>
      </c>
      <c r="R37" s="26" t="n">
        <v>1387.82</v>
      </c>
      <c r="S37" s="26" t="n">
        <v>235.62</v>
      </c>
      <c r="T37" s="26" t="n">
        <v>321.0700000000001</v>
      </c>
      <c r="U37" s="26" t="n">
        <v>332.24</v>
      </c>
      <c r="AA37" s="26">
        <f>SUM(O37:U37)</f>
        <v/>
      </c>
      <c r="AB37" s="26">
        <f>SUM(O37:Z37)</f>
        <v/>
      </c>
      <c r="AC37" s="26" t="n">
        <v>400</v>
      </c>
      <c r="AD37" s="26" t="n">
        <v>400</v>
      </c>
      <c r="AE37" s="26" t="n">
        <v>400</v>
      </c>
      <c r="AF37" s="26" t="n">
        <v>400</v>
      </c>
      <c r="AG37" s="26" t="n">
        <v>400</v>
      </c>
      <c r="AH37" s="26" t="n">
        <v>400</v>
      </c>
      <c r="AI37" s="34">
        <f>SUM(AC37:AH37)</f>
        <v/>
      </c>
      <c r="AJ37" s="26">
        <f>SUM(AC37:AH37)+AI37</f>
        <v/>
      </c>
      <c r="AK37" s="11">
        <f>IF(N37&lt;&gt;0,(AB37-N37)/ABS(N37),0)</f>
        <v/>
      </c>
      <c r="AL37" s="11">
        <f>IF(AB37&lt;&gt;0,(AJ37-AB37)/ABS(AB37),0)</f>
        <v/>
      </c>
    </row>
    <row r="38" ht="13" customHeight="1">
      <c r="A38" s="25" t="inlineStr">
        <is>
          <t xml:space="preserve">    Waste Disposal</t>
        </is>
      </c>
      <c r="B38" s="26" t="n">
        <v>384.51</v>
      </c>
      <c r="C38" s="26" t="n">
        <v>339.51</v>
      </c>
      <c r="D38" s="26" t="n">
        <v>605.71</v>
      </c>
      <c r="E38" s="26" t="n">
        <v>354.44</v>
      </c>
      <c r="F38" s="26" t="n">
        <v>460.6900000000001</v>
      </c>
      <c r="G38" s="26" t="n">
        <v>328.31</v>
      </c>
      <c r="H38" s="26" t="n">
        <v>432.13</v>
      </c>
      <c r="I38" s="26" t="n">
        <v>328.31</v>
      </c>
      <c r="J38" s="26" t="n">
        <v>474.42</v>
      </c>
      <c r="K38" s="26" t="n">
        <v>328.32</v>
      </c>
      <c r="L38" s="26" t="n">
        <v>445.29</v>
      </c>
      <c r="M38" s="26" t="n">
        <v>381.72</v>
      </c>
      <c r="N38" s="26">
        <f>SUM(B38:M38)</f>
        <v/>
      </c>
      <c r="O38" s="26" t="n">
        <v>335.82</v>
      </c>
      <c r="P38" s="26" t="n">
        <v>454.31</v>
      </c>
      <c r="Q38" s="26" t="n">
        <v>484.3</v>
      </c>
      <c r="R38" s="26" t="n">
        <v>586.95</v>
      </c>
      <c r="S38" s="26" t="n">
        <v>531.72</v>
      </c>
      <c r="T38" s="26" t="n">
        <v>247.26</v>
      </c>
      <c r="U38" s="26" t="n">
        <v>599.6500000000001</v>
      </c>
      <c r="AA38" s="26">
        <f>SUM(O38:U38)</f>
        <v/>
      </c>
      <c r="AB38" s="26">
        <f>SUM(O38:Z38)</f>
        <v/>
      </c>
      <c r="AC38" s="26" t="n">
        <v>400</v>
      </c>
      <c r="AD38" s="26" t="n">
        <v>400</v>
      </c>
      <c r="AE38" s="26" t="n">
        <v>400</v>
      </c>
      <c r="AF38" s="26" t="n">
        <v>400</v>
      </c>
      <c r="AG38" s="26" t="n">
        <v>400</v>
      </c>
      <c r="AH38" s="26" t="n">
        <v>400</v>
      </c>
      <c r="AI38" s="34">
        <f>SUM(AC38:AH38)</f>
        <v/>
      </c>
      <c r="AJ38" s="26">
        <f>SUM(AC38:AH38)+AI38</f>
        <v/>
      </c>
      <c r="AK38" s="11">
        <f>IF(N38&lt;&gt;0,(AB38-N38)/ABS(N38),0)</f>
        <v/>
      </c>
      <c r="AL38" s="11">
        <f>IF(AB38&lt;&gt;0,(AJ38-AB38)/ABS(AB38),0)</f>
        <v/>
      </c>
    </row>
    <row r="39" ht="13" customHeight="1">
      <c r="A39" s="25" t="inlineStr">
        <is>
          <t xml:space="preserve">    Postage/Printing/Stationery</t>
        </is>
      </c>
      <c r="B39" s="26" t="n">
        <v>137.34</v>
      </c>
      <c r="C39" s="26" t="n">
        <v>73.97</v>
      </c>
      <c r="D39" s="26" t="n">
        <v>80.18000000000001</v>
      </c>
      <c r="E39" s="26" t="n">
        <v>84.22999999999999</v>
      </c>
      <c r="F39" s="26" t="n">
        <v>71.16</v>
      </c>
      <c r="G39" s="26" t="n">
        <v>66.28</v>
      </c>
      <c r="H39" s="26" t="n">
        <v>105.45</v>
      </c>
      <c r="I39" s="26" t="n">
        <v>71.08</v>
      </c>
      <c r="J39" s="26" t="n">
        <v>92.42</v>
      </c>
      <c r="K39" s="26" t="n">
        <v>81.83</v>
      </c>
      <c r="L39" s="26" t="n">
        <v>67.48999999999999</v>
      </c>
      <c r="M39" s="26" t="n">
        <v>78.18000000000001</v>
      </c>
      <c r="N39" s="26">
        <f>SUM(B39:M39)</f>
        <v/>
      </c>
      <c r="O39" s="26" t="n">
        <v>56.7</v>
      </c>
      <c r="P39" s="26" t="n">
        <v>92.7</v>
      </c>
      <c r="Q39" s="26" t="n">
        <v>63.53</v>
      </c>
      <c r="R39" s="26" t="n">
        <v>87.16</v>
      </c>
      <c r="S39" s="26" t="n">
        <v>87.41</v>
      </c>
      <c r="T39" s="26" t="n">
        <v>180.51</v>
      </c>
      <c r="U39" s="26" t="n">
        <v>100.82</v>
      </c>
      <c r="AA39" s="26">
        <f>SUM(O39:U39)</f>
        <v/>
      </c>
      <c r="AB39" s="26">
        <f>SUM(O39:Z39)</f>
        <v/>
      </c>
      <c r="AC39" s="26" t="n">
        <v>106</v>
      </c>
      <c r="AD39" s="26" t="n">
        <v>106</v>
      </c>
      <c r="AE39" s="26" t="n">
        <v>106</v>
      </c>
      <c r="AF39" s="26" t="n">
        <v>106</v>
      </c>
      <c r="AG39" s="26" t="n">
        <v>106</v>
      </c>
      <c r="AH39" s="26" t="n">
        <v>106</v>
      </c>
      <c r="AI39" s="34">
        <f>SUM(AC39:AH39)</f>
        <v/>
      </c>
      <c r="AJ39" s="26">
        <f>SUM(AC39:AH39)+AI39</f>
        <v/>
      </c>
      <c r="AK39" s="11">
        <f>IF(N39&lt;&gt;0,(AB39-N39)/ABS(N39),0)</f>
        <v/>
      </c>
      <c r="AL39" s="11">
        <f>IF(AB39&lt;&gt;0,(AJ39-AB39)/ABS(AB39),0)</f>
        <v/>
      </c>
    </row>
    <row r="40" ht="13" customHeight="1">
      <c r="A40" s="25" t="inlineStr">
        <is>
          <t xml:space="preserve">    Telephone</t>
        </is>
      </c>
      <c r="B40" s="26" t="n">
        <v>0</v>
      </c>
      <c r="C40" s="26" t="n">
        <v>0</v>
      </c>
      <c r="D40" s="26" t="n">
        <v>0</v>
      </c>
      <c r="E40" s="26" t="n">
        <v>0</v>
      </c>
      <c r="F40" s="26" t="n">
        <v>0</v>
      </c>
      <c r="G40" s="26" t="n">
        <v>0</v>
      </c>
      <c r="H40" s="26" t="n">
        <v>0</v>
      </c>
      <c r="I40" s="26" t="n">
        <v>0</v>
      </c>
      <c r="J40" s="26" t="n">
        <v>0</v>
      </c>
      <c r="K40" s="26" t="n">
        <v>0</v>
      </c>
      <c r="L40" s="26" t="n">
        <v>0</v>
      </c>
      <c r="M40" s="26" t="n">
        <v>0</v>
      </c>
      <c r="N40" s="26">
        <f>SUM(B40:M40)</f>
        <v/>
      </c>
      <c r="O40" s="26" t="n">
        <v>0</v>
      </c>
      <c r="P40" s="26" t="n">
        <v>0</v>
      </c>
      <c r="Q40" s="26" t="n">
        <v>390</v>
      </c>
      <c r="R40" s="26" t="n">
        <v>0</v>
      </c>
      <c r="S40" s="26" t="n">
        <v>0</v>
      </c>
      <c r="T40" s="26" t="n">
        <v>0</v>
      </c>
      <c r="U40" s="26" t="n">
        <v>0</v>
      </c>
      <c r="AA40" s="26">
        <f>SUM(O40:U40)</f>
        <v/>
      </c>
      <c r="AB40" s="26">
        <f>SUM(O40:Z40)</f>
        <v/>
      </c>
      <c r="AC40" s="26" t="n">
        <v>0</v>
      </c>
      <c r="AD40" s="26" t="n">
        <v>0</v>
      </c>
      <c r="AE40" s="26" t="n">
        <v>0</v>
      </c>
      <c r="AF40" s="26" t="n">
        <v>0</v>
      </c>
      <c r="AG40" s="26" t="n">
        <v>0</v>
      </c>
      <c r="AH40" s="26" t="n">
        <v>0</v>
      </c>
      <c r="AI40" s="34">
        <f>SUM(AC40:AH40)</f>
        <v/>
      </c>
      <c r="AJ40" s="26">
        <f>SUM(AC40:AH40)+AI40</f>
        <v/>
      </c>
      <c r="AK40" s="11">
        <f>IF(N40&lt;&gt;0,(AB40-N40)/ABS(N40),0)</f>
        <v/>
      </c>
      <c r="AL40" s="11">
        <f>IF(AB40&lt;&gt;0,(AJ40-AB40)/ABS(AB40),0)</f>
        <v/>
      </c>
    </row>
    <row r="41" ht="13" customHeight="1">
      <c r="A41" s="25" t="inlineStr">
        <is>
          <t xml:space="preserve">    Marketing</t>
        </is>
      </c>
      <c r="B41" s="26" t="n">
        <v>0</v>
      </c>
      <c r="C41" s="26" t="n">
        <v>0</v>
      </c>
      <c r="D41" s="26" t="n">
        <v>588.8100000000001</v>
      </c>
      <c r="E41" s="26" t="n">
        <v>0</v>
      </c>
      <c r="F41" s="26" t="n">
        <v>0</v>
      </c>
      <c r="G41" s="26" t="n">
        <v>45</v>
      </c>
      <c r="H41" s="26" t="n">
        <v>0</v>
      </c>
      <c r="I41" s="26" t="n">
        <v>45</v>
      </c>
      <c r="J41" s="26" t="n">
        <v>0</v>
      </c>
      <c r="K41" s="26" t="n">
        <v>0</v>
      </c>
      <c r="L41" s="26" t="n">
        <v>0</v>
      </c>
      <c r="M41" s="26" t="n">
        <v>0</v>
      </c>
      <c r="N41" s="26">
        <f>SUM(B41:M41)</f>
        <v/>
      </c>
      <c r="O41" s="26" t="n">
        <v>135</v>
      </c>
      <c r="P41" s="26" t="n">
        <v>0</v>
      </c>
      <c r="Q41" s="26" t="n">
        <v>0</v>
      </c>
      <c r="R41" s="26" t="n">
        <v>147</v>
      </c>
      <c r="S41" s="26" t="n">
        <v>6.99</v>
      </c>
      <c r="T41" s="26" t="n">
        <v>220</v>
      </c>
      <c r="U41" s="26" t="n">
        <v>0</v>
      </c>
      <c r="AA41" s="26">
        <f>SUM(O41:U41)</f>
        <v/>
      </c>
      <c r="AB41" s="26">
        <f>SUM(O41:Z41)</f>
        <v/>
      </c>
      <c r="AC41" s="26" t="n">
        <v>106</v>
      </c>
      <c r="AD41" s="26" t="n">
        <v>106</v>
      </c>
      <c r="AE41" s="26" t="n">
        <v>106</v>
      </c>
      <c r="AF41" s="26" t="n">
        <v>106</v>
      </c>
      <c r="AG41" s="26" t="n">
        <v>106</v>
      </c>
      <c r="AH41" s="26" t="n">
        <v>106</v>
      </c>
      <c r="AI41" s="34">
        <f>SUM(AC41:AH41)</f>
        <v/>
      </c>
      <c r="AJ41" s="26">
        <f>SUM(AC41:AH41)+AI41</f>
        <v/>
      </c>
      <c r="AK41" s="11">
        <f>IF(N41&lt;&gt;0,(AB41-N41)/ABS(N41),0)</f>
        <v/>
      </c>
      <c r="AL41" s="11">
        <f>IF(AB41&lt;&gt;0,(AJ41-AB41)/ABS(AB41),0)</f>
        <v/>
      </c>
    </row>
    <row r="42" ht="13" customHeight="1">
      <c r="A42" s="27" t="inlineStr">
        <is>
          <t>Total Premises &amp; Admin</t>
        </is>
      </c>
      <c r="B42" s="28">
        <f>B33+B34+B35+B36+B37+B38+B39+B40+B41</f>
        <v/>
      </c>
      <c r="C42" s="28">
        <f>C33+C34+C35+C36+C37+C38+C39+C40+C41</f>
        <v/>
      </c>
      <c r="D42" s="28">
        <f>D33+D34+D35+D36+D37+D38+D39+D40+D41</f>
        <v/>
      </c>
      <c r="E42" s="28">
        <f>E33+E34+E35+E36+E37+E38+E39+E40+E41</f>
        <v/>
      </c>
      <c r="F42" s="28">
        <f>F33+F34+F35+F36+F37+F38+F39+F40+F41</f>
        <v/>
      </c>
      <c r="G42" s="28">
        <f>G33+G34+G35+G36+G37+G38+G39+G40+G41</f>
        <v/>
      </c>
      <c r="H42" s="28">
        <f>H33+H34+H35+H36+H37+H38+H39+H40+H41</f>
        <v/>
      </c>
      <c r="I42" s="28">
        <f>I33+I34+I35+I36+I37+I38+I39+I40+I41</f>
        <v/>
      </c>
      <c r="J42" s="28">
        <f>J33+J34+J35+J36+J37+J38+J39+J40+J41</f>
        <v/>
      </c>
      <c r="K42" s="28">
        <f>K33+K34+K35+K36+K37+K38+K39+K40+K41</f>
        <v/>
      </c>
      <c r="L42" s="28">
        <f>L33+L34+L35+L36+L37+L38+L39+L40+L41</f>
        <v/>
      </c>
      <c r="M42" s="28">
        <f>M33+M34+M35+M36+M37+M38+M39+M40+M41</f>
        <v/>
      </c>
      <c r="N42" s="28">
        <f>N33+N34+N35+N36+N37+N38+N39+N40+N41</f>
        <v/>
      </c>
      <c r="O42" s="28">
        <f>O33+O34+O35+O36+O37+O38+O39+O40+O41</f>
        <v/>
      </c>
      <c r="P42" s="28">
        <f>P33+P34+P35+P36+P37+P38+P39+P40+P41</f>
        <v/>
      </c>
      <c r="Q42" s="28">
        <f>Q33+Q34+Q35+Q36+Q37+Q38+Q39+Q40+Q41</f>
        <v/>
      </c>
      <c r="R42" s="28">
        <f>R33+R34+R35+R36+R37+R38+R39+R40+R41</f>
        <v/>
      </c>
      <c r="S42" s="28">
        <f>S33+S34+S35+S36+S37+S38+S39+S40+S41</f>
        <v/>
      </c>
      <c r="T42" s="28">
        <f>T33+T34+T35+T36+T37+T38+T39+T40+T41</f>
        <v/>
      </c>
      <c r="U42" s="28">
        <f>U33+U34+U35+U36+U37+U38+U39+U40+U41</f>
        <v/>
      </c>
      <c r="V42" s="28">
        <f>V33+V34+V35+V36+V37+V38+V39+V40+V41</f>
        <v/>
      </c>
      <c r="W42" s="28">
        <f>W33+W34+W35+W36+W37+W38+W39+W40+W41</f>
        <v/>
      </c>
      <c r="X42" s="28">
        <f>X33+X34+X35+X36+X37+X38+X39+X40+X41</f>
        <v/>
      </c>
      <c r="Y42" s="28">
        <f>Y33+Y34+Y35+Y36+Y37+Y38+Y39+Y40+Y41</f>
        <v/>
      </c>
      <c r="Z42" s="28">
        <f>Z33+Z34+Z35+Z36+Z37+Z38+Z39+Z40+Z41</f>
        <v/>
      </c>
      <c r="AA42" s="28">
        <f>AA33+AA34+AA35+AA36+AA37+AA38+AA39+AA40+AA41</f>
        <v/>
      </c>
      <c r="AB42" s="28">
        <f>AB33+AB34+AB35+AB36+AB37+AB38+AB39+AB40+AB41</f>
        <v/>
      </c>
      <c r="AC42" s="28">
        <f>AC33+AC34+AC35+AC36+AC37+AC38+AC39+AC40+AC41</f>
        <v/>
      </c>
      <c r="AD42" s="28">
        <f>AD33+AD34+AD35+AD36+AD37+AD38+AD39+AD40+AD41</f>
        <v/>
      </c>
      <c r="AE42" s="28">
        <f>AE33+AE34+AE35+AE36+AE37+AE38+AE39+AE40+AE41</f>
        <v/>
      </c>
      <c r="AF42" s="28">
        <f>AF33+AF34+AF35+AF36+AF37+AF38+AF39+AF40+AF41</f>
        <v/>
      </c>
      <c r="AG42" s="28">
        <f>AG33+AG34+AG35+AG36+AG37+AG38+AG39+AG40+AG41</f>
        <v/>
      </c>
      <c r="AH42" s="28">
        <f>AH33+AH34+AH35+AH36+AH37+AH38+AH39+AH40+AH41</f>
        <v/>
      </c>
      <c r="AI42" s="28">
        <f>AI33+AI34+AI35+AI36+AI37+AI38+AI39+AI40+AI41</f>
        <v/>
      </c>
      <c r="AJ42" s="28">
        <f>AJ33+AJ34+AJ35+AJ36+AJ37+AJ38+AJ39+AJ40+AJ41</f>
        <v/>
      </c>
      <c r="AK42" s="11">
        <f>IF(N42&lt;&gt;0,(AB42-N42)/ABS(N42),0)</f>
        <v/>
      </c>
      <c r="AL42" s="11">
        <f>IF(AB42&lt;&gt;0,(AJ42-AB42)/ABS(AB42),0)</f>
        <v/>
      </c>
    </row>
    <row r="43" ht="5" customHeight="1"/>
    <row r="44" ht="13" customHeight="1">
      <c r="A44" s="29" t="inlineStr">
        <is>
          <t>Total Direct Costs</t>
        </is>
      </c>
      <c r="AK44" s="11">
        <f>IF(N44&lt;&gt;0,(AB44-N44)/ABS(N44),0)</f>
        <v/>
      </c>
      <c r="AL44" s="11">
        <f>IF(AB44&lt;&gt;0,(AJ44-AB44)/ABS(AB44),0)</f>
        <v/>
      </c>
    </row>
    <row r="45" ht="5" customHeight="1"/>
    <row r="46" ht="15" customHeight="1">
      <c r="A46" s="30" t="inlineStr">
        <is>
          <t>CONTRIBUTION</t>
        </is>
      </c>
      <c r="B46" s="31">
        <f>B7-B44</f>
        <v/>
      </c>
      <c r="C46" s="31">
        <f>C7-C44</f>
        <v/>
      </c>
      <c r="D46" s="31">
        <f>D7-D44</f>
        <v/>
      </c>
      <c r="E46" s="31">
        <f>E7-E44</f>
        <v/>
      </c>
      <c r="F46" s="31">
        <f>F7-F44</f>
        <v/>
      </c>
      <c r="G46" s="31">
        <f>G7-G44</f>
        <v/>
      </c>
      <c r="H46" s="31">
        <f>H7-H44</f>
        <v/>
      </c>
      <c r="I46" s="31">
        <f>I7-I44</f>
        <v/>
      </c>
      <c r="J46" s="31">
        <f>J7-J44</f>
        <v/>
      </c>
      <c r="K46" s="31">
        <f>K7-K44</f>
        <v/>
      </c>
      <c r="L46" s="31">
        <f>L7-L44</f>
        <v/>
      </c>
      <c r="M46" s="31">
        <f>M7-M44</f>
        <v/>
      </c>
      <c r="N46" s="31">
        <f>N7-N44</f>
        <v/>
      </c>
      <c r="O46" s="31">
        <f>O7-O44</f>
        <v/>
      </c>
      <c r="P46" s="31">
        <f>P7-P44</f>
        <v/>
      </c>
      <c r="Q46" s="31">
        <f>Q7-Q44</f>
        <v/>
      </c>
      <c r="R46" s="31">
        <f>R7-R44</f>
        <v/>
      </c>
      <c r="S46" s="31">
        <f>S7-S44</f>
        <v/>
      </c>
      <c r="T46" s="31">
        <f>T7-T44</f>
        <v/>
      </c>
      <c r="U46" s="31">
        <f>U7-U44</f>
        <v/>
      </c>
      <c r="V46" s="31">
        <f>V7-V44</f>
        <v/>
      </c>
      <c r="W46" s="31">
        <f>W7-W44</f>
        <v/>
      </c>
      <c r="X46" s="31">
        <f>X7-X44</f>
        <v/>
      </c>
      <c r="Y46" s="31">
        <f>Y7-Y44</f>
        <v/>
      </c>
      <c r="Z46" s="31">
        <f>Z7-Z44</f>
        <v/>
      </c>
      <c r="AA46" s="31">
        <f>AA7-AA44</f>
        <v/>
      </c>
      <c r="AB46" s="31">
        <f>AB7-AB44</f>
        <v/>
      </c>
      <c r="AC46" s="31">
        <f>AC7-AC44</f>
        <v/>
      </c>
      <c r="AD46" s="31">
        <f>AD7-AD44</f>
        <v/>
      </c>
      <c r="AE46" s="31">
        <f>AE7-AE44</f>
        <v/>
      </c>
      <c r="AF46" s="31">
        <f>AF7-AF44</f>
        <v/>
      </c>
      <c r="AG46" s="31">
        <f>AG7-AG44</f>
        <v/>
      </c>
      <c r="AH46" s="31">
        <f>AH7-AH44</f>
        <v/>
      </c>
      <c r="AI46" s="31">
        <f>AI7-AI44</f>
        <v/>
      </c>
      <c r="AJ46" s="31">
        <f>AJ7-AJ44</f>
        <v/>
      </c>
      <c r="AK46" s="11">
        <f>IF(N46&lt;&gt;0,(AB46-N46)/ABS(N46),0)</f>
        <v/>
      </c>
      <c r="AL46" s="11">
        <f>IF(AB46&lt;&gt;0,(AJ46-AB46)/ABS(AB46),0)</f>
        <v/>
      </c>
    </row>
  </sheetData>
  <mergeCells count="8">
    <mergeCell ref="A10:AL10"/>
    <mergeCell ref="B1:N1"/>
    <mergeCell ref="A23:AL23"/>
    <mergeCell ref="A32:AL32"/>
    <mergeCell ref="AC1:AJ1"/>
    <mergeCell ref="A9:AL9"/>
    <mergeCell ref="A3:AL3"/>
    <mergeCell ref="O1:AB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L4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9.5" customWidth="1" min="27" max="27"/>
    <col width="9.5" customWidth="1" min="28" max="28"/>
    <col width="9.5" customWidth="1" min="29" max="29"/>
    <col width="9.5" customWidth="1" min="30" max="30"/>
    <col width="9.5" customWidth="1" min="31" max="31"/>
    <col width="9.5" customWidth="1" min="32" max="32"/>
    <col width="9.5" customWidth="1" min="33" max="33"/>
    <col width="9.5" customWidth="1" min="34" max="34"/>
    <col width="9.5" customWidth="1" min="35" max="35"/>
    <col width="11" customWidth="1" min="36" max="36"/>
    <col width="10" customWidth="1" min="37" max="37"/>
    <col width="10" customWidth="1" min="38" max="38"/>
  </cols>
  <sheetData>
    <row r="1" ht="18" customHeight="1">
      <c r="A1" s="1" t="inlineStr">
        <is>
          <t>Bees Knees</t>
        </is>
      </c>
      <c r="B1" s="2" t="inlineStr">
        <is>
          <t>Actuals 2025</t>
        </is>
      </c>
      <c r="O1" s="2" t="inlineStr">
        <is>
          <t>2026 Actual / Forecast</t>
        </is>
      </c>
      <c r="AC1" s="32" t="inlineStr">
        <is>
          <t>2027 Plan</t>
        </is>
      </c>
      <c r="AK1" s="3" t="inlineStr">
        <is>
          <t>YoY</t>
        </is>
      </c>
      <c r="AL1" s="3" t="inlineStr">
        <is>
          <t>YoY</t>
        </is>
      </c>
    </row>
    <row r="2" ht="22" customHeight="1">
      <c r="B2" s="4" t="inlineStr">
        <is>
          <t>Jan</t>
        </is>
      </c>
      <c r="C2" s="4" t="inlineStr">
        <is>
          <t>Feb</t>
        </is>
      </c>
      <c r="D2" s="4" t="inlineStr">
        <is>
          <t>Mar</t>
        </is>
      </c>
      <c r="E2" s="4" t="inlineStr">
        <is>
          <t>Apr</t>
        </is>
      </c>
      <c r="F2" s="4" t="inlineStr">
        <is>
          <t>May</t>
        </is>
      </c>
      <c r="G2" s="4" t="inlineStr">
        <is>
          <t>Jun</t>
        </is>
      </c>
      <c r="H2" s="4" t="inlineStr">
        <is>
          <t>Jul</t>
        </is>
      </c>
      <c r="I2" s="4" t="inlineStr">
        <is>
          <t>Aug</t>
        </is>
      </c>
      <c r="J2" s="4" t="inlineStr">
        <is>
          <t>Sep</t>
        </is>
      </c>
      <c r="K2" s="4" t="inlineStr">
        <is>
          <t>Oct</t>
        </is>
      </c>
      <c r="L2" s="4" t="inlineStr">
        <is>
          <t>Nov</t>
        </is>
      </c>
      <c r="M2" s="4" t="inlineStr">
        <is>
          <t>Dec</t>
        </is>
      </c>
      <c r="N2" s="5" t="inlineStr">
        <is>
          <t>FY2025
Total</t>
        </is>
      </c>
      <c r="O2" s="4" t="inlineStr">
        <is>
          <t>Jan</t>
        </is>
      </c>
      <c r="P2" s="4" t="inlineStr">
        <is>
          <t>Feb</t>
        </is>
      </c>
      <c r="Q2" s="4" t="inlineStr">
        <is>
          <t>Mar</t>
        </is>
      </c>
      <c r="R2" s="4" t="inlineStr">
        <is>
          <t>Apr</t>
        </is>
      </c>
      <c r="S2" s="4" t="inlineStr">
        <is>
          <t>May</t>
        </is>
      </c>
      <c r="T2" s="4" t="inlineStr">
        <is>
          <t>Jun</t>
        </is>
      </c>
      <c r="U2" s="4" t="inlineStr">
        <is>
          <t>Jul</t>
        </is>
      </c>
      <c r="V2" s="4" t="inlineStr">
        <is>
          <t>Aug</t>
        </is>
      </c>
      <c r="W2" s="4" t="inlineStr">
        <is>
          <t>Sep</t>
        </is>
      </c>
      <c r="X2" s="4" t="inlineStr">
        <is>
          <t>Oct</t>
        </is>
      </c>
      <c r="Y2" s="4" t="inlineStr">
        <is>
          <t>Nov</t>
        </is>
      </c>
      <c r="Z2" s="4" t="inlineStr">
        <is>
          <t>Dec</t>
        </is>
      </c>
      <c r="AA2" s="4" t="inlineStr">
        <is>
          <t>YTD</t>
        </is>
      </c>
      <c r="AB2" s="5" t="inlineStr">
        <is>
          <t>FY2026
Outlook</t>
        </is>
      </c>
      <c r="AC2" s="4" t="inlineStr">
        <is>
          <t>Jan</t>
        </is>
      </c>
      <c r="AD2" s="4" t="inlineStr">
        <is>
          <t>Feb</t>
        </is>
      </c>
      <c r="AE2" s="4" t="inlineStr">
        <is>
          <t>Mar</t>
        </is>
      </c>
      <c r="AF2" s="4" t="inlineStr">
        <is>
          <t>Apr</t>
        </is>
      </c>
      <c r="AG2" s="4" t="inlineStr">
        <is>
          <t>May</t>
        </is>
      </c>
      <c r="AH2" s="4" t="inlineStr">
        <is>
          <t>Jun</t>
        </is>
      </c>
      <c r="AI2" s="33" t="inlineStr">
        <is>
          <t>Jul-Dec
Plan</t>
        </is>
      </c>
      <c r="AJ2" s="4" t="inlineStr">
        <is>
          <t>FY2027</t>
        </is>
      </c>
      <c r="AK2" s="6" t="inlineStr">
        <is>
          <t>25→26
%</t>
        </is>
      </c>
      <c r="AL2" s="6" t="inlineStr">
        <is>
          <t>26→27
%</t>
        </is>
      </c>
    </row>
    <row r="3" ht="15" customHeight="1">
      <c r="A3" s="7" t="inlineStr">
        <is>
          <t>INCOME</t>
        </is>
      </c>
    </row>
    <row r="4" ht="13" customHeight="1">
      <c r="A4" s="8" t="inlineStr">
        <is>
          <t xml:space="preserve">    Fee Income Regular</t>
        </is>
      </c>
      <c r="B4" s="9" t="n">
        <v>28822.91</v>
      </c>
      <c r="C4" s="9" t="n">
        <v>27527.48</v>
      </c>
      <c r="D4" s="9" t="n">
        <v>31969.83</v>
      </c>
      <c r="E4" s="9" t="n">
        <v>35157.71</v>
      </c>
      <c r="F4" s="9" t="n">
        <v>28423.99</v>
      </c>
      <c r="G4" s="9" t="n">
        <v>26822.46</v>
      </c>
      <c r="H4" s="9" t="n">
        <v>35071.73</v>
      </c>
      <c r="I4" s="9" t="n">
        <v>29292.16</v>
      </c>
      <c r="J4" s="9" t="n">
        <v>20414.75</v>
      </c>
      <c r="K4" s="9" t="n">
        <v>19819.13</v>
      </c>
      <c r="L4" s="9" t="n">
        <v>18348.67</v>
      </c>
      <c r="M4" s="9" t="n">
        <v>27249.99</v>
      </c>
      <c r="N4" s="9">
        <f>SUM(B4:M4)</f>
        <v/>
      </c>
      <c r="O4" s="9" t="n">
        <v>23326.89999999999</v>
      </c>
      <c r="P4" s="9" t="n">
        <v>20657.48</v>
      </c>
      <c r="Q4" s="9" t="n">
        <v>21148.33</v>
      </c>
      <c r="R4" s="9" t="n">
        <v>24565.23000000001</v>
      </c>
      <c r="S4" s="9" t="n">
        <v>21826.64</v>
      </c>
      <c r="T4" s="9" t="n">
        <v>23094.61</v>
      </c>
      <c r="U4" s="9" t="n">
        <v>27100.72</v>
      </c>
      <c r="AA4" s="9">
        <f>SUM(O4:U4)</f>
        <v/>
      </c>
      <c r="AB4" s="9">
        <f>SUM(O4:Z4)</f>
        <v/>
      </c>
      <c r="AC4" s="9" t="n">
        <v>33849.27</v>
      </c>
      <c r="AD4" s="9" t="n">
        <v>40863.29</v>
      </c>
      <c r="AE4" s="9" t="n">
        <v>33168.87</v>
      </c>
      <c r="AF4" s="9" t="n">
        <v>37302.1</v>
      </c>
      <c r="AG4" s="9" t="n">
        <v>39624.94</v>
      </c>
      <c r="AH4" s="9" t="n">
        <v>49227.72</v>
      </c>
      <c r="AI4" s="34">
        <f>SUM(AC4:AH4)</f>
        <v/>
      </c>
      <c r="AJ4" s="9">
        <f>SUM(AC4:AH4)+AI4</f>
        <v/>
      </c>
      <c r="AK4" s="11">
        <f>IF(N4&lt;&gt;0,(AB4-N4)/ABS(N4),0)</f>
        <v/>
      </c>
      <c r="AL4" s="11">
        <f>IF(AB4&lt;&gt;0,(AJ4-AB4)/ABS(AB4),0)</f>
        <v/>
      </c>
    </row>
    <row r="5" ht="13" customHeight="1">
      <c r="A5" s="8" t="inlineStr">
        <is>
          <t xml:space="preserve">    EEEF Embedded</t>
        </is>
      </c>
      <c r="B5" s="9" t="n">
        <v>8562.4</v>
      </c>
      <c r="C5" s="9" t="n">
        <v>8562.4</v>
      </c>
      <c r="D5" s="9" t="n">
        <v>33256.45</v>
      </c>
      <c r="E5" s="9" t="n">
        <v>10591.2</v>
      </c>
      <c r="F5" s="9" t="n">
        <v>10591.2</v>
      </c>
      <c r="G5" s="9" t="n">
        <v>21480.3</v>
      </c>
      <c r="H5" s="9" t="n">
        <v>21480.3</v>
      </c>
      <c r="I5" s="9" t="n">
        <v>0</v>
      </c>
      <c r="J5" s="9" t="n">
        <v>15872.22</v>
      </c>
      <c r="K5" s="9" t="n">
        <v>15872.22</v>
      </c>
      <c r="L5" s="9" t="n">
        <v>18615.75</v>
      </c>
      <c r="M5" s="9" t="n">
        <v>19798.35</v>
      </c>
      <c r="N5" s="9">
        <f>SUM(B5:M5)</f>
        <v/>
      </c>
      <c r="O5" s="9" t="n">
        <v>18772.32</v>
      </c>
      <c r="P5" s="9" t="n">
        <v>23544.12</v>
      </c>
      <c r="Q5" s="9" t="n">
        <v>23544.12</v>
      </c>
      <c r="R5" s="9" t="n">
        <v>16732.05</v>
      </c>
      <c r="S5" s="9" t="n">
        <v>16732.05</v>
      </c>
      <c r="T5" s="9" t="n">
        <v>18043.28</v>
      </c>
      <c r="U5" s="9" t="n">
        <v>18043.28</v>
      </c>
      <c r="AA5" s="9">
        <f>SUM(O5:U5)</f>
        <v/>
      </c>
      <c r="AB5" s="9">
        <f>SUM(O5:Z5)</f>
        <v/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34">
        <f>SUM(AC5:AH5)</f>
        <v/>
      </c>
      <c r="AJ5" s="9">
        <f>SUM(AC5:AH5)+AI5</f>
        <v/>
      </c>
      <c r="AK5" s="11">
        <f>IF(N5&lt;&gt;0,(AB5-N5)/ABS(N5),0)</f>
        <v/>
      </c>
      <c r="AL5" s="11">
        <f>IF(AB5&lt;&gt;0,(AJ5-AB5)/ABS(AB5),0)</f>
        <v/>
      </c>
    </row>
    <row r="6" ht="13" customHeight="1">
      <c r="A6" s="8" t="inlineStr">
        <is>
          <t xml:space="preserve">    Other Income</t>
        </is>
      </c>
      <c r="B6" s="9" t="n">
        <v>100</v>
      </c>
      <c r="C6" s="9" t="n">
        <v>0</v>
      </c>
      <c r="D6" s="9" t="n">
        <v>100</v>
      </c>
      <c r="E6" s="9" t="n">
        <v>300</v>
      </c>
      <c r="F6" s="9" t="n">
        <v>0</v>
      </c>
      <c r="G6" s="9" t="n">
        <v>300</v>
      </c>
      <c r="H6" s="9" t="n">
        <v>0</v>
      </c>
      <c r="I6" s="9" t="n">
        <v>2568.76</v>
      </c>
      <c r="J6" s="9" t="n">
        <v>450</v>
      </c>
      <c r="K6" s="9" t="n">
        <v>150</v>
      </c>
      <c r="L6" s="9" t="n">
        <v>300</v>
      </c>
      <c r="M6" s="9" t="n">
        <v>300</v>
      </c>
      <c r="N6" s="9">
        <f>SUM(B6:M6)</f>
        <v/>
      </c>
      <c r="O6" s="9" t="n">
        <v>650</v>
      </c>
      <c r="P6" s="9" t="n">
        <v>150</v>
      </c>
      <c r="Q6" s="9" t="n">
        <v>300</v>
      </c>
      <c r="R6" s="9" t="n">
        <v>150</v>
      </c>
      <c r="S6" s="9" t="n">
        <v>150</v>
      </c>
      <c r="T6" s="9" t="n">
        <v>0</v>
      </c>
      <c r="U6" s="9" t="n">
        <v>300</v>
      </c>
      <c r="AA6" s="9">
        <f>SUM(O6:U6)</f>
        <v/>
      </c>
      <c r="AB6" s="9">
        <f>SUM(O6:Z6)</f>
        <v/>
      </c>
      <c r="AC6" s="9" t="n">
        <v>0</v>
      </c>
      <c r="AD6" s="9" t="n">
        <v>0</v>
      </c>
      <c r="AE6" s="9" t="n">
        <v>0</v>
      </c>
      <c r="AF6" s="9" t="n">
        <v>0</v>
      </c>
      <c r="AG6" s="9" t="n">
        <v>0</v>
      </c>
      <c r="AH6" s="9" t="n">
        <v>0</v>
      </c>
      <c r="AI6" s="34">
        <f>SUM(AC6:AH6)</f>
        <v/>
      </c>
      <c r="AJ6" s="9">
        <f>SUM(AC6:AH6)+AI6</f>
        <v/>
      </c>
      <c r="AK6" s="11">
        <f>IF(N6&lt;&gt;0,(AB6-N6)/ABS(N6),0)</f>
        <v/>
      </c>
      <c r="AL6" s="11">
        <f>IF(AB6&lt;&gt;0,(AJ6-AB6)/ABS(AB6),0)</f>
        <v/>
      </c>
    </row>
    <row r="7" ht="13" customHeight="1">
      <c r="A7" s="12" t="inlineStr">
        <is>
          <t>Total Income</t>
        </is>
      </c>
      <c r="B7" s="13">
        <f>B4+B5+B6</f>
        <v/>
      </c>
      <c r="C7" s="13">
        <f>C4+C5+C6</f>
        <v/>
      </c>
      <c r="D7" s="13">
        <f>D4+D5+D6</f>
        <v/>
      </c>
      <c r="E7" s="13">
        <f>E4+E5+E6</f>
        <v/>
      </c>
      <c r="F7" s="13">
        <f>F4+F5+F6</f>
        <v/>
      </c>
      <c r="G7" s="13">
        <f>G4+G5+G6</f>
        <v/>
      </c>
      <c r="H7" s="13">
        <f>H4+H5+H6</f>
        <v/>
      </c>
      <c r="I7" s="13">
        <f>I4+I5+I6</f>
        <v/>
      </c>
      <c r="J7" s="13">
        <f>J4+J5+J6</f>
        <v/>
      </c>
      <c r="K7" s="13">
        <f>K4+K5+K6</f>
        <v/>
      </c>
      <c r="L7" s="13">
        <f>L4+L5+L6</f>
        <v/>
      </c>
      <c r="M7" s="13">
        <f>M4+M5+M6</f>
        <v/>
      </c>
      <c r="N7" s="13">
        <f>N4+N5+N6</f>
        <v/>
      </c>
      <c r="O7" s="13">
        <f>O4+O5+O6</f>
        <v/>
      </c>
      <c r="P7" s="13">
        <f>P4+P5+P6</f>
        <v/>
      </c>
      <c r="Q7" s="13">
        <f>Q4+Q5+Q6</f>
        <v/>
      </c>
      <c r="R7" s="13">
        <f>R4+R5+R6</f>
        <v/>
      </c>
      <c r="S7" s="13">
        <f>S4+S5+S6</f>
        <v/>
      </c>
      <c r="T7" s="13">
        <f>T4+T5+T6</f>
        <v/>
      </c>
      <c r="U7" s="13">
        <f>U4+U5+U6</f>
        <v/>
      </c>
      <c r="V7" s="13">
        <f>V4+V5+V6</f>
        <v/>
      </c>
      <c r="W7" s="13">
        <f>W4+W5+W6</f>
        <v/>
      </c>
      <c r="X7" s="13">
        <f>X4+X5+X6</f>
        <v/>
      </c>
      <c r="Y7" s="13">
        <f>Y4+Y5+Y6</f>
        <v/>
      </c>
      <c r="Z7" s="13">
        <f>Z4+Z5+Z6</f>
        <v/>
      </c>
      <c r="AA7" s="13">
        <f>AA4+AA5+AA6</f>
        <v/>
      </c>
      <c r="AB7" s="13">
        <f>AB4+AB5+AB6</f>
        <v/>
      </c>
      <c r="AC7" s="13">
        <f>AC4+AC5+AC6</f>
        <v/>
      </c>
      <c r="AD7" s="13">
        <f>AD4+AD5+AD6</f>
        <v/>
      </c>
      <c r="AE7" s="13">
        <f>AE4+AE5+AE6</f>
        <v/>
      </c>
      <c r="AF7" s="13">
        <f>AF4+AF5+AF6</f>
        <v/>
      </c>
      <c r="AG7" s="13">
        <f>AG4+AG5+AG6</f>
        <v/>
      </c>
      <c r="AH7" s="13">
        <f>AH4+AH5+AH6</f>
        <v/>
      </c>
      <c r="AI7" s="13">
        <f>AI4+AI5+AI6</f>
        <v/>
      </c>
      <c r="AJ7" s="13">
        <f>AJ4+AJ5+AJ6</f>
        <v/>
      </c>
      <c r="AK7" s="11">
        <f>IF(N7&lt;&gt;0,(AB7-N7)/ABS(N7),0)</f>
        <v/>
      </c>
      <c r="AL7" s="11">
        <f>IF(AB7&lt;&gt;0,(AJ7-AB7)/ABS(AB7),0)</f>
        <v/>
      </c>
    </row>
    <row r="8" ht="5" customHeight="1"/>
    <row r="9" ht="15" customHeight="1">
      <c r="A9" s="7" t="inlineStr">
        <is>
          <t>DIRECT COSTS</t>
        </is>
      </c>
    </row>
    <row r="10" ht="13" customHeight="1">
      <c r="A10" s="14" t="inlineStr">
        <is>
          <t>Personnel</t>
        </is>
      </c>
    </row>
    <row r="11" ht="13" customHeight="1">
      <c r="A11" s="15" t="inlineStr">
        <is>
          <t xml:space="preserve">    Nursery Salaries</t>
        </is>
      </c>
      <c r="B11" s="16" t="n">
        <v>17812.5</v>
      </c>
      <c r="C11" s="16" t="n">
        <v>17339.68</v>
      </c>
      <c r="D11" s="16" t="n">
        <v>20177.72</v>
      </c>
      <c r="E11" s="16" t="n">
        <v>22232.54</v>
      </c>
      <c r="F11" s="16" t="n">
        <v>22270.94</v>
      </c>
      <c r="G11" s="16" t="n">
        <v>23588.71</v>
      </c>
      <c r="H11" s="16" t="n">
        <v>23343.5</v>
      </c>
      <c r="I11" s="16" t="n">
        <v>23511.85</v>
      </c>
      <c r="J11" s="16" t="n">
        <v>20681.56</v>
      </c>
      <c r="K11" s="16" t="n">
        <v>22301.58</v>
      </c>
      <c r="L11" s="16" t="n">
        <v>19748.45</v>
      </c>
      <c r="M11" s="16" t="n">
        <v>21714.13</v>
      </c>
      <c r="N11" s="16">
        <f>SUM(B11:M11)</f>
        <v/>
      </c>
      <c r="O11" s="16" t="n">
        <v>22032.4</v>
      </c>
      <c r="P11" s="16" t="n">
        <v>23448.09</v>
      </c>
      <c r="Q11" s="16" t="n">
        <v>21766.47</v>
      </c>
      <c r="R11" s="16" t="n">
        <v>24395.78</v>
      </c>
      <c r="S11" s="16" t="n">
        <v>23187.74</v>
      </c>
      <c r="T11" s="16" t="n">
        <v>23614.63</v>
      </c>
      <c r="U11" s="16" t="n">
        <v>23226.6</v>
      </c>
      <c r="AA11" s="16">
        <f>SUM(O11:U11)</f>
        <v/>
      </c>
      <c r="AB11" s="16">
        <f>SUM(O11:Z11)</f>
        <v/>
      </c>
      <c r="AC11" s="16" t="n">
        <v>23226.6</v>
      </c>
      <c r="AD11" s="16" t="n">
        <v>23226.6</v>
      </c>
      <c r="AE11" s="16" t="n">
        <v>23226.6</v>
      </c>
      <c r="AF11" s="16" t="n">
        <v>23226.6</v>
      </c>
      <c r="AG11" s="16" t="n">
        <v>23226.6</v>
      </c>
      <c r="AH11" s="16" t="n">
        <v>23226.6</v>
      </c>
      <c r="AI11" s="34">
        <f>SUM(AC11:AH11)</f>
        <v/>
      </c>
      <c r="AJ11" s="16">
        <f>SUM(AC11:AH11)+AI11</f>
        <v/>
      </c>
      <c r="AK11" s="11">
        <f>IF(N11&lt;&gt;0,(AB11-N11)/ABS(N11),0)</f>
        <v/>
      </c>
      <c r="AL11" s="11">
        <f>IF(AB11&lt;&gt;0,(AJ11-AB11)/ABS(AB11),0)</f>
        <v/>
      </c>
    </row>
    <row r="12" ht="13" customHeight="1">
      <c r="A12" s="15" t="inlineStr">
        <is>
          <t xml:space="preserve">    Nursery NI</t>
        </is>
      </c>
      <c r="B12" s="16" t="n">
        <v>1475.26</v>
      </c>
      <c r="C12" s="16" t="n">
        <v>1417.07</v>
      </c>
      <c r="D12" s="16" t="n">
        <v>1686.46</v>
      </c>
      <c r="E12" s="16" t="n">
        <v>2563.92</v>
      </c>
      <c r="F12" s="16" t="n">
        <v>2567.89</v>
      </c>
      <c r="G12" s="16" t="n">
        <v>2767.34</v>
      </c>
      <c r="H12" s="16" t="n">
        <v>2749.77</v>
      </c>
      <c r="I12" s="16" t="n">
        <v>2755.82</v>
      </c>
      <c r="J12" s="16" t="n">
        <v>2340.87</v>
      </c>
      <c r="K12" s="16" t="n">
        <v>2518.95</v>
      </c>
      <c r="L12" s="16" t="n">
        <v>2309.57</v>
      </c>
      <c r="M12" s="16" t="n">
        <v>2480.48</v>
      </c>
      <c r="N12" s="16">
        <f>SUM(B12:M12)</f>
        <v/>
      </c>
      <c r="O12" s="16" t="n">
        <v>2577.7</v>
      </c>
      <c r="P12" s="16" t="n">
        <v>2679.93</v>
      </c>
      <c r="Q12" s="16" t="n">
        <v>2363.36</v>
      </c>
      <c r="R12" s="16" t="n">
        <v>2662.5</v>
      </c>
      <c r="S12" s="16" t="n">
        <v>2390.53</v>
      </c>
      <c r="T12" s="16" t="n">
        <v>2246.22</v>
      </c>
      <c r="U12" s="16" t="n">
        <v>2177.1</v>
      </c>
      <c r="AA12" s="16">
        <f>SUM(O12:U12)</f>
        <v/>
      </c>
      <c r="AB12" s="16">
        <f>SUM(O12:Z12)</f>
        <v/>
      </c>
      <c r="AC12" s="16" t="n">
        <v>2177.1</v>
      </c>
      <c r="AD12" s="16" t="n">
        <v>2177.1</v>
      </c>
      <c r="AE12" s="16" t="n">
        <v>2177.1</v>
      </c>
      <c r="AF12" s="16" t="n">
        <v>2177.1</v>
      </c>
      <c r="AG12" s="16" t="n">
        <v>2177.1</v>
      </c>
      <c r="AH12" s="16" t="n">
        <v>2177.1</v>
      </c>
      <c r="AI12" s="34">
        <f>SUM(AC12:AH12)</f>
        <v/>
      </c>
      <c r="AJ12" s="16">
        <f>SUM(AC12:AH12)+AI12</f>
        <v/>
      </c>
      <c r="AK12" s="11">
        <f>IF(N12&lt;&gt;0,(AB12-N12)/ABS(N12),0)</f>
        <v/>
      </c>
      <c r="AL12" s="11">
        <f>IF(AB12&lt;&gt;0,(AJ12-AB12)/ABS(AB12),0)</f>
        <v/>
      </c>
    </row>
    <row r="13" ht="13" customHeight="1">
      <c r="A13" s="15" t="inlineStr">
        <is>
          <t xml:space="preserve">    Nursery Pension</t>
        </is>
      </c>
      <c r="B13" s="16" t="n">
        <v>347.13</v>
      </c>
      <c r="C13" s="16" t="n">
        <v>330.13</v>
      </c>
      <c r="D13" s="16" t="n">
        <v>333.41</v>
      </c>
      <c r="E13" s="16" t="n">
        <v>342.51</v>
      </c>
      <c r="F13" s="16" t="n">
        <v>397.67</v>
      </c>
      <c r="G13" s="16" t="n">
        <v>473.08</v>
      </c>
      <c r="H13" s="16" t="n">
        <v>489.34</v>
      </c>
      <c r="I13" s="16" t="n">
        <v>523.3099999999999</v>
      </c>
      <c r="J13" s="16" t="n">
        <v>440.32</v>
      </c>
      <c r="K13" s="16" t="n">
        <v>418.9</v>
      </c>
      <c r="L13" s="16" t="n">
        <v>382.73</v>
      </c>
      <c r="M13" s="16" t="n">
        <v>421.5700000000001</v>
      </c>
      <c r="N13" s="16">
        <f>SUM(B13:M13)</f>
        <v/>
      </c>
      <c r="O13" s="16" t="n">
        <v>404.05</v>
      </c>
      <c r="P13" s="16" t="n">
        <v>451.49</v>
      </c>
      <c r="Q13" s="16" t="n">
        <v>394.61</v>
      </c>
      <c r="R13" s="16" t="n">
        <v>507.74</v>
      </c>
      <c r="S13" s="16" t="n">
        <v>453.36</v>
      </c>
      <c r="T13" s="16" t="n">
        <v>427.58</v>
      </c>
      <c r="U13" s="16" t="n">
        <v>413.76</v>
      </c>
      <c r="AA13" s="16">
        <f>SUM(O13:U13)</f>
        <v/>
      </c>
      <c r="AB13" s="16">
        <f>SUM(O13:Z13)</f>
        <v/>
      </c>
      <c r="AC13" s="16" t="n">
        <v>413.76</v>
      </c>
      <c r="AD13" s="16" t="n">
        <v>413.76</v>
      </c>
      <c r="AE13" s="16" t="n">
        <v>413.76</v>
      </c>
      <c r="AF13" s="16" t="n">
        <v>413.76</v>
      </c>
      <c r="AG13" s="16" t="n">
        <v>413.76</v>
      </c>
      <c r="AH13" s="16" t="n">
        <v>413.76</v>
      </c>
      <c r="AI13" s="34">
        <f>SUM(AC13:AH13)</f>
        <v/>
      </c>
      <c r="AJ13" s="16">
        <f>SUM(AC13:AH13)+AI13</f>
        <v/>
      </c>
      <c r="AK13" s="11">
        <f>IF(N13&lt;&gt;0,(AB13-N13)/ABS(N13),0)</f>
        <v/>
      </c>
      <c r="AL13" s="11">
        <f>IF(AB13&lt;&gt;0,(AJ13-AB13)/ABS(AB13),0)</f>
        <v/>
      </c>
    </row>
    <row r="14" ht="13" customHeight="1">
      <c r="A14" s="15" t="inlineStr">
        <is>
          <t xml:space="preserve">    Uniform</t>
        </is>
      </c>
      <c r="B14" s="16" t="n">
        <v>0</v>
      </c>
      <c r="C14" s="16" t="n">
        <v>59.28</v>
      </c>
      <c r="D14" s="16" t="n">
        <v>0</v>
      </c>
      <c r="E14" s="16" t="n">
        <v>105.18</v>
      </c>
      <c r="F14" s="16" t="n">
        <v>155.4</v>
      </c>
      <c r="G14" s="16" t="n">
        <v>104.69</v>
      </c>
      <c r="H14" s="16" t="n">
        <v>11.99</v>
      </c>
      <c r="I14" s="16" t="n">
        <v>0</v>
      </c>
      <c r="J14" s="16" t="n">
        <v>0</v>
      </c>
      <c r="K14" s="16" t="n">
        <v>0</v>
      </c>
      <c r="L14" s="16" t="n">
        <v>0</v>
      </c>
      <c r="M14" s="16" t="n">
        <v>401.76</v>
      </c>
      <c r="N14" s="16">
        <f>SUM(B14:M14)</f>
        <v/>
      </c>
      <c r="O14" s="16" t="n">
        <v>0</v>
      </c>
      <c r="P14" s="16" t="n">
        <v>38.12</v>
      </c>
      <c r="Q14" s="16" t="n">
        <v>85.02</v>
      </c>
      <c r="R14" s="16" t="n">
        <v>51.5</v>
      </c>
      <c r="S14" s="16" t="n">
        <v>0</v>
      </c>
      <c r="T14" s="16" t="n">
        <v>0</v>
      </c>
      <c r="U14" s="16" t="n">
        <v>110.94</v>
      </c>
      <c r="AA14" s="16">
        <f>SUM(O14:U14)</f>
        <v/>
      </c>
      <c r="AB14" s="16">
        <f>SUM(O14:Z14)</f>
        <v/>
      </c>
      <c r="AC14" s="16" t="n">
        <v>50</v>
      </c>
      <c r="AD14" s="16" t="n">
        <v>50</v>
      </c>
      <c r="AE14" s="16" t="n">
        <v>50</v>
      </c>
      <c r="AF14" s="16" t="n">
        <v>50</v>
      </c>
      <c r="AG14" s="16" t="n">
        <v>50</v>
      </c>
      <c r="AH14" s="16" t="n">
        <v>50</v>
      </c>
      <c r="AI14" s="34">
        <f>SUM(AC14:AH14)</f>
        <v/>
      </c>
      <c r="AJ14" s="16">
        <f>SUM(AC14:AH14)+AI14</f>
        <v/>
      </c>
      <c r="AK14" s="11">
        <f>IF(N14&lt;&gt;0,(AB14-N14)/ABS(N14),0)</f>
        <v/>
      </c>
      <c r="AL14" s="11">
        <f>IF(AB14&lt;&gt;0,(AJ14-AB14)/ABS(AB14),0)</f>
        <v/>
      </c>
    </row>
    <row r="15" ht="13" customHeight="1">
      <c r="A15" s="15" t="inlineStr">
        <is>
          <t xml:space="preserve">    Training</t>
        </is>
      </c>
      <c r="B15" s="16" t="n">
        <v>57</v>
      </c>
      <c r="C15" s="16" t="n">
        <v>0</v>
      </c>
      <c r="D15" s="16" t="n">
        <v>0</v>
      </c>
      <c r="E15" s="16" t="n">
        <v>0</v>
      </c>
      <c r="F15" s="16" t="n">
        <v>0</v>
      </c>
      <c r="G15" s="16" t="n">
        <v>24</v>
      </c>
      <c r="H15" s="16" t="n">
        <v>0</v>
      </c>
      <c r="I15" s="16" t="n">
        <v>33</v>
      </c>
      <c r="J15" s="16" t="n">
        <v>0</v>
      </c>
      <c r="K15" s="16" t="n">
        <v>684</v>
      </c>
      <c r="L15" s="16" t="n">
        <v>172.6</v>
      </c>
      <c r="M15" s="16" t="n">
        <v>384</v>
      </c>
      <c r="N15" s="16">
        <f>SUM(B15:M15)</f>
        <v/>
      </c>
      <c r="O15" s="16" t="n">
        <v>0</v>
      </c>
      <c r="P15" s="16" t="n">
        <v>114</v>
      </c>
      <c r="Q15" s="16" t="n">
        <v>480</v>
      </c>
      <c r="R15" s="16" t="n">
        <v>0</v>
      </c>
      <c r="S15" s="16" t="n">
        <v>0</v>
      </c>
      <c r="T15" s="16" t="n">
        <v>0</v>
      </c>
      <c r="U15" s="16" t="n">
        <v>83.88</v>
      </c>
      <c r="AA15" s="16">
        <f>SUM(O15:U15)</f>
        <v/>
      </c>
      <c r="AB15" s="16">
        <f>SUM(O15:Z15)</f>
        <v/>
      </c>
      <c r="AC15" s="16" t="n">
        <v>0</v>
      </c>
      <c r="AD15" s="16" t="n">
        <v>0</v>
      </c>
      <c r="AE15" s="16" t="n">
        <v>0</v>
      </c>
      <c r="AF15" s="16" t="n">
        <v>0</v>
      </c>
      <c r="AG15" s="16" t="n">
        <v>0</v>
      </c>
      <c r="AH15" s="16" t="n">
        <v>0</v>
      </c>
      <c r="AI15" s="34">
        <f>SUM(AC15:AH15)</f>
        <v/>
      </c>
      <c r="AJ15" s="16">
        <f>SUM(AC15:AH15)+AI15</f>
        <v/>
      </c>
      <c r="AK15" s="11">
        <f>IF(N15&lt;&gt;0,(AB15-N15)/ABS(N15),0)</f>
        <v/>
      </c>
      <c r="AL15" s="11">
        <f>IF(AB15&lt;&gt;0,(AJ15-AB15)/ABS(AB15),0)</f>
        <v/>
      </c>
    </row>
    <row r="16" ht="13" customHeight="1">
      <c r="A16" s="15" t="inlineStr">
        <is>
          <t xml:space="preserve">    Staff Welfare</t>
        </is>
      </c>
      <c r="B16" s="16" t="n">
        <v>53.68</v>
      </c>
      <c r="C16" s="16" t="n">
        <v>350.21</v>
      </c>
      <c r="D16" s="16" t="n">
        <v>17.06</v>
      </c>
      <c r="E16" s="16" t="n">
        <v>46.05</v>
      </c>
      <c r="F16" s="16" t="n">
        <v>300.11</v>
      </c>
      <c r="G16" s="16" t="n">
        <v>272.05</v>
      </c>
      <c r="H16" s="16" t="n">
        <v>224.64</v>
      </c>
      <c r="I16" s="16" t="n">
        <v>246.79</v>
      </c>
      <c r="J16" s="16" t="n">
        <v>129.2</v>
      </c>
      <c r="K16" s="16" t="n">
        <v>88.43000000000001</v>
      </c>
      <c r="L16" s="16" t="n">
        <v>342.9</v>
      </c>
      <c r="M16" s="16" t="n">
        <v>243.13</v>
      </c>
      <c r="N16" s="16">
        <f>SUM(B16:M16)</f>
        <v/>
      </c>
      <c r="O16" s="16" t="n">
        <v>727.6899999999999</v>
      </c>
      <c r="P16" s="16" t="n">
        <v>91.99000000000001</v>
      </c>
      <c r="Q16" s="16" t="n">
        <v>354.17</v>
      </c>
      <c r="R16" s="16" t="n">
        <v>348.94</v>
      </c>
      <c r="S16" s="16" t="n">
        <v>77.08</v>
      </c>
      <c r="T16" s="16" t="n">
        <v>154.95</v>
      </c>
      <c r="U16" s="16" t="n">
        <v>550.89</v>
      </c>
      <c r="AA16" s="16">
        <f>SUM(O16:U16)</f>
        <v/>
      </c>
      <c r="AB16" s="16">
        <f>SUM(O16:Z16)</f>
        <v/>
      </c>
      <c r="AC16" s="16" t="n">
        <v>80</v>
      </c>
      <c r="AD16" s="16" t="n">
        <v>80</v>
      </c>
      <c r="AE16" s="16" t="n">
        <v>80</v>
      </c>
      <c r="AF16" s="16" t="n">
        <v>80</v>
      </c>
      <c r="AG16" s="16" t="n">
        <v>80</v>
      </c>
      <c r="AH16" s="16" t="n">
        <v>80</v>
      </c>
      <c r="AI16" s="34">
        <f>SUM(AC16:AH16)</f>
        <v/>
      </c>
      <c r="AJ16" s="16">
        <f>SUM(AC16:AH16)+AI16</f>
        <v/>
      </c>
      <c r="AK16" s="11">
        <f>IF(N16&lt;&gt;0,(AB16-N16)/ABS(N16),0)</f>
        <v/>
      </c>
      <c r="AL16" s="11">
        <f>IF(AB16&lt;&gt;0,(AJ16-AB16)/ABS(AB16),0)</f>
        <v/>
      </c>
    </row>
    <row r="17" ht="13" customHeight="1">
      <c r="A17" s="15" t="inlineStr">
        <is>
          <t xml:space="preserve">    Recruitment</t>
        </is>
      </c>
      <c r="B17" s="16" t="n">
        <v>0</v>
      </c>
      <c r="C17" s="16" t="n">
        <v>0</v>
      </c>
      <c r="D17" s="16" t="n">
        <v>0</v>
      </c>
      <c r="E17" s="16" t="n">
        <v>0</v>
      </c>
      <c r="F17" s="16" t="n">
        <v>0</v>
      </c>
      <c r="G17" s="16" t="n">
        <v>0</v>
      </c>
      <c r="H17" s="16" t="n">
        <v>0</v>
      </c>
      <c r="I17" s="16" t="n">
        <v>0</v>
      </c>
      <c r="J17" s="16" t="n">
        <v>3861</v>
      </c>
      <c r="K17" s="16" t="n">
        <v>0</v>
      </c>
      <c r="L17" s="16" t="n">
        <v>0</v>
      </c>
      <c r="M17" s="16" t="n">
        <v>0</v>
      </c>
      <c r="N17" s="16">
        <f>SUM(B17:M17)</f>
        <v/>
      </c>
      <c r="O17" s="16" t="n">
        <v>0</v>
      </c>
      <c r="P17" s="16" t="n">
        <v>0</v>
      </c>
      <c r="Q17" s="16" t="n">
        <v>0</v>
      </c>
      <c r="R17" s="16" t="n">
        <v>0</v>
      </c>
      <c r="S17" s="16" t="n">
        <v>0</v>
      </c>
      <c r="T17" s="16" t="n">
        <v>0</v>
      </c>
      <c r="U17" s="16" t="n">
        <v>0</v>
      </c>
      <c r="V17" s="16" t="n">
        <v>0</v>
      </c>
      <c r="W17" s="16" t="n">
        <v>0</v>
      </c>
      <c r="X17" s="16" t="n">
        <v>0</v>
      </c>
      <c r="Y17" s="16" t="n">
        <v>0</v>
      </c>
      <c r="Z17" s="16" t="n">
        <v>0</v>
      </c>
      <c r="AA17" s="16">
        <f>SUM(O17:U17)</f>
        <v/>
      </c>
      <c r="AB17" s="16">
        <f>SUM(O17:Z17)</f>
        <v/>
      </c>
      <c r="AC17" s="16" t="n">
        <v>0</v>
      </c>
      <c r="AD17" s="16" t="n">
        <v>0</v>
      </c>
      <c r="AE17" s="16" t="n">
        <v>0</v>
      </c>
      <c r="AF17" s="16" t="n">
        <v>0</v>
      </c>
      <c r="AG17" s="16" t="n">
        <v>0</v>
      </c>
      <c r="AH17" s="16" t="n">
        <v>0</v>
      </c>
      <c r="AI17" s="34">
        <f>SUM(AC17:AH17)</f>
        <v/>
      </c>
      <c r="AJ17" s="16">
        <f>SUM(AC17:AH17)+AI17</f>
        <v/>
      </c>
      <c r="AK17" s="11">
        <f>IF(N17&lt;&gt;0,(AB17-N17)/ABS(N17),0)</f>
        <v/>
      </c>
      <c r="AL17" s="11">
        <f>IF(AB17&lt;&gt;0,(AJ17-AB17)/ABS(AB17),0)</f>
        <v/>
      </c>
    </row>
    <row r="18" ht="13" customHeight="1">
      <c r="A18" s="15" t="inlineStr">
        <is>
          <t xml:space="preserve">    Rewards &amp; Recognition</t>
        </is>
      </c>
      <c r="B18" s="16" t="n">
        <v>0</v>
      </c>
      <c r="C18" s="16" t="n">
        <v>0</v>
      </c>
      <c r="D18" s="16" t="n">
        <v>0</v>
      </c>
      <c r="E18" s="16" t="n">
        <v>0</v>
      </c>
      <c r="F18" s="16" t="n">
        <v>0</v>
      </c>
      <c r="G18" s="16" t="n">
        <v>0</v>
      </c>
      <c r="H18" s="16" t="n">
        <v>12.8</v>
      </c>
      <c r="I18" s="16" t="n">
        <v>0</v>
      </c>
      <c r="J18" s="16" t="n">
        <v>22.88</v>
      </c>
      <c r="K18" s="16" t="n">
        <v>0</v>
      </c>
      <c r="L18" s="16" t="n">
        <v>50.97</v>
      </c>
      <c r="M18" s="16" t="n">
        <v>88.44</v>
      </c>
      <c r="N18" s="16">
        <f>SUM(B18:M18)</f>
        <v/>
      </c>
      <c r="O18" s="16" t="n">
        <v>0</v>
      </c>
      <c r="P18" s="16" t="n">
        <v>0</v>
      </c>
      <c r="Q18" s="16" t="n">
        <v>0</v>
      </c>
      <c r="R18" s="16" t="n">
        <v>55.97</v>
      </c>
      <c r="S18" s="16" t="n">
        <v>47.98</v>
      </c>
      <c r="T18" s="16" t="n">
        <v>7.99</v>
      </c>
      <c r="U18" s="16" t="n">
        <v>38.98</v>
      </c>
      <c r="AA18" s="16">
        <f>SUM(O18:U18)</f>
        <v/>
      </c>
      <c r="AB18" s="16">
        <f>SUM(O18:Z18)</f>
        <v/>
      </c>
      <c r="AC18" s="16" t="n">
        <v>33</v>
      </c>
      <c r="AD18" s="16" t="n">
        <v>33</v>
      </c>
      <c r="AE18" s="16" t="n">
        <v>33</v>
      </c>
      <c r="AF18" s="16" t="n">
        <v>33</v>
      </c>
      <c r="AG18" s="16" t="n">
        <v>33</v>
      </c>
      <c r="AH18" s="16" t="n">
        <v>33</v>
      </c>
      <c r="AI18" s="34">
        <f>SUM(AC18:AH18)</f>
        <v/>
      </c>
      <c r="AJ18" s="16">
        <f>SUM(AC18:AH18)+AI18</f>
        <v/>
      </c>
      <c r="AK18" s="11">
        <f>IF(N18&lt;&gt;0,(AB18-N18)/ABS(N18),0)</f>
        <v/>
      </c>
      <c r="AL18" s="11">
        <f>IF(AB18&lt;&gt;0,(AJ18-AB18)/ABS(AB18),0)</f>
        <v/>
      </c>
    </row>
    <row r="19" ht="13" customHeight="1">
      <c r="A19" s="15" t="inlineStr">
        <is>
          <t xml:space="preserve">    Temps</t>
        </is>
      </c>
      <c r="B19" s="16" t="n">
        <v>0</v>
      </c>
      <c r="C19" s="16" t="n">
        <v>0</v>
      </c>
      <c r="D19" s="16" t="n">
        <v>0</v>
      </c>
      <c r="E19" s="16" t="n">
        <v>0</v>
      </c>
      <c r="F19" s="16" t="n">
        <v>0</v>
      </c>
      <c r="G19" s="16" t="n">
        <v>0</v>
      </c>
      <c r="H19" s="16" t="n">
        <v>0</v>
      </c>
      <c r="I19" s="16" t="n">
        <v>0</v>
      </c>
      <c r="J19" s="16" t="n">
        <v>0</v>
      </c>
      <c r="K19" s="16" t="n">
        <v>475.44</v>
      </c>
      <c r="L19" s="16" t="n">
        <v>0</v>
      </c>
      <c r="M19" s="16" t="n">
        <v>0</v>
      </c>
      <c r="N19" s="16">
        <f>SUM(B19:M19)</f>
        <v/>
      </c>
      <c r="O19" s="16" t="n">
        <v>0</v>
      </c>
      <c r="P19" s="16" t="n">
        <v>0</v>
      </c>
      <c r="Q19" s="16" t="n">
        <v>0</v>
      </c>
      <c r="R19" s="16" t="n">
        <v>0</v>
      </c>
      <c r="S19" s="16" t="n">
        <v>0</v>
      </c>
      <c r="T19" s="16" t="n">
        <v>0</v>
      </c>
      <c r="U19" s="16" t="n">
        <v>0</v>
      </c>
      <c r="V19" s="16" t="n">
        <v>0</v>
      </c>
      <c r="W19" s="16" t="n">
        <v>0</v>
      </c>
      <c r="X19" s="16" t="n">
        <v>0</v>
      </c>
      <c r="Y19" s="16" t="n">
        <v>0</v>
      </c>
      <c r="Z19" s="16" t="n">
        <v>0</v>
      </c>
      <c r="AA19" s="16">
        <f>SUM(O19:U19)</f>
        <v/>
      </c>
      <c r="AB19" s="16">
        <f>SUM(O19:Z19)</f>
        <v/>
      </c>
      <c r="AC19" s="16" t="n">
        <v>0</v>
      </c>
      <c r="AD19" s="16" t="n">
        <v>0</v>
      </c>
      <c r="AE19" s="16" t="n">
        <v>0</v>
      </c>
      <c r="AF19" s="16" t="n">
        <v>0</v>
      </c>
      <c r="AG19" s="16" t="n">
        <v>0</v>
      </c>
      <c r="AH19" s="16" t="n">
        <v>0</v>
      </c>
      <c r="AI19" s="34">
        <f>SUM(AC19:AH19)</f>
        <v/>
      </c>
      <c r="AJ19" s="16">
        <f>SUM(AC19:AH19)+AI19</f>
        <v/>
      </c>
      <c r="AK19" s="11">
        <f>IF(N19&lt;&gt;0,(AB19-N19)/ABS(N19),0)</f>
        <v/>
      </c>
      <c r="AL19" s="11">
        <f>IF(AB19&lt;&gt;0,(AJ19-AB19)/ABS(AB19),0)</f>
        <v/>
      </c>
    </row>
    <row r="20" ht="13" customHeight="1">
      <c r="A20" s="17" t="inlineStr">
        <is>
          <t>Total Personnel</t>
        </is>
      </c>
      <c r="B20" s="18">
        <f>B11+B12+B13+B14+B15+B16+B17+B18+B19</f>
        <v/>
      </c>
      <c r="C20" s="18">
        <f>C11+C12+C13+C14+C15+C16+C17+C18+C19</f>
        <v/>
      </c>
      <c r="D20" s="18">
        <f>D11+D12+D13+D14+D15+D16+D17+D18+D19</f>
        <v/>
      </c>
      <c r="E20" s="18">
        <f>E11+E12+E13+E14+E15+E16+E17+E18+E19</f>
        <v/>
      </c>
      <c r="F20" s="18">
        <f>F11+F12+F13+F14+F15+F16+F17+F18+F19</f>
        <v/>
      </c>
      <c r="G20" s="18">
        <f>G11+G12+G13+G14+G15+G16+G17+G18+G19</f>
        <v/>
      </c>
      <c r="H20" s="18">
        <f>H11+H12+H13+H14+H15+H16+H17+H18+H19</f>
        <v/>
      </c>
      <c r="I20" s="18">
        <f>I11+I12+I13+I14+I15+I16+I17+I18+I19</f>
        <v/>
      </c>
      <c r="J20" s="18">
        <f>J11+J12+J13+J14+J15+J16+J17+J18+J19</f>
        <v/>
      </c>
      <c r="K20" s="18">
        <f>K11+K12+K13+K14+K15+K16+K17+K18+K19</f>
        <v/>
      </c>
      <c r="L20" s="18">
        <f>L11+L12+L13+L14+L15+L16+L17+L18+L19</f>
        <v/>
      </c>
      <c r="M20" s="18">
        <f>M11+M12+M13+M14+M15+M16+M17+M18+M19</f>
        <v/>
      </c>
      <c r="N20" s="18">
        <f>N11+N12+N13+N14+N15+N16+N17+N18+N19</f>
        <v/>
      </c>
      <c r="O20" s="18">
        <f>O11+O12+O13+O14+O15+O16+O17+O18+O19</f>
        <v/>
      </c>
      <c r="P20" s="18">
        <f>P11+P12+P13+P14+P15+P16+P17+P18+P19</f>
        <v/>
      </c>
      <c r="Q20" s="18">
        <f>Q11+Q12+Q13+Q14+Q15+Q16+Q17+Q18+Q19</f>
        <v/>
      </c>
      <c r="R20" s="18">
        <f>R11+R12+R13+R14+R15+R16+R17+R18+R19</f>
        <v/>
      </c>
      <c r="S20" s="18">
        <f>S11+S12+S13+S14+S15+S16+S17+S18+S19</f>
        <v/>
      </c>
      <c r="T20" s="18">
        <f>T11+T12+T13+T14+T15+T16+T17+T18+T19</f>
        <v/>
      </c>
      <c r="U20" s="18">
        <f>U11+U12+U13+U14+U15+U16+U17+U18+U19</f>
        <v/>
      </c>
      <c r="V20" s="18">
        <f>V11+V12+V13+V14+V15+V16+V17+V18+V19</f>
        <v/>
      </c>
      <c r="W20" s="18">
        <f>W11+W12+W13+W14+W15+W16+W17+W18+W19</f>
        <v/>
      </c>
      <c r="X20" s="18">
        <f>X11+X12+X13+X14+X15+X16+X17+X18+X19</f>
        <v/>
      </c>
      <c r="Y20" s="18">
        <f>Y11+Y12+Y13+Y14+Y15+Y16+Y17+Y18+Y19</f>
        <v/>
      </c>
      <c r="Z20" s="18">
        <f>Z11+Z12+Z13+Z14+Z15+Z16+Z17+Z18+Z19</f>
        <v/>
      </c>
      <c r="AA20" s="18">
        <f>AA11+AA12+AA13+AA14+AA15+AA16+AA17+AA18+AA19</f>
        <v/>
      </c>
      <c r="AB20" s="18">
        <f>AB11+AB12+AB13+AB14+AB15+AB16+AB17+AB18+AB19</f>
        <v/>
      </c>
      <c r="AC20" s="18">
        <f>AC11+AC12+AC13+AC14+AC15+AC16+AC17+AC18+AC19</f>
        <v/>
      </c>
      <c r="AD20" s="18">
        <f>AD11+AD12+AD13+AD14+AD15+AD16+AD17+AD18+AD19</f>
        <v/>
      </c>
      <c r="AE20" s="18">
        <f>AE11+AE12+AE13+AE14+AE15+AE16+AE17+AE18+AE19</f>
        <v/>
      </c>
      <c r="AF20" s="18">
        <f>AF11+AF12+AF13+AF14+AF15+AF16+AF17+AF18+AF19</f>
        <v/>
      </c>
      <c r="AG20" s="18">
        <f>AG11+AG12+AG13+AG14+AG15+AG16+AG17+AG18+AG19</f>
        <v/>
      </c>
      <c r="AH20" s="18">
        <f>AH11+AH12+AH13+AH14+AH15+AH16+AH17+AH18+AH19</f>
        <v/>
      </c>
      <c r="AI20" s="18">
        <f>AI11+AI12+AI13+AI14+AI15+AI16+AI17+AI18+AI19</f>
        <v/>
      </c>
      <c r="AJ20" s="18">
        <f>AJ11+AJ12+AJ13+AJ14+AJ15+AJ16+AJ17+AJ18+AJ19</f>
        <v/>
      </c>
      <c r="AK20" s="11">
        <f>IF(N20&lt;&gt;0,(AB20-N20)/ABS(N20),0)</f>
        <v/>
      </c>
      <c r="AL20" s="11">
        <f>IF(AB20&lt;&gt;0,(AJ20-AB20)/ABS(AB20),0)</f>
        <v/>
      </c>
    </row>
    <row r="21" ht="13" customHeight="1">
      <c r="A21" s="19" t="inlineStr">
        <is>
          <t xml:space="preserve">    Sal:Rev</t>
        </is>
      </c>
      <c r="B21" s="20">
        <f>IF(B7&gt;0,B20/B7,0)</f>
        <v/>
      </c>
      <c r="C21" s="20">
        <f>IF(C7&gt;0,C20/C7,0)</f>
        <v/>
      </c>
      <c r="D21" s="20">
        <f>IF(D7&gt;0,D20/D7,0)</f>
        <v/>
      </c>
      <c r="E21" s="20">
        <f>IF(E7&gt;0,E20/E7,0)</f>
        <v/>
      </c>
      <c r="F21" s="20">
        <f>IF(F7&gt;0,F20/F7,0)</f>
        <v/>
      </c>
      <c r="G21" s="20">
        <f>IF(G7&gt;0,G20/G7,0)</f>
        <v/>
      </c>
      <c r="H21" s="20">
        <f>IF(H7&gt;0,H20/H7,0)</f>
        <v/>
      </c>
      <c r="I21" s="20">
        <f>IF(I7&gt;0,I20/I7,0)</f>
        <v/>
      </c>
      <c r="J21" s="20">
        <f>IF(J7&gt;0,J20/J7,0)</f>
        <v/>
      </c>
      <c r="K21" s="20">
        <f>IF(K7&gt;0,K20/K7,0)</f>
        <v/>
      </c>
      <c r="L21" s="20">
        <f>IF(L7&gt;0,L20/L7,0)</f>
        <v/>
      </c>
      <c r="M21" s="20">
        <f>IF(M7&gt;0,M20/M7,0)</f>
        <v/>
      </c>
      <c r="N21" s="20">
        <f>IF(N7&gt;0,N20/N7,0)</f>
        <v/>
      </c>
      <c r="O21" s="20">
        <f>IF(O7&gt;0,O20/O7,0)</f>
        <v/>
      </c>
      <c r="P21" s="20">
        <f>IF(P7&gt;0,P20/P7,0)</f>
        <v/>
      </c>
      <c r="Q21" s="20">
        <f>IF(Q7&gt;0,Q20/Q7,0)</f>
        <v/>
      </c>
      <c r="R21" s="20">
        <f>IF(R7&gt;0,R20/R7,0)</f>
        <v/>
      </c>
      <c r="S21" s="20">
        <f>IF(S7&gt;0,S20/S7,0)</f>
        <v/>
      </c>
      <c r="T21" s="20">
        <f>IF(T7&gt;0,T20/T7,0)</f>
        <v/>
      </c>
      <c r="U21" s="20">
        <f>IF(U7&gt;0,U20/U7,0)</f>
        <v/>
      </c>
      <c r="V21" s="20">
        <f>IF(V7&gt;0,V20/V7,0)</f>
        <v/>
      </c>
      <c r="W21" s="20">
        <f>IF(W7&gt;0,W20/W7,0)</f>
        <v/>
      </c>
      <c r="X21" s="20">
        <f>IF(X7&gt;0,X20/X7,0)</f>
        <v/>
      </c>
      <c r="Y21" s="20">
        <f>IF(Y7&gt;0,Y20/Y7,0)</f>
        <v/>
      </c>
      <c r="Z21" s="20">
        <f>IF(Z7&gt;0,Z20/Z7,0)</f>
        <v/>
      </c>
      <c r="AA21" s="20">
        <f>IF(AA7&gt;0,AA20/AA7,0)</f>
        <v/>
      </c>
      <c r="AB21" s="20">
        <f>IF(AB7&gt;0,AB20/AB7,0)</f>
        <v/>
      </c>
      <c r="AC21" s="20">
        <f>IF(AC7&gt;0,AC20/AC7,0)</f>
        <v/>
      </c>
      <c r="AD21" s="20">
        <f>IF(AD7&gt;0,AD20/AD7,0)</f>
        <v/>
      </c>
      <c r="AE21" s="20">
        <f>IF(AE7&gt;0,AE20/AE7,0)</f>
        <v/>
      </c>
      <c r="AF21" s="20">
        <f>IF(AF7&gt;0,AF20/AF7,0)</f>
        <v/>
      </c>
      <c r="AG21" s="20">
        <f>IF(AG7&gt;0,AG20/AG7,0)</f>
        <v/>
      </c>
      <c r="AH21" s="20">
        <f>IF(AH7&gt;0,AH20/AH7,0)</f>
        <v/>
      </c>
      <c r="AI21" s="20">
        <f>IF(AI7&gt;0,AI20/AI7,0)</f>
        <v/>
      </c>
      <c r="AJ21" s="20">
        <f>IF(AJ7&gt;0,AJ20/AJ7,0)</f>
        <v/>
      </c>
    </row>
    <row r="22" ht="5" customHeight="1"/>
    <row r="23" ht="13" customHeight="1">
      <c r="A23" s="14" t="inlineStr">
        <is>
          <t>Childcare</t>
        </is>
      </c>
    </row>
    <row r="24" ht="13" customHeight="1">
      <c r="A24" s="21" t="inlineStr">
        <is>
          <t xml:space="preserve">    Catering Costs</t>
        </is>
      </c>
      <c r="N24" s="22">
        <f>SUM(B24:M24)</f>
        <v/>
      </c>
      <c r="O24" s="22" t="n">
        <v>930.5700000000001</v>
      </c>
      <c r="P24" s="22" t="n">
        <v>1165.35</v>
      </c>
      <c r="Q24" s="22" t="n">
        <v>1341.06</v>
      </c>
      <c r="R24" s="22" t="n">
        <v>1180.59</v>
      </c>
      <c r="S24" s="22" t="n">
        <v>1129.19</v>
      </c>
      <c r="T24" s="22" t="n">
        <v>1238.46</v>
      </c>
      <c r="U24" s="22" t="n">
        <v>1343.35</v>
      </c>
      <c r="V24" s="22" t="n">
        <v>710.6111999999999</v>
      </c>
      <c r="W24" s="22" t="n">
        <v>1009.258224</v>
      </c>
      <c r="X24" s="22" t="n">
        <v>1029.8808</v>
      </c>
      <c r="Y24" s="22" t="n">
        <v>989.6952</v>
      </c>
      <c r="Z24" s="22" t="n">
        <v>926.5463999999999</v>
      </c>
      <c r="AA24" s="22">
        <f>SUM(O24:U24)</f>
        <v/>
      </c>
      <c r="AB24" s="22">
        <f>SUM(O24:Z24)</f>
        <v/>
      </c>
      <c r="AC24" s="22" t="n">
        <v>1056.097224</v>
      </c>
      <c r="AD24" s="22" t="n">
        <v>1274.934648</v>
      </c>
      <c r="AE24" s="22" t="n">
        <v>1034.868744</v>
      </c>
      <c r="AF24" s="22" t="n">
        <v>1163.82552</v>
      </c>
      <c r="AG24" s="22" t="n">
        <v>1236.298128</v>
      </c>
      <c r="AH24" s="22" t="n">
        <v>1535.904864</v>
      </c>
      <c r="AI24" s="34">
        <f>SUM(AC24:AH24)</f>
        <v/>
      </c>
      <c r="AJ24" s="22">
        <f>SUM(AC24:AH24)+AI24</f>
        <v/>
      </c>
      <c r="AK24" s="11">
        <f>IF(N24&lt;&gt;0,(AB24-N24)/ABS(N24),0)</f>
        <v/>
      </c>
      <c r="AL24" s="11">
        <f>IF(AB24&lt;&gt;0,(AJ24-AB24)/ABS(AB24),0)</f>
        <v/>
      </c>
    </row>
    <row r="25" ht="13" customHeight="1">
      <c r="A25" s="21" t="inlineStr">
        <is>
          <t xml:space="preserve">    Toys and Games</t>
        </is>
      </c>
      <c r="B25" s="22" t="n">
        <v>85.72</v>
      </c>
      <c r="C25" s="22" t="n">
        <v>41.48999999999999</v>
      </c>
      <c r="D25" s="22" t="n">
        <v>55.22</v>
      </c>
      <c r="E25" s="22" t="n">
        <v>133.77</v>
      </c>
      <c r="F25" s="22" t="n">
        <v>115.2</v>
      </c>
      <c r="G25" s="22" t="n">
        <v>40.97</v>
      </c>
      <c r="H25" s="22" t="n">
        <v>119.18</v>
      </c>
      <c r="I25" s="22" t="n">
        <v>0</v>
      </c>
      <c r="J25" s="22" t="n">
        <v>937.3900000000001</v>
      </c>
      <c r="K25" s="22" t="n">
        <v>75.81999999999999</v>
      </c>
      <c r="L25" s="22" t="n">
        <v>34</v>
      </c>
      <c r="M25" s="22" t="n">
        <v>44.21</v>
      </c>
      <c r="N25" s="22">
        <f>SUM(B25:M25)</f>
        <v/>
      </c>
      <c r="O25" s="22" t="n">
        <v>158.33</v>
      </c>
      <c r="P25" s="22" t="n">
        <v>73.69</v>
      </c>
      <c r="Q25" s="22" t="n">
        <v>139.02</v>
      </c>
      <c r="R25" s="22" t="n">
        <v>64.22999999999999</v>
      </c>
      <c r="S25" s="22" t="n">
        <v>65.86</v>
      </c>
      <c r="T25" s="22" t="n">
        <v>40.92</v>
      </c>
      <c r="U25" s="22" t="n">
        <v>61.05</v>
      </c>
      <c r="AA25" s="22">
        <f>SUM(O25:U25)</f>
        <v/>
      </c>
      <c r="AB25" s="22">
        <f>SUM(O25:Z25)</f>
        <v/>
      </c>
      <c r="AC25" s="22" t="n">
        <v>50</v>
      </c>
      <c r="AD25" s="22" t="n">
        <v>50</v>
      </c>
      <c r="AE25" s="22" t="n">
        <v>50</v>
      </c>
      <c r="AF25" s="22" t="n">
        <v>50</v>
      </c>
      <c r="AG25" s="22" t="n">
        <v>50</v>
      </c>
      <c r="AH25" s="22" t="n">
        <v>50</v>
      </c>
      <c r="AI25" s="34">
        <f>SUM(AC25:AH25)</f>
        <v/>
      </c>
      <c r="AJ25" s="22">
        <f>SUM(AC25:AH25)+AI25</f>
        <v/>
      </c>
      <c r="AK25" s="11">
        <f>IF(N25&lt;&gt;0,(AB25-N25)/ABS(N25),0)</f>
        <v/>
      </c>
      <c r="AL25" s="11">
        <f>IF(AB25&lt;&gt;0,(AJ25-AB25)/ABS(AB25),0)</f>
        <v/>
      </c>
    </row>
    <row r="26" ht="13" customHeight="1">
      <c r="A26" s="21" t="inlineStr">
        <is>
          <t xml:space="preserve">    Art Materials</t>
        </is>
      </c>
      <c r="N26" s="22">
        <f>SUM(B26:M26)</f>
        <v/>
      </c>
      <c r="O26" s="22" t="n">
        <v>36.95</v>
      </c>
      <c r="P26" s="22" t="n">
        <v>132.23</v>
      </c>
      <c r="Q26" s="22" t="n">
        <v>184.1</v>
      </c>
      <c r="R26" s="22" t="n">
        <v>15.97</v>
      </c>
      <c r="S26" s="22" t="n">
        <v>0</v>
      </c>
      <c r="T26" s="22" t="n">
        <v>39.16</v>
      </c>
      <c r="U26" s="22" t="n">
        <v>29.81</v>
      </c>
      <c r="V26" s="22" t="n">
        <v>94.74816000000003</v>
      </c>
      <c r="W26" s="22" t="n">
        <v>134.5677632000001</v>
      </c>
      <c r="X26" s="22" t="n">
        <v>137.31744</v>
      </c>
      <c r="Y26" s="22" t="n">
        <v>131.95936</v>
      </c>
      <c r="Z26" s="22" t="n">
        <v>123.53952</v>
      </c>
      <c r="AA26" s="22">
        <f>SUM(O26:U26)</f>
        <v/>
      </c>
      <c r="AB26" s="22">
        <f>SUM(O26:Z26)</f>
        <v/>
      </c>
      <c r="AC26" s="22" t="n">
        <v>140.8129632</v>
      </c>
      <c r="AD26" s="22" t="n">
        <v>169.9912864000001</v>
      </c>
      <c r="AE26" s="22" t="n">
        <v>137.9824992000001</v>
      </c>
      <c r="AF26" s="22" t="n">
        <v>155.176736</v>
      </c>
      <c r="AG26" s="22" t="n">
        <v>164.8397504000001</v>
      </c>
      <c r="AH26" s="22" t="n">
        <v>204.7873152000001</v>
      </c>
      <c r="AI26" s="34">
        <f>SUM(AC26:AH26)</f>
        <v/>
      </c>
      <c r="AJ26" s="22">
        <f>SUM(AC26:AH26)+AI26</f>
        <v/>
      </c>
      <c r="AK26" s="11">
        <f>IF(N26&lt;&gt;0,(AB26-N26)/ABS(N26),0)</f>
        <v/>
      </c>
      <c r="AL26" s="11">
        <f>IF(AB26&lt;&gt;0,(AJ26-AB26)/ABS(AB26),0)</f>
        <v/>
      </c>
    </row>
    <row r="27" ht="13" customHeight="1">
      <c r="A27" s="21" t="inlineStr">
        <is>
          <t xml:space="preserve">    Nursery Stationery</t>
        </is>
      </c>
      <c r="B27" s="22" t="n">
        <v>7.64</v>
      </c>
      <c r="C27" s="22" t="n">
        <v>23.2</v>
      </c>
      <c r="D27" s="22" t="n">
        <v>31.14</v>
      </c>
      <c r="E27" s="22" t="n">
        <v>14.94</v>
      </c>
      <c r="F27" s="22" t="n">
        <v>11.95</v>
      </c>
      <c r="G27" s="22" t="n">
        <v>23.88</v>
      </c>
      <c r="H27" s="22" t="n">
        <v>107.69</v>
      </c>
      <c r="I27" s="22" t="n">
        <v>201.64</v>
      </c>
      <c r="J27" s="22" t="n">
        <v>13.58</v>
      </c>
      <c r="K27" s="22" t="n">
        <v>61.35</v>
      </c>
      <c r="L27" s="22" t="n">
        <v>13.78</v>
      </c>
      <c r="M27" s="22" t="n">
        <v>158.03</v>
      </c>
      <c r="N27" s="22">
        <f>SUM(B27:M27)</f>
        <v/>
      </c>
      <c r="O27" s="22" t="n">
        <v>72.57000000000001</v>
      </c>
      <c r="P27" s="22" t="n">
        <v>85.80000000000001</v>
      </c>
      <c r="Q27" s="22" t="n">
        <v>0</v>
      </c>
      <c r="R27" s="22" t="n">
        <v>49.71</v>
      </c>
      <c r="S27" s="22" t="n">
        <v>47.25</v>
      </c>
      <c r="T27" s="22" t="n">
        <v>25.12</v>
      </c>
      <c r="U27" s="22" t="n">
        <v>15.98</v>
      </c>
      <c r="AA27" s="22">
        <f>SUM(O27:U27)</f>
        <v/>
      </c>
      <c r="AB27" s="22">
        <f>SUM(O27:Z27)</f>
        <v/>
      </c>
      <c r="AC27" s="22" t="n">
        <v>50</v>
      </c>
      <c r="AD27" s="22" t="n">
        <v>50</v>
      </c>
      <c r="AE27" s="22" t="n">
        <v>50</v>
      </c>
      <c r="AF27" s="22" t="n">
        <v>50</v>
      </c>
      <c r="AG27" s="22" t="n">
        <v>50</v>
      </c>
      <c r="AH27" s="22" t="n">
        <v>50</v>
      </c>
      <c r="AI27" s="34">
        <f>SUM(AC27:AH27)</f>
        <v/>
      </c>
      <c r="AJ27" s="22">
        <f>SUM(AC27:AH27)+AI27</f>
        <v/>
      </c>
      <c r="AK27" s="11">
        <f>IF(N27&lt;&gt;0,(AB27-N27)/ABS(N27),0)</f>
        <v/>
      </c>
      <c r="AL27" s="11">
        <f>IF(AB27&lt;&gt;0,(AJ27-AB27)/ABS(AB27),0)</f>
        <v/>
      </c>
    </row>
    <row r="28" ht="13" customHeight="1">
      <c r="A28" s="21" t="inlineStr">
        <is>
          <t xml:space="preserve">    Nursery Equipment</t>
        </is>
      </c>
      <c r="B28" s="22" t="n">
        <v>7.99</v>
      </c>
      <c r="C28" s="22" t="n">
        <v>25.96</v>
      </c>
      <c r="D28" s="22" t="n">
        <v>0</v>
      </c>
      <c r="E28" s="22" t="n">
        <v>57.87</v>
      </c>
      <c r="F28" s="22" t="n">
        <v>0</v>
      </c>
      <c r="G28" s="22" t="n">
        <v>152.18</v>
      </c>
      <c r="H28" s="22" t="n">
        <v>18.98</v>
      </c>
      <c r="I28" s="22" t="n">
        <v>40.86</v>
      </c>
      <c r="J28" s="22" t="n">
        <v>0</v>
      </c>
      <c r="K28" s="22" t="n">
        <v>337.45</v>
      </c>
      <c r="L28" s="22" t="n">
        <v>777.25</v>
      </c>
      <c r="M28" s="22" t="n">
        <v>160.58</v>
      </c>
      <c r="N28" s="22">
        <f>SUM(B28:M28)</f>
        <v/>
      </c>
      <c r="O28" s="22" t="n">
        <v>42.68</v>
      </c>
      <c r="P28" s="22" t="n">
        <v>26.97</v>
      </c>
      <c r="Q28" s="22" t="n">
        <v>40.95</v>
      </c>
      <c r="R28" s="22" t="n">
        <v>46.3</v>
      </c>
      <c r="S28" s="22" t="n">
        <v>49.99</v>
      </c>
      <c r="T28" s="22" t="n">
        <v>44.99</v>
      </c>
      <c r="U28" s="22" t="n">
        <v>0</v>
      </c>
      <c r="AA28" s="22">
        <f>SUM(O28:U28)</f>
        <v/>
      </c>
      <c r="AB28" s="22">
        <f>SUM(O28:Z28)</f>
        <v/>
      </c>
      <c r="AC28" s="22" t="n">
        <v>50</v>
      </c>
      <c r="AD28" s="22" t="n">
        <v>50</v>
      </c>
      <c r="AE28" s="22" t="n">
        <v>50</v>
      </c>
      <c r="AF28" s="22" t="n">
        <v>50</v>
      </c>
      <c r="AG28" s="22" t="n">
        <v>50</v>
      </c>
      <c r="AH28" s="22" t="n">
        <v>50</v>
      </c>
      <c r="AI28" s="34">
        <f>SUM(AC28:AH28)</f>
        <v/>
      </c>
      <c r="AJ28" s="22">
        <f>SUM(AC28:AH28)+AI28</f>
        <v/>
      </c>
      <c r="AK28" s="11">
        <f>IF(N28&lt;&gt;0,(AB28-N28)/ABS(N28),0)</f>
        <v/>
      </c>
      <c r="AL28" s="11">
        <f>IF(AB28&lt;&gt;0,(AJ28-AB28)/ABS(AB28),0)</f>
        <v/>
      </c>
    </row>
    <row r="29" ht="13" customHeight="1">
      <c r="A29" s="21" t="inlineStr">
        <is>
          <t xml:space="preserve">    Nursery Consumables</t>
        </is>
      </c>
      <c r="N29" s="22">
        <f>SUM(B29:M29)</f>
        <v/>
      </c>
      <c r="O29" s="22" t="n">
        <v>175.68</v>
      </c>
      <c r="P29" s="22" t="n">
        <v>336.46</v>
      </c>
      <c r="Q29" s="22" t="n">
        <v>254.99</v>
      </c>
      <c r="R29" s="22" t="n">
        <v>144.3</v>
      </c>
      <c r="S29" s="22" t="n">
        <v>200.22</v>
      </c>
      <c r="T29" s="22" t="n">
        <v>395.74</v>
      </c>
      <c r="U29" s="22" t="n">
        <v>20.35</v>
      </c>
      <c r="V29" s="22" t="n">
        <v>94.74816000000003</v>
      </c>
      <c r="W29" s="22" t="n">
        <v>134.5677632000001</v>
      </c>
      <c r="X29" s="22" t="n">
        <v>137.31744</v>
      </c>
      <c r="Y29" s="22" t="n">
        <v>131.95936</v>
      </c>
      <c r="Z29" s="22" t="n">
        <v>123.53952</v>
      </c>
      <c r="AA29" s="22">
        <f>SUM(O29:U29)</f>
        <v/>
      </c>
      <c r="AB29" s="22">
        <f>SUM(O29:Z29)</f>
        <v/>
      </c>
      <c r="AC29" s="22" t="n">
        <v>140.8129632</v>
      </c>
      <c r="AD29" s="22" t="n">
        <v>169.9912864000001</v>
      </c>
      <c r="AE29" s="22" t="n">
        <v>137.9824992000001</v>
      </c>
      <c r="AF29" s="22" t="n">
        <v>155.176736</v>
      </c>
      <c r="AG29" s="22" t="n">
        <v>164.8397504000001</v>
      </c>
      <c r="AH29" s="22" t="n">
        <v>204.7873152000001</v>
      </c>
      <c r="AI29" s="34">
        <f>SUM(AC29:AH29)</f>
        <v/>
      </c>
      <c r="AJ29" s="22">
        <f>SUM(AC29:AH29)+AI29</f>
        <v/>
      </c>
      <c r="AK29" s="11">
        <f>IF(N29&lt;&gt;0,(AB29-N29)/ABS(N29),0)</f>
        <v/>
      </c>
      <c r="AL29" s="11">
        <f>IF(AB29&lt;&gt;0,(AJ29-AB29)/ABS(AB29),0)</f>
        <v/>
      </c>
    </row>
    <row r="30" ht="13" customHeight="1">
      <c r="A30" s="23" t="inlineStr">
        <is>
          <t>Total Childcare Costs</t>
        </is>
      </c>
      <c r="B30" s="24">
        <f>B24+B25+B26+B27+B28+B29</f>
        <v/>
      </c>
      <c r="C30" s="24">
        <f>C24+C25+C26+C27+C28+C29</f>
        <v/>
      </c>
      <c r="D30" s="24">
        <f>D24+D25+D26+D27+D28+D29</f>
        <v/>
      </c>
      <c r="E30" s="24">
        <f>E24+E25+E26+E27+E28+E29</f>
        <v/>
      </c>
      <c r="F30" s="24">
        <f>F24+F25+F26+F27+F28+F29</f>
        <v/>
      </c>
      <c r="G30" s="24">
        <f>G24+G25+G26+G27+G28+G29</f>
        <v/>
      </c>
      <c r="H30" s="24">
        <f>H24+H25+H26+H27+H28+H29</f>
        <v/>
      </c>
      <c r="I30" s="24">
        <f>I24+I25+I26+I27+I28+I29</f>
        <v/>
      </c>
      <c r="J30" s="24">
        <f>J24+J25+J26+J27+J28+J29</f>
        <v/>
      </c>
      <c r="K30" s="24">
        <f>K24+K25+K26+K27+K28+K29</f>
        <v/>
      </c>
      <c r="L30" s="24">
        <f>L24+L25+L26+L27+L28+L29</f>
        <v/>
      </c>
      <c r="M30" s="24">
        <f>M24+M25+M26+M27+M28+M29</f>
        <v/>
      </c>
      <c r="N30" s="24">
        <f>N24+N25+N26+N27+N28+N29</f>
        <v/>
      </c>
      <c r="O30" s="24">
        <f>O24+O25+O26+O27+O28+O29</f>
        <v/>
      </c>
      <c r="P30" s="24">
        <f>P24+P25+P26+P27+P28+P29</f>
        <v/>
      </c>
      <c r="Q30" s="24">
        <f>Q24+Q25+Q26+Q27+Q28+Q29</f>
        <v/>
      </c>
      <c r="R30" s="24">
        <f>R24+R25+R26+R27+R28+R29</f>
        <v/>
      </c>
      <c r="S30" s="24">
        <f>S24+S25+S26+S27+S28+S29</f>
        <v/>
      </c>
      <c r="T30" s="24">
        <f>T24+T25+T26+T27+T28+T29</f>
        <v/>
      </c>
      <c r="U30" s="24">
        <f>U24+U25+U26+U27+U28+U29</f>
        <v/>
      </c>
      <c r="V30" s="24">
        <f>V24+V25+V26+V27+V28+V29</f>
        <v/>
      </c>
      <c r="W30" s="24">
        <f>W24+W25+W26+W27+W28+W29</f>
        <v/>
      </c>
      <c r="X30" s="24">
        <f>X24+X25+X26+X27+X28+X29</f>
        <v/>
      </c>
      <c r="Y30" s="24">
        <f>Y24+Y25+Y26+Y27+Y28+Y29</f>
        <v/>
      </c>
      <c r="Z30" s="24">
        <f>Z24+Z25+Z26+Z27+Z28+Z29</f>
        <v/>
      </c>
      <c r="AA30" s="24">
        <f>AA24+AA25+AA26+AA27+AA28+AA29</f>
        <v/>
      </c>
      <c r="AB30" s="24">
        <f>AB24+AB25+AB26+AB27+AB28+AB29</f>
        <v/>
      </c>
      <c r="AC30" s="24">
        <f>AC24+AC25+AC26+AC27+AC28+AC29</f>
        <v/>
      </c>
      <c r="AD30" s="24">
        <f>AD24+AD25+AD26+AD27+AD28+AD29</f>
        <v/>
      </c>
      <c r="AE30" s="24">
        <f>AE24+AE25+AE26+AE27+AE28+AE29</f>
        <v/>
      </c>
      <c r="AF30" s="24">
        <f>AF24+AF25+AF26+AF27+AF28+AF29</f>
        <v/>
      </c>
      <c r="AG30" s="24">
        <f>AG24+AG25+AG26+AG27+AG28+AG29</f>
        <v/>
      </c>
      <c r="AH30" s="24">
        <f>AH24+AH25+AH26+AH27+AH28+AH29</f>
        <v/>
      </c>
      <c r="AI30" s="24">
        <f>AI24+AI25+AI26+AI27+AI28+AI29</f>
        <v/>
      </c>
      <c r="AJ30" s="24">
        <f>AJ24+AJ25+AJ26+AJ27+AJ28+AJ29</f>
        <v/>
      </c>
      <c r="AK30" s="11">
        <f>IF(N30&lt;&gt;0,(AB30-N30)/ABS(N30),0)</f>
        <v/>
      </c>
      <c r="AL30" s="11">
        <f>IF(AB30&lt;&gt;0,(AJ30-AB30)/ABS(AB30),0)</f>
        <v/>
      </c>
    </row>
    <row r="31" ht="5" customHeight="1"/>
    <row r="32" ht="13" customHeight="1">
      <c r="A32" s="14" t="inlineStr">
        <is>
          <t>Premises &amp; Admin</t>
        </is>
      </c>
    </row>
    <row r="33" ht="13" customHeight="1">
      <c r="A33" s="25" t="inlineStr">
        <is>
          <t xml:space="preserve">    Rent</t>
        </is>
      </c>
      <c r="B33" s="26" t="n">
        <v>0</v>
      </c>
      <c r="C33" s="26" t="n">
        <v>0</v>
      </c>
      <c r="D33" s="26" t="n">
        <v>0</v>
      </c>
      <c r="E33" s="26" t="n">
        <v>0</v>
      </c>
      <c r="F33" s="26" t="n">
        <v>0</v>
      </c>
      <c r="G33" s="26" t="n">
        <v>0</v>
      </c>
      <c r="H33" s="26" t="n">
        <v>0</v>
      </c>
      <c r="I33" s="26" t="n">
        <v>0</v>
      </c>
      <c r="J33" s="26" t="n">
        <v>0</v>
      </c>
      <c r="K33" s="26" t="n">
        <v>0</v>
      </c>
      <c r="L33" s="26" t="n">
        <v>0</v>
      </c>
      <c r="M33" s="26" t="n">
        <v>0</v>
      </c>
      <c r="N33" s="26">
        <f>SUM(B33:M33)</f>
        <v/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  <c r="V33" s="26" t="n">
        <v>0</v>
      </c>
      <c r="W33" s="26" t="n">
        <v>0</v>
      </c>
      <c r="X33" s="26" t="n">
        <v>0</v>
      </c>
      <c r="Y33" s="26" t="n">
        <v>0</v>
      </c>
      <c r="Z33" s="26" t="n">
        <v>0</v>
      </c>
      <c r="AA33" s="26">
        <f>SUM(O33:U33)</f>
        <v/>
      </c>
      <c r="AB33" s="26">
        <f>SUM(O33:Z33)</f>
        <v/>
      </c>
      <c r="AC33" s="26" t="n">
        <v>0</v>
      </c>
      <c r="AD33" s="26" t="n">
        <v>0</v>
      </c>
      <c r="AE33" s="26" t="n">
        <v>0</v>
      </c>
      <c r="AF33" s="26" t="n">
        <v>0</v>
      </c>
      <c r="AG33" s="26" t="n">
        <v>0</v>
      </c>
      <c r="AH33" s="26" t="n">
        <v>0</v>
      </c>
      <c r="AI33" s="34">
        <f>SUM(AC33:AH33)</f>
        <v/>
      </c>
      <c r="AJ33" s="26">
        <f>SUM(AC33:AH33)+AI33</f>
        <v/>
      </c>
      <c r="AK33" s="11">
        <f>IF(N33&lt;&gt;0,(AB33-N33)/ABS(N33),0)</f>
        <v/>
      </c>
      <c r="AL33" s="11">
        <f>IF(AB33&lt;&gt;0,(AJ33-AB33)/ABS(AB33),0)</f>
        <v/>
      </c>
    </row>
    <row r="34" ht="13" customHeight="1">
      <c r="A34" s="25" t="inlineStr">
        <is>
          <t xml:space="preserve">    Business Rates</t>
        </is>
      </c>
      <c r="B34" s="26" t="n">
        <v>1060.38</v>
      </c>
      <c r="C34" s="26" t="n">
        <v>1060.38</v>
      </c>
      <c r="D34" s="26" t="n">
        <v>1060.38</v>
      </c>
      <c r="E34" s="26" t="n">
        <v>1060.38</v>
      </c>
      <c r="F34" s="26" t="n">
        <v>1060.38</v>
      </c>
      <c r="G34" s="26" t="n">
        <v>1060.38</v>
      </c>
      <c r="H34" s="26" t="n">
        <v>1060.38</v>
      </c>
      <c r="I34" s="26" t="n">
        <v>1060.38</v>
      </c>
      <c r="J34" s="26" t="n">
        <v>1060.38</v>
      </c>
      <c r="K34" s="26" t="n">
        <v>1060.38</v>
      </c>
      <c r="L34" s="26" t="n">
        <v>1060.38</v>
      </c>
      <c r="M34" s="26" t="n">
        <v>1060.38</v>
      </c>
      <c r="N34" s="26">
        <f>SUM(B34:M34)</f>
        <v/>
      </c>
      <c r="O34" s="26" t="n">
        <v>1060.36</v>
      </c>
      <c r="P34" s="26" t="n">
        <v>1060.36</v>
      </c>
      <c r="Q34" s="26" t="n">
        <v>1060.36</v>
      </c>
      <c r="R34" s="26" t="n">
        <v>1178.67</v>
      </c>
      <c r="S34" s="26" t="n">
        <v>1178.67</v>
      </c>
      <c r="T34" s="26" t="n">
        <v>1178.67</v>
      </c>
      <c r="U34" s="26" t="n">
        <v>1178.67</v>
      </c>
      <c r="AA34" s="26">
        <f>SUM(O34:U34)</f>
        <v/>
      </c>
      <c r="AB34" s="26">
        <f>SUM(O34:Z34)</f>
        <v/>
      </c>
      <c r="AC34" s="26" t="n">
        <v>1178.666666666667</v>
      </c>
      <c r="AD34" s="26" t="n">
        <v>1178.666666666667</v>
      </c>
      <c r="AE34" s="26" t="n">
        <v>1178.666666666667</v>
      </c>
      <c r="AF34" s="26" t="n">
        <v>1178.666666666667</v>
      </c>
      <c r="AG34" s="26" t="n">
        <v>1178.666666666667</v>
      </c>
      <c r="AH34" s="26" t="n">
        <v>1178.666666666667</v>
      </c>
      <c r="AI34" s="34">
        <f>SUM(AC34:AH34)</f>
        <v/>
      </c>
      <c r="AJ34" s="26">
        <f>SUM(AC34:AH34)+AI34</f>
        <v/>
      </c>
      <c r="AK34" s="11">
        <f>IF(N34&lt;&gt;0,(AB34-N34)/ABS(N34),0)</f>
        <v/>
      </c>
      <c r="AL34" s="11">
        <f>IF(AB34&lt;&gt;0,(AJ34-AB34)/ABS(AB34),0)</f>
        <v/>
      </c>
    </row>
    <row r="35" ht="13" customHeight="1">
      <c r="A35" s="25" t="inlineStr">
        <is>
          <t xml:space="preserve">    Utilities</t>
        </is>
      </c>
      <c r="B35" s="26" t="n">
        <v>1084.35</v>
      </c>
      <c r="C35" s="26" t="n">
        <v>1856.09</v>
      </c>
      <c r="D35" s="26" t="n">
        <v>680.11</v>
      </c>
      <c r="E35" s="26" t="n">
        <v>1041.36</v>
      </c>
      <c r="F35" s="26" t="n">
        <v>1404.7</v>
      </c>
      <c r="G35" s="26" t="n">
        <v>49.78000000000003</v>
      </c>
      <c r="H35" s="26" t="n">
        <v>566.46</v>
      </c>
      <c r="I35" s="26" t="n">
        <v>748.4400000000001</v>
      </c>
      <c r="J35" s="26" t="n">
        <v>123.63</v>
      </c>
      <c r="K35" s="26" t="n">
        <v>557.7</v>
      </c>
      <c r="L35" s="26" t="n">
        <v>914.73</v>
      </c>
      <c r="M35" s="26" t="n">
        <v>843.45</v>
      </c>
      <c r="N35" s="26">
        <f>SUM(B35:M35)</f>
        <v/>
      </c>
      <c r="O35" s="26" t="n">
        <v>976.8799999999999</v>
      </c>
      <c r="P35" s="26" t="n">
        <v>1232.13</v>
      </c>
      <c r="Q35" s="26" t="n">
        <v>699.2399999999998</v>
      </c>
      <c r="R35" s="26" t="n">
        <v>870</v>
      </c>
      <c r="S35" s="26" t="n">
        <v>652.4200000000001</v>
      </c>
      <c r="T35" s="26" t="n">
        <v>416.51</v>
      </c>
      <c r="U35" s="26" t="n">
        <v>537.1300000000001</v>
      </c>
      <c r="AA35" s="26">
        <f>SUM(O35:U35)</f>
        <v/>
      </c>
      <c r="AB35" s="26">
        <f>SUM(O35:Z35)</f>
        <v/>
      </c>
      <c r="AC35" s="26" t="n">
        <v>808</v>
      </c>
      <c r="AD35" s="26" t="n">
        <v>808</v>
      </c>
      <c r="AE35" s="26" t="n">
        <v>808</v>
      </c>
      <c r="AF35" s="26" t="n">
        <v>808</v>
      </c>
      <c r="AG35" s="26" t="n">
        <v>808</v>
      </c>
      <c r="AH35" s="26" t="n">
        <v>808</v>
      </c>
      <c r="AI35" s="34">
        <f>SUM(AC35:AH35)</f>
        <v/>
      </c>
      <c r="AJ35" s="26">
        <f>SUM(AC35:AH35)+AI35</f>
        <v/>
      </c>
      <c r="AK35" s="11">
        <f>IF(N35&lt;&gt;0,(AB35-N35)/ABS(N35),0)</f>
        <v/>
      </c>
      <c r="AL35" s="11">
        <f>IF(AB35&lt;&gt;0,(AJ35-AB35)/ABS(AB35),0)</f>
        <v/>
      </c>
    </row>
    <row r="36" ht="13" customHeight="1">
      <c r="A36" s="25" t="inlineStr">
        <is>
          <t xml:space="preserve">    Repairs &amp; Maintenance</t>
        </is>
      </c>
      <c r="B36" s="26" t="n">
        <v>1970.4</v>
      </c>
      <c r="C36" s="26" t="n">
        <v>4574.36</v>
      </c>
      <c r="D36" s="26" t="n">
        <v>3343.43</v>
      </c>
      <c r="E36" s="26" t="n">
        <v>2248.52</v>
      </c>
      <c r="F36" s="26" t="n">
        <v>1000.26</v>
      </c>
      <c r="G36" s="26" t="n">
        <v>36.5</v>
      </c>
      <c r="H36" s="26" t="n">
        <v>1663.64</v>
      </c>
      <c r="I36" s="26" t="n">
        <v>470.86</v>
      </c>
      <c r="J36" s="26" t="n">
        <v>14.64</v>
      </c>
      <c r="K36" s="26" t="n">
        <v>856.8200000000001</v>
      </c>
      <c r="L36" s="26" t="n">
        <v>36</v>
      </c>
      <c r="M36" s="26" t="n">
        <v>171.36</v>
      </c>
      <c r="N36" s="26">
        <f>SUM(B36:M36)</f>
        <v/>
      </c>
      <c r="O36" s="26" t="n">
        <v>0</v>
      </c>
      <c r="P36" s="26" t="n">
        <v>0</v>
      </c>
      <c r="Q36" s="26" t="n">
        <v>9.98</v>
      </c>
      <c r="R36" s="26" t="n">
        <v>0</v>
      </c>
      <c r="S36" s="26" t="n">
        <v>29.27</v>
      </c>
      <c r="T36" s="26" t="n">
        <v>121.79</v>
      </c>
      <c r="U36" s="26" t="n">
        <v>108</v>
      </c>
      <c r="AA36" s="26">
        <f>SUM(O36:U36)</f>
        <v/>
      </c>
      <c r="AB36" s="26">
        <f>SUM(O36:Z36)</f>
        <v/>
      </c>
      <c r="AC36" s="26" t="n">
        <v>0</v>
      </c>
      <c r="AD36" s="26" t="n">
        <v>0</v>
      </c>
      <c r="AE36" s="26" t="n">
        <v>0</v>
      </c>
      <c r="AF36" s="26" t="n">
        <v>0</v>
      </c>
      <c r="AG36" s="26" t="n">
        <v>0</v>
      </c>
      <c r="AH36" s="26" t="n">
        <v>0</v>
      </c>
      <c r="AI36" s="34">
        <f>SUM(AC36:AH36)</f>
        <v/>
      </c>
      <c r="AJ36" s="26">
        <f>SUM(AC36:AH36)+AI36</f>
        <v/>
      </c>
      <c r="AK36" s="11">
        <f>IF(N36&lt;&gt;0,(AB36-N36)/ABS(N36),0)</f>
        <v/>
      </c>
      <c r="AL36" s="11">
        <f>IF(AB36&lt;&gt;0,(AJ36-AB36)/ABS(AB36),0)</f>
        <v/>
      </c>
    </row>
    <row r="37" ht="13" customHeight="1">
      <c r="A37" s="25" t="inlineStr">
        <is>
          <t xml:space="preserve">    Cleaning</t>
        </is>
      </c>
      <c r="B37" s="26" t="n">
        <v>188.6</v>
      </c>
      <c r="C37" s="26" t="n">
        <v>249.73</v>
      </c>
      <c r="D37" s="26" t="n">
        <v>292.16</v>
      </c>
      <c r="E37" s="26" t="n">
        <v>49.57</v>
      </c>
      <c r="F37" s="26" t="n">
        <v>542.98</v>
      </c>
      <c r="G37" s="26" t="n">
        <v>335.03</v>
      </c>
      <c r="H37" s="26" t="n">
        <v>284.16</v>
      </c>
      <c r="I37" s="26" t="n">
        <v>299.86</v>
      </c>
      <c r="J37" s="26" t="n">
        <v>559.89</v>
      </c>
      <c r="K37" s="26" t="n">
        <v>291.24</v>
      </c>
      <c r="L37" s="26" t="n">
        <v>101.59</v>
      </c>
      <c r="M37" s="26" t="n">
        <v>113.21</v>
      </c>
      <c r="N37" s="26">
        <f>SUM(B37:M37)</f>
        <v/>
      </c>
      <c r="O37" s="26" t="n">
        <v>203.38</v>
      </c>
      <c r="P37" s="26" t="n">
        <v>611.38</v>
      </c>
      <c r="Q37" s="26" t="n">
        <v>303.73</v>
      </c>
      <c r="R37" s="26" t="n">
        <v>143.24</v>
      </c>
      <c r="S37" s="26" t="n">
        <v>217.05</v>
      </c>
      <c r="T37" s="26" t="n">
        <v>365.89</v>
      </c>
      <c r="U37" s="26" t="n">
        <v>206.52</v>
      </c>
      <c r="AA37" s="26">
        <f>SUM(O37:U37)</f>
        <v/>
      </c>
      <c r="AB37" s="26">
        <f>SUM(O37:Z37)</f>
        <v/>
      </c>
      <c r="AC37" s="26" t="n">
        <v>310</v>
      </c>
      <c r="AD37" s="26" t="n">
        <v>310</v>
      </c>
      <c r="AE37" s="26" t="n">
        <v>310</v>
      </c>
      <c r="AF37" s="26" t="n">
        <v>310</v>
      </c>
      <c r="AG37" s="26" t="n">
        <v>310</v>
      </c>
      <c r="AH37" s="26" t="n">
        <v>310</v>
      </c>
      <c r="AI37" s="34">
        <f>SUM(AC37:AH37)</f>
        <v/>
      </c>
      <c r="AJ37" s="26">
        <f>SUM(AC37:AH37)+AI37</f>
        <v/>
      </c>
      <c r="AK37" s="11">
        <f>IF(N37&lt;&gt;0,(AB37-N37)/ABS(N37),0)</f>
        <v/>
      </c>
      <c r="AL37" s="11">
        <f>IF(AB37&lt;&gt;0,(AJ37-AB37)/ABS(AB37),0)</f>
        <v/>
      </c>
    </row>
    <row r="38" ht="13" customHeight="1">
      <c r="A38" s="25" t="inlineStr">
        <is>
          <t xml:space="preserve">    Waste Disposal</t>
        </is>
      </c>
      <c r="B38" s="26" t="n">
        <v>332.71</v>
      </c>
      <c r="C38" s="26" t="n">
        <v>364.75</v>
      </c>
      <c r="D38" s="26" t="n">
        <v>380.11</v>
      </c>
      <c r="E38" s="26" t="n">
        <v>561.51</v>
      </c>
      <c r="F38" s="26" t="n">
        <v>426.52</v>
      </c>
      <c r="G38" s="26" t="n">
        <v>400.96</v>
      </c>
      <c r="H38" s="26" t="n">
        <v>339.75</v>
      </c>
      <c r="I38" s="26" t="n">
        <v>354.05</v>
      </c>
      <c r="J38" s="26" t="n">
        <v>630.6600000000001</v>
      </c>
      <c r="K38" s="26" t="n">
        <v>354.05</v>
      </c>
      <c r="L38" s="26" t="n">
        <v>404.45</v>
      </c>
      <c r="M38" s="26" t="n">
        <v>415.26</v>
      </c>
      <c r="N38" s="26">
        <f>SUM(B38:M38)</f>
        <v/>
      </c>
      <c r="O38" s="26" t="n">
        <v>354.05</v>
      </c>
      <c r="P38" s="26" t="n">
        <v>363.36</v>
      </c>
      <c r="Q38" s="26" t="n">
        <v>474.96</v>
      </c>
      <c r="R38" s="26" t="n">
        <v>471.4</v>
      </c>
      <c r="S38" s="26" t="n">
        <v>390.36</v>
      </c>
      <c r="T38" s="26" t="n">
        <v>255.3</v>
      </c>
      <c r="U38" s="26" t="n">
        <v>494.27</v>
      </c>
      <c r="AA38" s="26">
        <f>SUM(O38:U38)</f>
        <v/>
      </c>
      <c r="AB38" s="26">
        <f>SUM(O38:Z38)</f>
        <v/>
      </c>
      <c r="AC38" s="26" t="n">
        <v>385</v>
      </c>
      <c r="AD38" s="26" t="n">
        <v>385</v>
      </c>
      <c r="AE38" s="26" t="n">
        <v>385</v>
      </c>
      <c r="AF38" s="26" t="n">
        <v>385</v>
      </c>
      <c r="AG38" s="26" t="n">
        <v>385</v>
      </c>
      <c r="AH38" s="26" t="n">
        <v>385</v>
      </c>
      <c r="AI38" s="34">
        <f>SUM(AC38:AH38)</f>
        <v/>
      </c>
      <c r="AJ38" s="26">
        <f>SUM(AC38:AH38)+AI38</f>
        <v/>
      </c>
      <c r="AK38" s="11">
        <f>IF(N38&lt;&gt;0,(AB38-N38)/ABS(N38),0)</f>
        <v/>
      </c>
      <c r="AL38" s="11">
        <f>IF(AB38&lt;&gt;0,(AJ38-AB38)/ABS(AB38),0)</f>
        <v/>
      </c>
    </row>
    <row r="39" ht="13" customHeight="1">
      <c r="A39" s="25" t="inlineStr">
        <is>
          <t xml:space="preserve">    Postage/Printing/Stationery</t>
        </is>
      </c>
      <c r="B39" s="26" t="n">
        <v>52.03</v>
      </c>
      <c r="C39" s="26" t="n">
        <v>23.34</v>
      </c>
      <c r="D39" s="26" t="n">
        <v>21.74</v>
      </c>
      <c r="E39" s="26" t="n">
        <v>61.92</v>
      </c>
      <c r="F39" s="26" t="n">
        <v>81.43000000000001</v>
      </c>
      <c r="G39" s="26" t="n">
        <v>32.69</v>
      </c>
      <c r="H39" s="26" t="n">
        <v>84.15000000000001</v>
      </c>
      <c r="I39" s="26" t="n">
        <v>53.12</v>
      </c>
      <c r="J39" s="26" t="n">
        <v>75.13</v>
      </c>
      <c r="K39" s="26" t="n">
        <v>81.78999999999999</v>
      </c>
      <c r="L39" s="26" t="n">
        <v>68.56999999999999</v>
      </c>
      <c r="M39" s="26" t="n">
        <v>86.96000000000001</v>
      </c>
      <c r="N39" s="26">
        <f>SUM(B39:M39)</f>
        <v/>
      </c>
      <c r="O39" s="26" t="n">
        <v>87.21000000000001</v>
      </c>
      <c r="P39" s="26" t="n">
        <v>82.62</v>
      </c>
      <c r="Q39" s="26" t="n">
        <v>91.55999999999999</v>
      </c>
      <c r="R39" s="26" t="n">
        <v>93.77</v>
      </c>
      <c r="S39" s="26" t="n">
        <v>73.19</v>
      </c>
      <c r="T39" s="26" t="n">
        <v>98.50999999999999</v>
      </c>
      <c r="U39" s="26" t="n">
        <v>78.42</v>
      </c>
      <c r="AA39" s="26">
        <f>SUM(O39:U39)</f>
        <v/>
      </c>
      <c r="AB39" s="26">
        <f>SUM(O39:Z39)</f>
        <v/>
      </c>
      <c r="AC39" s="26" t="n">
        <v>0</v>
      </c>
      <c r="AD39" s="26" t="n">
        <v>0</v>
      </c>
      <c r="AE39" s="26" t="n">
        <v>0</v>
      </c>
      <c r="AF39" s="26" t="n">
        <v>0</v>
      </c>
      <c r="AG39" s="26" t="n">
        <v>0</v>
      </c>
      <c r="AH39" s="26" t="n">
        <v>0</v>
      </c>
      <c r="AI39" s="34">
        <f>SUM(AC39:AH39)</f>
        <v/>
      </c>
      <c r="AJ39" s="26">
        <f>SUM(AC39:AH39)+AI39</f>
        <v/>
      </c>
      <c r="AK39" s="11">
        <f>IF(N39&lt;&gt;0,(AB39-N39)/ABS(N39),0)</f>
        <v/>
      </c>
      <c r="AL39" s="11">
        <f>IF(AB39&lt;&gt;0,(AJ39-AB39)/ABS(AB39),0)</f>
        <v/>
      </c>
    </row>
    <row r="40" ht="13" customHeight="1">
      <c r="A40" s="25" t="inlineStr">
        <is>
          <t xml:space="preserve">    Telephone</t>
        </is>
      </c>
      <c r="B40" s="26" t="n">
        <v>0</v>
      </c>
      <c r="C40" s="26" t="n">
        <v>0</v>
      </c>
      <c r="D40" s="26" t="n">
        <v>0</v>
      </c>
      <c r="E40" s="26" t="n">
        <v>0</v>
      </c>
      <c r="F40" s="26" t="n">
        <v>0</v>
      </c>
      <c r="G40" s="26" t="n">
        <v>0</v>
      </c>
      <c r="H40" s="26" t="n">
        <v>0</v>
      </c>
      <c r="I40" s="26" t="n">
        <v>0</v>
      </c>
      <c r="J40" s="26" t="n">
        <v>0</v>
      </c>
      <c r="K40" s="26" t="n">
        <v>0</v>
      </c>
      <c r="L40" s="26" t="n">
        <v>0</v>
      </c>
      <c r="M40" s="26" t="n">
        <v>0</v>
      </c>
      <c r="N40" s="26">
        <f>SUM(B40:M40)</f>
        <v/>
      </c>
      <c r="O40" s="26" t="n">
        <v>0</v>
      </c>
      <c r="P40" s="26" t="n">
        <v>0</v>
      </c>
      <c r="Q40" s="26" t="n">
        <v>0</v>
      </c>
      <c r="R40" s="26" t="n">
        <v>0</v>
      </c>
      <c r="S40" s="26" t="n">
        <v>0</v>
      </c>
      <c r="T40" s="26" t="n">
        <v>22</v>
      </c>
      <c r="U40" s="26" t="n">
        <v>0</v>
      </c>
      <c r="AA40" s="26">
        <f>SUM(O40:U40)</f>
        <v/>
      </c>
      <c r="AB40" s="26">
        <f>SUM(O40:Z40)</f>
        <v/>
      </c>
      <c r="AC40" s="26" t="n">
        <v>0</v>
      </c>
      <c r="AD40" s="26" t="n">
        <v>0</v>
      </c>
      <c r="AE40" s="26" t="n">
        <v>0</v>
      </c>
      <c r="AF40" s="26" t="n">
        <v>0</v>
      </c>
      <c r="AG40" s="26" t="n">
        <v>0</v>
      </c>
      <c r="AH40" s="26" t="n">
        <v>0</v>
      </c>
      <c r="AI40" s="34">
        <f>SUM(AC40:AH40)</f>
        <v/>
      </c>
      <c r="AJ40" s="26">
        <f>SUM(AC40:AH40)+AI40</f>
        <v/>
      </c>
      <c r="AK40" s="11">
        <f>IF(N40&lt;&gt;0,(AB40-N40)/ABS(N40),0)</f>
        <v/>
      </c>
      <c r="AL40" s="11">
        <f>IF(AB40&lt;&gt;0,(AJ40-AB40)/ABS(AB40),0)</f>
        <v/>
      </c>
    </row>
    <row r="41" ht="13" customHeight="1">
      <c r="A41" s="25" t="inlineStr">
        <is>
          <t xml:space="preserve">    Marketing</t>
        </is>
      </c>
      <c r="B41" s="26" t="n">
        <v>14.58</v>
      </c>
      <c r="C41" s="26" t="n">
        <v>14.58</v>
      </c>
      <c r="D41" s="26" t="n">
        <v>149.79</v>
      </c>
      <c r="E41" s="26" t="n">
        <v>234.58</v>
      </c>
      <c r="F41" s="26" t="n">
        <v>1.59</v>
      </c>
      <c r="G41" s="26" t="n">
        <v>46.59</v>
      </c>
      <c r="H41" s="26" t="n">
        <v>-1.3</v>
      </c>
      <c r="I41" s="26" t="n">
        <v>45</v>
      </c>
      <c r="J41" s="26" t="n">
        <v>0</v>
      </c>
      <c r="K41" s="26" t="n">
        <v>0</v>
      </c>
      <c r="L41" s="26" t="n">
        <v>0</v>
      </c>
      <c r="M41" s="26" t="n">
        <v>0</v>
      </c>
      <c r="N41" s="26">
        <f>SUM(B41:M41)</f>
        <v/>
      </c>
      <c r="O41" s="26" t="n">
        <v>66</v>
      </c>
      <c r="P41" s="26" t="n">
        <v>0</v>
      </c>
      <c r="Q41" s="26" t="n">
        <v>0</v>
      </c>
      <c r="R41" s="26" t="n">
        <v>72</v>
      </c>
      <c r="S41" s="26" t="n">
        <v>0</v>
      </c>
      <c r="T41" s="26" t="n">
        <v>0</v>
      </c>
      <c r="U41" s="26" t="n">
        <v>4.99</v>
      </c>
      <c r="AA41" s="26">
        <f>SUM(O41:U41)</f>
        <v/>
      </c>
      <c r="AB41" s="26">
        <f>SUM(O41:Z41)</f>
        <v/>
      </c>
      <c r="AC41" s="26" t="n">
        <v>100</v>
      </c>
      <c r="AD41" s="26" t="n">
        <v>100</v>
      </c>
      <c r="AE41" s="26" t="n">
        <v>100</v>
      </c>
      <c r="AF41" s="26" t="n">
        <v>100</v>
      </c>
      <c r="AG41" s="26" t="n">
        <v>100</v>
      </c>
      <c r="AH41" s="26" t="n">
        <v>100</v>
      </c>
      <c r="AI41" s="34">
        <f>SUM(AC41:AH41)</f>
        <v/>
      </c>
      <c r="AJ41" s="26">
        <f>SUM(AC41:AH41)+AI41</f>
        <v/>
      </c>
      <c r="AK41" s="11">
        <f>IF(N41&lt;&gt;0,(AB41-N41)/ABS(N41),0)</f>
        <v/>
      </c>
      <c r="AL41" s="11">
        <f>IF(AB41&lt;&gt;0,(AJ41-AB41)/ABS(AB41),0)</f>
        <v/>
      </c>
    </row>
    <row r="42" ht="13" customHeight="1">
      <c r="A42" s="27" t="inlineStr">
        <is>
          <t>Total Premises &amp; Admin</t>
        </is>
      </c>
      <c r="B42" s="28">
        <f>B33+B34+B35+B36+B37+B38+B39+B40+B41</f>
        <v/>
      </c>
      <c r="C42" s="28">
        <f>C33+C34+C35+C36+C37+C38+C39+C40+C41</f>
        <v/>
      </c>
      <c r="D42" s="28">
        <f>D33+D34+D35+D36+D37+D38+D39+D40+D41</f>
        <v/>
      </c>
      <c r="E42" s="28">
        <f>E33+E34+E35+E36+E37+E38+E39+E40+E41</f>
        <v/>
      </c>
      <c r="F42" s="28">
        <f>F33+F34+F35+F36+F37+F38+F39+F40+F41</f>
        <v/>
      </c>
      <c r="G42" s="28">
        <f>G33+G34+G35+G36+G37+G38+G39+G40+G41</f>
        <v/>
      </c>
      <c r="H42" s="28">
        <f>H33+H34+H35+H36+H37+H38+H39+H40+H41</f>
        <v/>
      </c>
      <c r="I42" s="28">
        <f>I33+I34+I35+I36+I37+I38+I39+I40+I41</f>
        <v/>
      </c>
      <c r="J42" s="28">
        <f>J33+J34+J35+J36+J37+J38+J39+J40+J41</f>
        <v/>
      </c>
      <c r="K42" s="28">
        <f>K33+K34+K35+K36+K37+K38+K39+K40+K41</f>
        <v/>
      </c>
      <c r="L42" s="28">
        <f>L33+L34+L35+L36+L37+L38+L39+L40+L41</f>
        <v/>
      </c>
      <c r="M42" s="28">
        <f>M33+M34+M35+M36+M37+M38+M39+M40+M41</f>
        <v/>
      </c>
      <c r="N42" s="28">
        <f>N33+N34+N35+N36+N37+N38+N39+N40+N41</f>
        <v/>
      </c>
      <c r="O42" s="28">
        <f>O33+O34+O35+O36+O37+O38+O39+O40+O41</f>
        <v/>
      </c>
      <c r="P42" s="28">
        <f>P33+P34+P35+P36+P37+P38+P39+P40+P41</f>
        <v/>
      </c>
      <c r="Q42" s="28">
        <f>Q33+Q34+Q35+Q36+Q37+Q38+Q39+Q40+Q41</f>
        <v/>
      </c>
      <c r="R42" s="28">
        <f>R33+R34+R35+R36+R37+R38+R39+R40+R41</f>
        <v/>
      </c>
      <c r="S42" s="28">
        <f>S33+S34+S35+S36+S37+S38+S39+S40+S41</f>
        <v/>
      </c>
      <c r="T42" s="28">
        <f>T33+T34+T35+T36+T37+T38+T39+T40+T41</f>
        <v/>
      </c>
      <c r="U42" s="28">
        <f>U33+U34+U35+U36+U37+U38+U39+U40+U41</f>
        <v/>
      </c>
      <c r="V42" s="28">
        <f>V33+V34+V35+V36+V37+V38+V39+V40+V41</f>
        <v/>
      </c>
      <c r="W42" s="28">
        <f>W33+W34+W35+W36+W37+W38+W39+W40+W41</f>
        <v/>
      </c>
      <c r="X42" s="28">
        <f>X33+X34+X35+X36+X37+X38+X39+X40+X41</f>
        <v/>
      </c>
      <c r="Y42" s="28">
        <f>Y33+Y34+Y35+Y36+Y37+Y38+Y39+Y40+Y41</f>
        <v/>
      </c>
      <c r="Z42" s="28">
        <f>Z33+Z34+Z35+Z36+Z37+Z38+Z39+Z40+Z41</f>
        <v/>
      </c>
      <c r="AA42" s="28">
        <f>AA33+AA34+AA35+AA36+AA37+AA38+AA39+AA40+AA41</f>
        <v/>
      </c>
      <c r="AB42" s="28">
        <f>AB33+AB34+AB35+AB36+AB37+AB38+AB39+AB40+AB41</f>
        <v/>
      </c>
      <c r="AC42" s="28">
        <f>AC33+AC34+AC35+AC36+AC37+AC38+AC39+AC40+AC41</f>
        <v/>
      </c>
      <c r="AD42" s="28">
        <f>AD33+AD34+AD35+AD36+AD37+AD38+AD39+AD40+AD41</f>
        <v/>
      </c>
      <c r="AE42" s="28">
        <f>AE33+AE34+AE35+AE36+AE37+AE38+AE39+AE40+AE41</f>
        <v/>
      </c>
      <c r="AF42" s="28">
        <f>AF33+AF34+AF35+AF36+AF37+AF38+AF39+AF40+AF41</f>
        <v/>
      </c>
      <c r="AG42" s="28">
        <f>AG33+AG34+AG35+AG36+AG37+AG38+AG39+AG40+AG41</f>
        <v/>
      </c>
      <c r="AH42" s="28">
        <f>AH33+AH34+AH35+AH36+AH37+AH38+AH39+AH40+AH41</f>
        <v/>
      </c>
      <c r="AI42" s="28">
        <f>AI33+AI34+AI35+AI36+AI37+AI38+AI39+AI40+AI41</f>
        <v/>
      </c>
      <c r="AJ42" s="28">
        <f>AJ33+AJ34+AJ35+AJ36+AJ37+AJ38+AJ39+AJ40+AJ41</f>
        <v/>
      </c>
      <c r="AK42" s="11">
        <f>IF(N42&lt;&gt;0,(AB42-N42)/ABS(N42),0)</f>
        <v/>
      </c>
      <c r="AL42" s="11">
        <f>IF(AB42&lt;&gt;0,(AJ42-AB42)/ABS(AB42),0)</f>
        <v/>
      </c>
    </row>
    <row r="43" ht="5" customHeight="1"/>
    <row r="44" ht="13" customHeight="1">
      <c r="A44" s="29" t="inlineStr">
        <is>
          <t>Total Direct Costs</t>
        </is>
      </c>
      <c r="AK44" s="11">
        <f>IF(N44&lt;&gt;0,(AB44-N44)/ABS(N44),0)</f>
        <v/>
      </c>
      <c r="AL44" s="11">
        <f>IF(AB44&lt;&gt;0,(AJ44-AB44)/ABS(AB44),0)</f>
        <v/>
      </c>
    </row>
    <row r="45" ht="5" customHeight="1"/>
    <row r="46" ht="15" customHeight="1">
      <c r="A46" s="30" t="inlineStr">
        <is>
          <t>CONTRIBUTION</t>
        </is>
      </c>
      <c r="B46" s="31">
        <f>B7-B44</f>
        <v/>
      </c>
      <c r="C46" s="31">
        <f>C7-C44</f>
        <v/>
      </c>
      <c r="D46" s="31">
        <f>D7-D44</f>
        <v/>
      </c>
      <c r="E46" s="31">
        <f>E7-E44</f>
        <v/>
      </c>
      <c r="F46" s="31">
        <f>F7-F44</f>
        <v/>
      </c>
      <c r="G46" s="31">
        <f>G7-G44</f>
        <v/>
      </c>
      <c r="H46" s="31">
        <f>H7-H44</f>
        <v/>
      </c>
      <c r="I46" s="31">
        <f>I7-I44</f>
        <v/>
      </c>
      <c r="J46" s="31">
        <f>J7-J44</f>
        <v/>
      </c>
      <c r="K46" s="31">
        <f>K7-K44</f>
        <v/>
      </c>
      <c r="L46" s="31">
        <f>L7-L44</f>
        <v/>
      </c>
      <c r="M46" s="31">
        <f>M7-M44</f>
        <v/>
      </c>
      <c r="N46" s="31">
        <f>N7-N44</f>
        <v/>
      </c>
      <c r="O46" s="31">
        <f>O7-O44</f>
        <v/>
      </c>
      <c r="P46" s="31">
        <f>P7-P44</f>
        <v/>
      </c>
      <c r="Q46" s="31">
        <f>Q7-Q44</f>
        <v/>
      </c>
      <c r="R46" s="31">
        <f>R7-R44</f>
        <v/>
      </c>
      <c r="S46" s="31">
        <f>S7-S44</f>
        <v/>
      </c>
      <c r="T46" s="31">
        <f>T7-T44</f>
        <v/>
      </c>
      <c r="U46" s="31">
        <f>U7-U44</f>
        <v/>
      </c>
      <c r="V46" s="31">
        <f>V7-V44</f>
        <v/>
      </c>
      <c r="W46" s="31">
        <f>W7-W44</f>
        <v/>
      </c>
      <c r="X46" s="31">
        <f>X7-X44</f>
        <v/>
      </c>
      <c r="Y46" s="31">
        <f>Y7-Y44</f>
        <v/>
      </c>
      <c r="Z46" s="31">
        <f>Z7-Z44</f>
        <v/>
      </c>
      <c r="AA46" s="31">
        <f>AA7-AA44</f>
        <v/>
      </c>
      <c r="AB46" s="31">
        <f>AB7-AB44</f>
        <v/>
      </c>
      <c r="AC46" s="31">
        <f>AC7-AC44</f>
        <v/>
      </c>
      <c r="AD46" s="31">
        <f>AD7-AD44</f>
        <v/>
      </c>
      <c r="AE46" s="31">
        <f>AE7-AE44</f>
        <v/>
      </c>
      <c r="AF46" s="31">
        <f>AF7-AF44</f>
        <v/>
      </c>
      <c r="AG46" s="31">
        <f>AG7-AG44</f>
        <v/>
      </c>
      <c r="AH46" s="31">
        <f>AH7-AH44</f>
        <v/>
      </c>
      <c r="AI46" s="31">
        <f>AI7-AI44</f>
        <v/>
      </c>
      <c r="AJ46" s="31">
        <f>AJ7-AJ44</f>
        <v/>
      </c>
      <c r="AK46" s="11">
        <f>IF(N46&lt;&gt;0,(AB46-N46)/ABS(N46),0)</f>
        <v/>
      </c>
      <c r="AL46" s="11">
        <f>IF(AB46&lt;&gt;0,(AJ46-AB46)/ABS(AB46),0)</f>
        <v/>
      </c>
    </row>
  </sheetData>
  <mergeCells count="8">
    <mergeCell ref="A10:AL10"/>
    <mergeCell ref="B1:N1"/>
    <mergeCell ref="A23:AL23"/>
    <mergeCell ref="A32:AL32"/>
    <mergeCell ref="AC1:AJ1"/>
    <mergeCell ref="A9:AL9"/>
    <mergeCell ref="A3:AL3"/>
    <mergeCell ref="O1:AB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L4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9.5" customWidth="1" min="27" max="27"/>
    <col width="9.5" customWidth="1" min="28" max="28"/>
    <col width="9.5" customWidth="1" min="29" max="29"/>
    <col width="9.5" customWidth="1" min="30" max="30"/>
    <col width="9.5" customWidth="1" min="31" max="31"/>
    <col width="9.5" customWidth="1" min="32" max="32"/>
    <col width="9.5" customWidth="1" min="33" max="33"/>
    <col width="9.5" customWidth="1" min="34" max="34"/>
    <col width="9.5" customWidth="1" min="35" max="35"/>
    <col width="11" customWidth="1" min="36" max="36"/>
    <col width="10" customWidth="1" min="37" max="37"/>
    <col width="10" customWidth="1" min="38" max="38"/>
  </cols>
  <sheetData>
    <row r="1" ht="18" customHeight="1">
      <c r="A1" s="1" t="inlineStr">
        <is>
          <t>Bramley Wood</t>
        </is>
      </c>
      <c r="B1" s="2" t="inlineStr">
        <is>
          <t>Actuals 2025</t>
        </is>
      </c>
      <c r="O1" s="2" t="inlineStr">
        <is>
          <t>2026 Actual / Forecast</t>
        </is>
      </c>
      <c r="AC1" s="32" t="inlineStr">
        <is>
          <t>2027 Plan</t>
        </is>
      </c>
      <c r="AK1" s="3" t="inlineStr">
        <is>
          <t>YoY</t>
        </is>
      </c>
      <c r="AL1" s="3" t="inlineStr">
        <is>
          <t>YoY</t>
        </is>
      </c>
    </row>
    <row r="2" ht="22" customHeight="1">
      <c r="B2" s="4" t="inlineStr">
        <is>
          <t>Jan</t>
        </is>
      </c>
      <c r="C2" s="4" t="inlineStr">
        <is>
          <t>Feb</t>
        </is>
      </c>
      <c r="D2" s="4" t="inlineStr">
        <is>
          <t>Mar</t>
        </is>
      </c>
      <c r="E2" s="4" t="inlineStr">
        <is>
          <t>Apr</t>
        </is>
      </c>
      <c r="F2" s="4" t="inlineStr">
        <is>
          <t>May</t>
        </is>
      </c>
      <c r="G2" s="4" t="inlineStr">
        <is>
          <t>Jun</t>
        </is>
      </c>
      <c r="H2" s="4" t="inlineStr">
        <is>
          <t>Jul</t>
        </is>
      </c>
      <c r="I2" s="4" t="inlineStr">
        <is>
          <t>Aug</t>
        </is>
      </c>
      <c r="J2" s="4" t="inlineStr">
        <is>
          <t>Sep</t>
        </is>
      </c>
      <c r="K2" s="4" t="inlineStr">
        <is>
          <t>Oct</t>
        </is>
      </c>
      <c r="L2" s="4" t="inlineStr">
        <is>
          <t>Nov</t>
        </is>
      </c>
      <c r="M2" s="4" t="inlineStr">
        <is>
          <t>Dec</t>
        </is>
      </c>
      <c r="N2" s="5" t="inlineStr">
        <is>
          <t>FY2025
Total</t>
        </is>
      </c>
      <c r="O2" s="4" t="inlineStr">
        <is>
          <t>Jan</t>
        </is>
      </c>
      <c r="P2" s="4" t="inlineStr">
        <is>
          <t>Feb</t>
        </is>
      </c>
      <c r="Q2" s="4" t="inlineStr">
        <is>
          <t>Mar</t>
        </is>
      </c>
      <c r="R2" s="4" t="inlineStr">
        <is>
          <t>Apr</t>
        </is>
      </c>
      <c r="S2" s="4" t="inlineStr">
        <is>
          <t>May</t>
        </is>
      </c>
      <c r="T2" s="4" t="inlineStr">
        <is>
          <t>Jun</t>
        </is>
      </c>
      <c r="U2" s="4" t="inlineStr">
        <is>
          <t>Jul</t>
        </is>
      </c>
      <c r="V2" s="4" t="inlineStr">
        <is>
          <t>Aug</t>
        </is>
      </c>
      <c r="W2" s="4" t="inlineStr">
        <is>
          <t>Sep</t>
        </is>
      </c>
      <c r="X2" s="4" t="inlineStr">
        <is>
          <t>Oct</t>
        </is>
      </c>
      <c r="Y2" s="4" t="inlineStr">
        <is>
          <t>Nov</t>
        </is>
      </c>
      <c r="Z2" s="4" t="inlineStr">
        <is>
          <t>Dec</t>
        </is>
      </c>
      <c r="AA2" s="4" t="inlineStr">
        <is>
          <t>YTD</t>
        </is>
      </c>
      <c r="AB2" s="5" t="inlineStr">
        <is>
          <t>FY2026
Outlook</t>
        </is>
      </c>
      <c r="AC2" s="4" t="inlineStr">
        <is>
          <t>Jan</t>
        </is>
      </c>
      <c r="AD2" s="4" t="inlineStr">
        <is>
          <t>Feb</t>
        </is>
      </c>
      <c r="AE2" s="4" t="inlineStr">
        <is>
          <t>Mar</t>
        </is>
      </c>
      <c r="AF2" s="4" t="inlineStr">
        <is>
          <t>Apr</t>
        </is>
      </c>
      <c r="AG2" s="4" t="inlineStr">
        <is>
          <t>May</t>
        </is>
      </c>
      <c r="AH2" s="4" t="inlineStr">
        <is>
          <t>Jun</t>
        </is>
      </c>
      <c r="AI2" s="33" t="inlineStr">
        <is>
          <t>Jul-Dec
Plan</t>
        </is>
      </c>
      <c r="AJ2" s="4" t="inlineStr">
        <is>
          <t>FY2027</t>
        </is>
      </c>
      <c r="AK2" s="6" t="inlineStr">
        <is>
          <t>25→26
%</t>
        </is>
      </c>
      <c r="AL2" s="6" t="inlineStr">
        <is>
          <t>26→27
%</t>
        </is>
      </c>
    </row>
    <row r="3" ht="15" customHeight="1">
      <c r="A3" s="7" t="inlineStr">
        <is>
          <t>INCOME</t>
        </is>
      </c>
    </row>
    <row r="4" ht="13" customHeight="1">
      <c r="A4" s="8" t="inlineStr">
        <is>
          <t xml:space="preserve">    Fee Income Regular</t>
        </is>
      </c>
      <c r="B4" s="9" t="n">
        <v>122156.52</v>
      </c>
      <c r="C4" s="9" t="n">
        <v>106947.36</v>
      </c>
      <c r="D4" s="9" t="n">
        <v>128166.24</v>
      </c>
      <c r="E4" s="9" t="n">
        <v>139357.58</v>
      </c>
      <c r="F4" s="9" t="n">
        <v>114644.73</v>
      </c>
      <c r="G4" s="9" t="n">
        <v>108480.27</v>
      </c>
      <c r="H4" s="9" t="n">
        <v>145137.16</v>
      </c>
      <c r="I4" s="9" t="n">
        <v>119462.05</v>
      </c>
      <c r="J4" s="9" t="n">
        <v>97287.09</v>
      </c>
      <c r="K4" s="9" t="n">
        <v>96101.48</v>
      </c>
      <c r="L4" s="9" t="n">
        <v>84850.06000000001</v>
      </c>
      <c r="M4" s="9" t="n">
        <v>119634.28</v>
      </c>
      <c r="N4" s="9">
        <f>SUM(B4:M4)</f>
        <v/>
      </c>
      <c r="O4" s="9" t="n">
        <v>92712.5</v>
      </c>
      <c r="P4" s="9" t="n">
        <v>82084.3</v>
      </c>
      <c r="Q4" s="9" t="n">
        <v>99688.3</v>
      </c>
      <c r="R4" s="9" t="n">
        <v>113186</v>
      </c>
      <c r="S4" s="9" t="n">
        <v>93282.10000000001</v>
      </c>
      <c r="T4" s="9" t="n">
        <v>104024</v>
      </c>
      <c r="U4" s="9" t="n">
        <v>127224</v>
      </c>
      <c r="AA4" s="9">
        <f>SUM(O4:U4)</f>
        <v/>
      </c>
      <c r="AB4" s="9">
        <f>SUM(O4:Z4)</f>
        <v/>
      </c>
      <c r="AC4" s="9" t="n">
        <v>144535.68</v>
      </c>
      <c r="AD4" s="9" t="n">
        <v>132031.1</v>
      </c>
      <c r="AE4" s="9" t="n">
        <v>158165.89</v>
      </c>
      <c r="AF4" s="9" t="n">
        <v>141527.16</v>
      </c>
      <c r="AG4" s="9" t="n">
        <v>148240.86</v>
      </c>
      <c r="AH4" s="9" t="n">
        <v>153396.96</v>
      </c>
      <c r="AI4" s="34">
        <f>SUM(AC4:AH4)</f>
        <v/>
      </c>
      <c r="AJ4" s="9">
        <f>SUM(AC4:AH4)+AI4</f>
        <v/>
      </c>
      <c r="AK4" s="11">
        <f>IF(N4&lt;&gt;0,(AB4-N4)/ABS(N4),0)</f>
        <v/>
      </c>
      <c r="AL4" s="11">
        <f>IF(AB4&lt;&gt;0,(AJ4-AB4)/ABS(AB4),0)</f>
        <v/>
      </c>
    </row>
    <row r="5" ht="13" customHeight="1">
      <c r="A5" s="8" t="inlineStr">
        <is>
          <t xml:space="preserve">    EEEF Embedded</t>
        </is>
      </c>
      <c r="B5" s="9" t="n">
        <v>33585.45</v>
      </c>
      <c r="C5" s="9" t="n">
        <v>66581.12</v>
      </c>
      <c r="D5" s="9" t="n">
        <v>66581.12</v>
      </c>
      <c r="E5" s="9" t="n">
        <v>28706.8</v>
      </c>
      <c r="F5" s="9" t="n">
        <v>28706.8</v>
      </c>
      <c r="G5" s="9" t="n">
        <v>67317.07000000001</v>
      </c>
      <c r="H5" s="9" t="n">
        <v>67317.05</v>
      </c>
      <c r="I5" s="9" t="n">
        <v>0</v>
      </c>
      <c r="J5" s="9" t="n">
        <v>35210.21</v>
      </c>
      <c r="K5" s="9" t="n">
        <v>33827.21</v>
      </c>
      <c r="L5" s="9" t="n">
        <v>97735.45</v>
      </c>
      <c r="M5" s="9" t="n">
        <v>101444.41</v>
      </c>
      <c r="N5" s="9">
        <f>SUM(B5:M5)</f>
        <v/>
      </c>
      <c r="O5" s="9" t="n">
        <v>44989.2</v>
      </c>
      <c r="P5" s="9" t="n">
        <v>94001.8</v>
      </c>
      <c r="Q5" s="9" t="n">
        <v>103241</v>
      </c>
      <c r="R5" s="9" t="n">
        <v>48659.8</v>
      </c>
      <c r="S5" s="9" t="n">
        <v>48659.8</v>
      </c>
      <c r="T5" s="9" t="n">
        <v>112571</v>
      </c>
      <c r="U5" s="9" t="n">
        <v>69963.39999999999</v>
      </c>
      <c r="AA5" s="9">
        <f>SUM(O5:U5)</f>
        <v/>
      </c>
      <c r="AB5" s="9">
        <f>SUM(O5:Z5)</f>
        <v/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34">
        <f>SUM(AC5:AH5)</f>
        <v/>
      </c>
      <c r="AJ5" s="9">
        <f>SUM(AC5:AH5)+AI5</f>
        <v/>
      </c>
      <c r="AK5" s="11">
        <f>IF(N5&lt;&gt;0,(AB5-N5)/ABS(N5),0)</f>
        <v/>
      </c>
      <c r="AL5" s="11">
        <f>IF(AB5&lt;&gt;0,(AJ5-AB5)/ABS(AB5),0)</f>
        <v/>
      </c>
    </row>
    <row r="6" ht="13" customHeight="1">
      <c r="A6" s="8" t="inlineStr">
        <is>
          <t xml:space="preserve">    Other Income</t>
        </is>
      </c>
      <c r="B6" s="9" t="n">
        <v>200</v>
      </c>
      <c r="C6" s="9" t="n">
        <v>200</v>
      </c>
      <c r="D6" s="9" t="n">
        <v>250</v>
      </c>
      <c r="E6" s="9" t="n">
        <v>150</v>
      </c>
      <c r="F6" s="9" t="n">
        <v>150</v>
      </c>
      <c r="G6" s="9" t="n">
        <v>150</v>
      </c>
      <c r="H6" s="9" t="n">
        <v>150</v>
      </c>
      <c r="I6" s="9" t="n">
        <v>12901.66</v>
      </c>
      <c r="J6" s="9" t="n">
        <v>150</v>
      </c>
      <c r="K6" s="9" t="n">
        <v>150</v>
      </c>
      <c r="L6" s="9" t="n">
        <v>150</v>
      </c>
      <c r="M6" s="9" t="n">
        <v>150</v>
      </c>
      <c r="N6" s="9">
        <f>SUM(B6:M6)</f>
        <v/>
      </c>
      <c r="O6" s="9" t="n">
        <v>150</v>
      </c>
      <c r="P6" s="9" t="n">
        <v>150</v>
      </c>
      <c r="Q6" s="9" t="n">
        <v>150</v>
      </c>
      <c r="R6" s="9" t="n">
        <v>150</v>
      </c>
      <c r="S6" s="9" t="n">
        <v>150</v>
      </c>
      <c r="T6" s="9" t="n">
        <v>450</v>
      </c>
      <c r="U6" s="9" t="n">
        <v>150</v>
      </c>
      <c r="AA6" s="9">
        <f>SUM(O6:U6)</f>
        <v/>
      </c>
      <c r="AB6" s="9">
        <f>SUM(O6:Z6)</f>
        <v/>
      </c>
      <c r="AC6" s="9" t="n">
        <v>0</v>
      </c>
      <c r="AD6" s="9" t="n">
        <v>0</v>
      </c>
      <c r="AE6" s="9" t="n">
        <v>0</v>
      </c>
      <c r="AF6" s="9" t="n">
        <v>0</v>
      </c>
      <c r="AG6" s="9" t="n">
        <v>0</v>
      </c>
      <c r="AH6" s="9" t="n">
        <v>0</v>
      </c>
      <c r="AI6" s="34">
        <f>SUM(AC6:AH6)</f>
        <v/>
      </c>
      <c r="AJ6" s="9">
        <f>SUM(AC6:AH6)+AI6</f>
        <v/>
      </c>
      <c r="AK6" s="11">
        <f>IF(N6&lt;&gt;0,(AB6-N6)/ABS(N6),0)</f>
        <v/>
      </c>
      <c r="AL6" s="11">
        <f>IF(AB6&lt;&gt;0,(AJ6-AB6)/ABS(AB6),0)</f>
        <v/>
      </c>
    </row>
    <row r="7" ht="13" customHeight="1">
      <c r="A7" s="12" t="inlineStr">
        <is>
          <t>Total Income</t>
        </is>
      </c>
      <c r="B7" s="13">
        <f>B4+B5+B6</f>
        <v/>
      </c>
      <c r="C7" s="13">
        <f>C4+C5+C6</f>
        <v/>
      </c>
      <c r="D7" s="13">
        <f>D4+D5+D6</f>
        <v/>
      </c>
      <c r="E7" s="13">
        <f>E4+E5+E6</f>
        <v/>
      </c>
      <c r="F7" s="13">
        <f>F4+F5+F6</f>
        <v/>
      </c>
      <c r="G7" s="13">
        <f>G4+G5+G6</f>
        <v/>
      </c>
      <c r="H7" s="13">
        <f>H4+H5+H6</f>
        <v/>
      </c>
      <c r="I7" s="13">
        <f>I4+I5+I6</f>
        <v/>
      </c>
      <c r="J7" s="13">
        <f>J4+J5+J6</f>
        <v/>
      </c>
      <c r="K7" s="13">
        <f>K4+K5+K6</f>
        <v/>
      </c>
      <c r="L7" s="13">
        <f>L4+L5+L6</f>
        <v/>
      </c>
      <c r="M7" s="13">
        <f>M4+M5+M6</f>
        <v/>
      </c>
      <c r="N7" s="13">
        <f>N4+N5+N6</f>
        <v/>
      </c>
      <c r="O7" s="13">
        <f>O4+O5+O6</f>
        <v/>
      </c>
      <c r="P7" s="13">
        <f>P4+P5+P6</f>
        <v/>
      </c>
      <c r="Q7" s="13">
        <f>Q4+Q5+Q6</f>
        <v/>
      </c>
      <c r="R7" s="13">
        <f>R4+R5+R6</f>
        <v/>
      </c>
      <c r="S7" s="13">
        <f>S4+S5+S6</f>
        <v/>
      </c>
      <c r="T7" s="13">
        <f>T4+T5+T6</f>
        <v/>
      </c>
      <c r="U7" s="13">
        <f>U4+U5+U6</f>
        <v/>
      </c>
      <c r="V7" s="13">
        <f>V4+V5+V6</f>
        <v/>
      </c>
      <c r="W7" s="13">
        <f>W4+W5+W6</f>
        <v/>
      </c>
      <c r="X7" s="13">
        <f>X4+X5+X6</f>
        <v/>
      </c>
      <c r="Y7" s="13">
        <f>Y4+Y5+Y6</f>
        <v/>
      </c>
      <c r="Z7" s="13">
        <f>Z4+Z5+Z6</f>
        <v/>
      </c>
      <c r="AA7" s="13">
        <f>AA4+AA5+AA6</f>
        <v/>
      </c>
      <c r="AB7" s="13">
        <f>AB4+AB5+AB6</f>
        <v/>
      </c>
      <c r="AC7" s="13">
        <f>AC4+AC5+AC6</f>
        <v/>
      </c>
      <c r="AD7" s="13">
        <f>AD4+AD5+AD6</f>
        <v/>
      </c>
      <c r="AE7" s="13">
        <f>AE4+AE5+AE6</f>
        <v/>
      </c>
      <c r="AF7" s="13">
        <f>AF4+AF5+AF6</f>
        <v/>
      </c>
      <c r="AG7" s="13">
        <f>AG4+AG5+AG6</f>
        <v/>
      </c>
      <c r="AH7" s="13">
        <f>AH4+AH5+AH6</f>
        <v/>
      </c>
      <c r="AI7" s="13">
        <f>AI4+AI5+AI6</f>
        <v/>
      </c>
      <c r="AJ7" s="13">
        <f>AJ4+AJ5+AJ6</f>
        <v/>
      </c>
      <c r="AK7" s="11">
        <f>IF(N7&lt;&gt;0,(AB7-N7)/ABS(N7),0)</f>
        <v/>
      </c>
      <c r="AL7" s="11">
        <f>IF(AB7&lt;&gt;0,(AJ7-AB7)/ABS(AB7),0)</f>
        <v/>
      </c>
    </row>
    <row r="8" ht="5" customHeight="1"/>
    <row r="9" ht="15" customHeight="1">
      <c r="A9" s="7" t="inlineStr">
        <is>
          <t>DIRECT COSTS</t>
        </is>
      </c>
    </row>
    <row r="10" ht="13" customHeight="1">
      <c r="A10" s="14" t="inlineStr">
        <is>
          <t>Personnel</t>
        </is>
      </c>
    </row>
    <row r="11" ht="13" customHeight="1">
      <c r="A11" s="15" t="inlineStr">
        <is>
          <t xml:space="preserve">    Nursery Salaries</t>
        </is>
      </c>
      <c r="B11" s="16" t="n">
        <v>68586.24000000001</v>
      </c>
      <c r="C11" s="16" t="n">
        <v>60676.75</v>
      </c>
      <c r="D11" s="16" t="n">
        <v>61011.57</v>
      </c>
      <c r="E11" s="16" t="n">
        <v>67443.19</v>
      </c>
      <c r="F11" s="16" t="n">
        <v>72917.98</v>
      </c>
      <c r="G11" s="16" t="n">
        <v>67825.41</v>
      </c>
      <c r="H11" s="16" t="n">
        <v>75334.7</v>
      </c>
      <c r="I11" s="16" t="n">
        <v>72777.63</v>
      </c>
      <c r="J11" s="16" t="n">
        <v>80807.62</v>
      </c>
      <c r="K11" s="16" t="n">
        <v>70161.91</v>
      </c>
      <c r="L11" s="16" t="n">
        <v>67160.5</v>
      </c>
      <c r="M11" s="16" t="n">
        <v>64917.87</v>
      </c>
      <c r="N11" s="16">
        <f>SUM(B11:M11)</f>
        <v/>
      </c>
      <c r="O11" s="16" t="n">
        <v>67397.78999999999</v>
      </c>
      <c r="P11" s="16" t="n">
        <v>65169.32</v>
      </c>
      <c r="Q11" s="16" t="n">
        <v>57920.38</v>
      </c>
      <c r="R11" s="16" t="n">
        <v>61937.98</v>
      </c>
      <c r="S11" s="16" t="n">
        <v>66920.32000000001</v>
      </c>
      <c r="T11" s="16" t="n">
        <v>67131.92999999999</v>
      </c>
      <c r="U11" s="16" t="n">
        <v>67043.3</v>
      </c>
      <c r="AA11" s="16">
        <f>SUM(O11:U11)</f>
        <v/>
      </c>
      <c r="AB11" s="16">
        <f>SUM(O11:Z11)</f>
        <v/>
      </c>
      <c r="AC11" s="16" t="n">
        <v>67043.3</v>
      </c>
      <c r="AD11" s="16" t="n">
        <v>67043.3</v>
      </c>
      <c r="AE11" s="16" t="n">
        <v>67043.3</v>
      </c>
      <c r="AF11" s="16" t="n">
        <v>67043.3</v>
      </c>
      <c r="AG11" s="16" t="n">
        <v>67043.3</v>
      </c>
      <c r="AH11" s="16" t="n">
        <v>67043.3</v>
      </c>
      <c r="AI11" s="34">
        <f>SUM(AC11:AH11)</f>
        <v/>
      </c>
      <c r="AJ11" s="16">
        <f>SUM(AC11:AH11)+AI11</f>
        <v/>
      </c>
      <c r="AK11" s="11">
        <f>IF(N11&lt;&gt;0,(AB11-N11)/ABS(N11),0)</f>
        <v/>
      </c>
      <c r="AL11" s="11">
        <f>IF(AB11&lt;&gt;0,(AJ11-AB11)/ABS(AB11),0)</f>
        <v/>
      </c>
    </row>
    <row r="12" ht="13" customHeight="1">
      <c r="A12" s="15" t="inlineStr">
        <is>
          <t xml:space="preserve">    Nursery NI</t>
        </is>
      </c>
      <c r="B12" s="16" t="n">
        <v>5300.22</v>
      </c>
      <c r="C12" s="16" t="n">
        <v>4463.01</v>
      </c>
      <c r="D12" s="16" t="n">
        <v>4517.4</v>
      </c>
      <c r="E12" s="16" t="n">
        <v>6985.94</v>
      </c>
      <c r="F12" s="16" t="n">
        <v>7294.24</v>
      </c>
      <c r="G12" s="16" t="n">
        <v>6627.99</v>
      </c>
      <c r="H12" s="16" t="n">
        <v>7346.36</v>
      </c>
      <c r="I12" s="16" t="n">
        <v>7134.49</v>
      </c>
      <c r="J12" s="16" t="n">
        <v>9821.09</v>
      </c>
      <c r="K12" s="16" t="n">
        <v>6696.34</v>
      </c>
      <c r="L12" s="16" t="n">
        <v>6289.94</v>
      </c>
      <c r="M12" s="16" t="n">
        <v>6024.82</v>
      </c>
      <c r="N12" s="16">
        <f>SUM(B12:M12)</f>
        <v/>
      </c>
      <c r="O12" s="16" t="n">
        <v>6420.59</v>
      </c>
      <c r="P12" s="16" t="n">
        <v>5749.78</v>
      </c>
      <c r="Q12" s="16" t="n">
        <v>5741.09</v>
      </c>
      <c r="R12" s="16" t="n">
        <v>6217.05</v>
      </c>
      <c r="S12" s="16" t="n">
        <v>6359.57</v>
      </c>
      <c r="T12" s="16" t="n">
        <v>6618.61</v>
      </c>
      <c r="U12" s="16" t="n">
        <v>6517.08</v>
      </c>
      <c r="AA12" s="16">
        <f>SUM(O12:U12)</f>
        <v/>
      </c>
      <c r="AB12" s="16">
        <f>SUM(O12:Z12)</f>
        <v/>
      </c>
      <c r="AC12" s="16" t="n">
        <v>6517.08</v>
      </c>
      <c r="AD12" s="16" t="n">
        <v>6517.08</v>
      </c>
      <c r="AE12" s="16" t="n">
        <v>6517.08</v>
      </c>
      <c r="AF12" s="16" t="n">
        <v>6517.08</v>
      </c>
      <c r="AG12" s="16" t="n">
        <v>6517.08</v>
      </c>
      <c r="AH12" s="16" t="n">
        <v>6517.08</v>
      </c>
      <c r="AI12" s="34">
        <f>SUM(AC12:AH12)</f>
        <v/>
      </c>
      <c r="AJ12" s="16">
        <f>SUM(AC12:AH12)+AI12</f>
        <v/>
      </c>
      <c r="AK12" s="11">
        <f>IF(N12&lt;&gt;0,(AB12-N12)/ABS(N12),0)</f>
        <v/>
      </c>
      <c r="AL12" s="11">
        <f>IF(AB12&lt;&gt;0,(AJ12-AB12)/ABS(AB12),0)</f>
        <v/>
      </c>
    </row>
    <row r="13" ht="13" customHeight="1">
      <c r="A13" s="15" t="inlineStr">
        <is>
          <t xml:space="preserve">    Nursery Pension</t>
        </is>
      </c>
      <c r="B13" s="16" t="n">
        <v>1186.64</v>
      </c>
      <c r="C13" s="16" t="n">
        <v>1102.67</v>
      </c>
      <c r="D13" s="16" t="n">
        <v>1084.37</v>
      </c>
      <c r="E13" s="16" t="n">
        <v>1172.06</v>
      </c>
      <c r="F13" s="16" t="n">
        <v>1236.3</v>
      </c>
      <c r="G13" s="16" t="n">
        <v>1145.18</v>
      </c>
      <c r="H13" s="16" t="n">
        <v>1293.63</v>
      </c>
      <c r="I13" s="16" t="n">
        <v>1252.61</v>
      </c>
      <c r="J13" s="16" t="n">
        <v>1273.7</v>
      </c>
      <c r="K13" s="16" t="n">
        <v>1200.38</v>
      </c>
      <c r="L13" s="16" t="n">
        <v>1188.64</v>
      </c>
      <c r="M13" s="16" t="n">
        <v>1124.16</v>
      </c>
      <c r="N13" s="16">
        <f>SUM(B13:M13)</f>
        <v/>
      </c>
      <c r="O13" s="16" t="n">
        <v>1190.11</v>
      </c>
      <c r="P13" s="16" t="n">
        <v>1065.61</v>
      </c>
      <c r="Q13" s="16" t="n">
        <v>997.11</v>
      </c>
      <c r="R13" s="16" t="n">
        <v>1098.81</v>
      </c>
      <c r="S13" s="16" t="n">
        <v>1034.65</v>
      </c>
      <c r="T13" s="16" t="n">
        <v>1054.41</v>
      </c>
      <c r="U13" s="16" t="n">
        <v>1087.65</v>
      </c>
      <c r="AA13" s="16">
        <f>SUM(O13:U13)</f>
        <v/>
      </c>
      <c r="AB13" s="16">
        <f>SUM(O13:Z13)</f>
        <v/>
      </c>
      <c r="AC13" s="16" t="n">
        <v>1087.65</v>
      </c>
      <c r="AD13" s="16" t="n">
        <v>1087.65</v>
      </c>
      <c r="AE13" s="16" t="n">
        <v>1087.65</v>
      </c>
      <c r="AF13" s="16" t="n">
        <v>1087.65</v>
      </c>
      <c r="AG13" s="16" t="n">
        <v>1087.65</v>
      </c>
      <c r="AH13" s="16" t="n">
        <v>1087.65</v>
      </c>
      <c r="AI13" s="34">
        <f>SUM(AC13:AH13)</f>
        <v/>
      </c>
      <c r="AJ13" s="16">
        <f>SUM(AC13:AH13)+AI13</f>
        <v/>
      </c>
      <c r="AK13" s="11">
        <f>IF(N13&lt;&gt;0,(AB13-N13)/ABS(N13),0)</f>
        <v/>
      </c>
      <c r="AL13" s="11">
        <f>IF(AB13&lt;&gt;0,(AJ13-AB13)/ABS(AB13),0)</f>
        <v/>
      </c>
    </row>
    <row r="14" ht="13" customHeight="1">
      <c r="A14" s="15" t="inlineStr">
        <is>
          <t xml:space="preserve">    Uniform</t>
        </is>
      </c>
      <c r="B14" s="16" t="n">
        <v>149.22</v>
      </c>
      <c r="C14" s="16" t="n">
        <v>0</v>
      </c>
      <c r="D14" s="16" t="n">
        <v>79.08</v>
      </c>
      <c r="E14" s="16" t="n">
        <v>0</v>
      </c>
      <c r="F14" s="16" t="n">
        <v>0</v>
      </c>
      <c r="G14" s="16" t="n">
        <v>350.58</v>
      </c>
      <c r="H14" s="16" t="n">
        <v>0</v>
      </c>
      <c r="I14" s="16" t="n">
        <v>0</v>
      </c>
      <c r="J14" s="16" t="n">
        <v>0</v>
      </c>
      <c r="K14" s="16" t="n">
        <v>0</v>
      </c>
      <c r="L14" s="16" t="n">
        <v>77.22</v>
      </c>
      <c r="M14" s="16" t="n">
        <v>1091.59</v>
      </c>
      <c r="N14" s="16">
        <f>SUM(B14:M14)</f>
        <v/>
      </c>
      <c r="O14" s="16" t="n">
        <v>145.8</v>
      </c>
      <c r="P14" s="16" t="n">
        <v>0</v>
      </c>
      <c r="Q14" s="16" t="n">
        <v>0</v>
      </c>
      <c r="R14" s="16" t="n">
        <v>114.42</v>
      </c>
      <c r="S14" s="16" t="n">
        <v>0</v>
      </c>
      <c r="T14" s="16" t="n">
        <v>0</v>
      </c>
      <c r="U14" s="16" t="n">
        <v>0</v>
      </c>
      <c r="AA14" s="16">
        <f>SUM(O14:U14)</f>
        <v/>
      </c>
      <c r="AB14" s="16">
        <f>SUM(O14:Z14)</f>
        <v/>
      </c>
      <c r="AC14" s="16" t="n">
        <v>176</v>
      </c>
      <c r="AD14" s="16" t="n">
        <v>176</v>
      </c>
      <c r="AE14" s="16" t="n">
        <v>176</v>
      </c>
      <c r="AF14" s="16" t="n">
        <v>176</v>
      </c>
      <c r="AG14" s="16" t="n">
        <v>176</v>
      </c>
      <c r="AH14" s="16" t="n">
        <v>176</v>
      </c>
      <c r="AI14" s="34">
        <f>SUM(AC14:AH14)</f>
        <v/>
      </c>
      <c r="AJ14" s="16">
        <f>SUM(AC14:AH14)+AI14</f>
        <v/>
      </c>
      <c r="AK14" s="11">
        <f>IF(N14&lt;&gt;0,(AB14-N14)/ABS(N14),0)</f>
        <v/>
      </c>
      <c r="AL14" s="11">
        <f>IF(AB14&lt;&gt;0,(AJ14-AB14)/ABS(AB14),0)</f>
        <v/>
      </c>
    </row>
    <row r="15" ht="13" customHeight="1">
      <c r="A15" s="15" t="inlineStr">
        <is>
          <t xml:space="preserve">    Training</t>
        </is>
      </c>
      <c r="B15" s="16" t="n">
        <v>0</v>
      </c>
      <c r="C15" s="16" t="n">
        <v>30</v>
      </c>
      <c r="D15" s="16" t="n">
        <v>480</v>
      </c>
      <c r="E15" s="16" t="n">
        <v>0</v>
      </c>
      <c r="F15" s="16" t="n">
        <v>18</v>
      </c>
      <c r="G15" s="16" t="n">
        <v>540</v>
      </c>
      <c r="H15" s="16" t="n">
        <v>189.28</v>
      </c>
      <c r="I15" s="16" t="n">
        <v>0</v>
      </c>
      <c r="J15" s="16" t="n">
        <v>0</v>
      </c>
      <c r="K15" s="16" t="n">
        <v>384</v>
      </c>
      <c r="L15" s="16" t="n">
        <v>50</v>
      </c>
      <c r="M15" s="16" t="n">
        <v>-156</v>
      </c>
      <c r="N15" s="16">
        <f>SUM(B15:M15)</f>
        <v/>
      </c>
      <c r="O15" s="16" t="n">
        <v>1254</v>
      </c>
      <c r="P15" s="16" t="n">
        <v>100</v>
      </c>
      <c r="Q15" s="16" t="n">
        <v>0</v>
      </c>
      <c r="R15" s="16" t="n">
        <v>335</v>
      </c>
      <c r="S15" s="16" t="n">
        <v>-7.87</v>
      </c>
      <c r="T15" s="16" t="n">
        <v>55.86</v>
      </c>
      <c r="U15" s="16" t="n">
        <v>0</v>
      </c>
      <c r="AA15" s="16">
        <f>SUM(O15:U15)</f>
        <v/>
      </c>
      <c r="AB15" s="16">
        <f>SUM(O15:Z15)</f>
        <v/>
      </c>
      <c r="AC15" s="16" t="n">
        <v>500</v>
      </c>
      <c r="AD15" s="16" t="n">
        <v>500</v>
      </c>
      <c r="AE15" s="16" t="n">
        <v>500</v>
      </c>
      <c r="AF15" s="16" t="n">
        <v>500</v>
      </c>
      <c r="AG15" s="16" t="n">
        <v>500</v>
      </c>
      <c r="AH15" s="16" t="n">
        <v>500</v>
      </c>
      <c r="AI15" s="34">
        <f>SUM(AC15:AH15)</f>
        <v/>
      </c>
      <c r="AJ15" s="16">
        <f>SUM(AC15:AH15)+AI15</f>
        <v/>
      </c>
      <c r="AK15" s="11">
        <f>IF(N15&lt;&gt;0,(AB15-N15)/ABS(N15),0)</f>
        <v/>
      </c>
      <c r="AL15" s="11">
        <f>IF(AB15&lt;&gt;0,(AJ15-AB15)/ABS(AB15),0)</f>
        <v/>
      </c>
    </row>
    <row r="16" ht="13" customHeight="1">
      <c r="A16" s="15" t="inlineStr">
        <is>
          <t xml:space="preserve">    Staff Welfare</t>
        </is>
      </c>
      <c r="B16" s="16" t="n">
        <v>292.56</v>
      </c>
      <c r="C16" s="16" t="n">
        <v>327.49</v>
      </c>
      <c r="D16" s="16" t="n">
        <v>190</v>
      </c>
      <c r="E16" s="16" t="n">
        <v>238.69</v>
      </c>
      <c r="F16" s="16" t="n">
        <v>147.43</v>
      </c>
      <c r="G16" s="16" t="n">
        <v>436.17</v>
      </c>
      <c r="H16" s="16" t="n">
        <v>265.44</v>
      </c>
      <c r="I16" s="16" t="n">
        <v>187.74</v>
      </c>
      <c r="J16" s="16" t="n">
        <v>173.74</v>
      </c>
      <c r="K16" s="16" t="n">
        <v>173.74</v>
      </c>
      <c r="L16" s="16" t="n">
        <v>327.78</v>
      </c>
      <c r="M16" s="16" t="n">
        <v>302.37</v>
      </c>
      <c r="N16" s="16">
        <f>SUM(B16:M16)</f>
        <v/>
      </c>
      <c r="O16" s="16" t="n">
        <v>0</v>
      </c>
      <c r="P16" s="16" t="n">
        <v>212.72</v>
      </c>
      <c r="Q16" s="16" t="n">
        <v>232.51</v>
      </c>
      <c r="R16" s="16" t="n">
        <v>452.35</v>
      </c>
      <c r="S16" s="16" t="n">
        <v>231.54</v>
      </c>
      <c r="T16" s="16" t="n">
        <v>29.19</v>
      </c>
      <c r="U16" s="16" t="n">
        <v>139.62</v>
      </c>
      <c r="AA16" s="16">
        <f>SUM(O16:U16)</f>
        <v/>
      </c>
      <c r="AB16" s="16">
        <f>SUM(O16:Z16)</f>
        <v/>
      </c>
      <c r="AC16" s="16" t="n">
        <v>360</v>
      </c>
      <c r="AD16" s="16" t="n">
        <v>360</v>
      </c>
      <c r="AE16" s="16" t="n">
        <v>360</v>
      </c>
      <c r="AF16" s="16" t="n">
        <v>360</v>
      </c>
      <c r="AG16" s="16" t="n">
        <v>360</v>
      </c>
      <c r="AH16" s="16" t="n">
        <v>360</v>
      </c>
      <c r="AI16" s="34">
        <f>SUM(AC16:AH16)</f>
        <v/>
      </c>
      <c r="AJ16" s="16">
        <f>SUM(AC16:AH16)+AI16</f>
        <v/>
      </c>
      <c r="AK16" s="11">
        <f>IF(N16&lt;&gt;0,(AB16-N16)/ABS(N16),0)</f>
        <v/>
      </c>
      <c r="AL16" s="11">
        <f>IF(AB16&lt;&gt;0,(AJ16-AB16)/ABS(AB16),0)</f>
        <v/>
      </c>
    </row>
    <row r="17" ht="13" customHeight="1">
      <c r="A17" s="15" t="inlineStr">
        <is>
          <t xml:space="preserve">    Recruitment</t>
        </is>
      </c>
      <c r="B17" s="16" t="n">
        <v>0</v>
      </c>
      <c r="C17" s="16" t="n">
        <v>64.8</v>
      </c>
      <c r="D17" s="16" t="n">
        <v>0</v>
      </c>
      <c r="E17" s="16" t="n">
        <v>0</v>
      </c>
      <c r="F17" s="16" t="n">
        <v>0</v>
      </c>
      <c r="G17" s="16" t="n">
        <v>0</v>
      </c>
      <c r="H17" s="16" t="n">
        <v>0</v>
      </c>
      <c r="I17" s="16" t="n">
        <v>0</v>
      </c>
      <c r="J17" s="16" t="n">
        <v>0</v>
      </c>
      <c r="K17" s="16" t="n">
        <v>0</v>
      </c>
      <c r="L17" s="16" t="n">
        <v>0</v>
      </c>
      <c r="M17" s="16" t="n">
        <v>0</v>
      </c>
      <c r="N17" s="16">
        <f>SUM(B17:M17)</f>
        <v/>
      </c>
      <c r="O17" s="16" t="n">
        <v>0</v>
      </c>
      <c r="P17" s="16" t="n">
        <v>0</v>
      </c>
      <c r="Q17" s="16" t="n">
        <v>0</v>
      </c>
      <c r="R17" s="16" t="n">
        <v>0</v>
      </c>
      <c r="S17" s="16" t="n">
        <v>0</v>
      </c>
      <c r="T17" s="16" t="n">
        <v>0</v>
      </c>
      <c r="U17" s="16" t="n">
        <v>0</v>
      </c>
      <c r="V17" s="16" t="n">
        <v>0</v>
      </c>
      <c r="W17" s="16" t="n">
        <v>0</v>
      </c>
      <c r="X17" s="16" t="n">
        <v>0</v>
      </c>
      <c r="Y17" s="16" t="n">
        <v>0</v>
      </c>
      <c r="Z17" s="16" t="n">
        <v>0</v>
      </c>
      <c r="AA17" s="16">
        <f>SUM(O17:U17)</f>
        <v/>
      </c>
      <c r="AB17" s="16">
        <f>SUM(O17:Z17)</f>
        <v/>
      </c>
      <c r="AC17" s="16" t="n">
        <v>0</v>
      </c>
      <c r="AD17" s="16" t="n">
        <v>0</v>
      </c>
      <c r="AE17" s="16" t="n">
        <v>0</v>
      </c>
      <c r="AF17" s="16" t="n">
        <v>0</v>
      </c>
      <c r="AG17" s="16" t="n">
        <v>0</v>
      </c>
      <c r="AH17" s="16" t="n">
        <v>0</v>
      </c>
      <c r="AI17" s="34">
        <f>SUM(AC17:AH17)</f>
        <v/>
      </c>
      <c r="AJ17" s="16">
        <f>SUM(AC17:AH17)+AI17</f>
        <v/>
      </c>
      <c r="AK17" s="11">
        <f>IF(N17&lt;&gt;0,(AB17-N17)/ABS(N17),0)</f>
        <v/>
      </c>
      <c r="AL17" s="11">
        <f>IF(AB17&lt;&gt;0,(AJ17-AB17)/ABS(AB17),0)</f>
        <v/>
      </c>
    </row>
    <row r="18" ht="13" customHeight="1">
      <c r="A18" s="15" t="inlineStr">
        <is>
          <t xml:space="preserve">    Rewards &amp; Recognition</t>
        </is>
      </c>
      <c r="B18" s="16" t="n">
        <v>0</v>
      </c>
      <c r="C18" s="16" t="n">
        <v>0</v>
      </c>
      <c r="D18" s="16" t="n">
        <v>0</v>
      </c>
      <c r="E18" s="16" t="n">
        <v>0</v>
      </c>
      <c r="F18" s="16" t="n">
        <v>0</v>
      </c>
      <c r="G18" s="16" t="n">
        <v>0</v>
      </c>
      <c r="H18" s="16" t="n">
        <v>0</v>
      </c>
      <c r="I18" s="16" t="n">
        <v>0</v>
      </c>
      <c r="J18" s="16" t="n">
        <v>0</v>
      </c>
      <c r="K18" s="16" t="n">
        <v>47.96</v>
      </c>
      <c r="L18" s="16" t="n">
        <v>101.16</v>
      </c>
      <c r="M18" s="16" t="n">
        <v>0</v>
      </c>
      <c r="N18" s="16">
        <f>SUM(B18:M18)</f>
        <v/>
      </c>
      <c r="O18" s="16" t="n">
        <v>0</v>
      </c>
      <c r="P18" s="16" t="n">
        <v>0</v>
      </c>
      <c r="Q18" s="16" t="n">
        <v>0</v>
      </c>
      <c r="R18" s="16" t="n">
        <v>0</v>
      </c>
      <c r="S18" s="16" t="n">
        <v>0</v>
      </c>
      <c r="T18" s="16" t="n">
        <v>0</v>
      </c>
      <c r="U18" s="16" t="n">
        <v>0</v>
      </c>
      <c r="V18" s="16" t="n">
        <v>0</v>
      </c>
      <c r="W18" s="16" t="n">
        <v>0</v>
      </c>
      <c r="X18" s="16" t="n">
        <v>0</v>
      </c>
      <c r="Y18" s="16" t="n">
        <v>0</v>
      </c>
      <c r="Z18" s="16" t="n">
        <v>0</v>
      </c>
      <c r="AA18" s="16">
        <f>SUM(O18:U18)</f>
        <v/>
      </c>
      <c r="AB18" s="16">
        <f>SUM(O18:Z18)</f>
        <v/>
      </c>
      <c r="AC18" s="16" t="n">
        <v>150</v>
      </c>
      <c r="AD18" s="16" t="n">
        <v>150</v>
      </c>
      <c r="AE18" s="16" t="n">
        <v>150</v>
      </c>
      <c r="AF18" s="16" t="n">
        <v>150</v>
      </c>
      <c r="AG18" s="16" t="n">
        <v>150</v>
      </c>
      <c r="AH18" s="16" t="n">
        <v>150</v>
      </c>
      <c r="AI18" s="34">
        <f>SUM(AC18:AH18)</f>
        <v/>
      </c>
      <c r="AJ18" s="16">
        <f>SUM(AC18:AH18)+AI18</f>
        <v/>
      </c>
      <c r="AK18" s="11">
        <f>IF(N18&lt;&gt;0,(AB18-N18)/ABS(N18),0)</f>
        <v/>
      </c>
      <c r="AL18" s="11">
        <f>IF(AB18&lt;&gt;0,(AJ18-AB18)/ABS(AB18),0)</f>
        <v/>
      </c>
    </row>
    <row r="19" ht="13" customHeight="1">
      <c r="A19" s="15" t="inlineStr">
        <is>
          <t xml:space="preserve">    Temps</t>
        </is>
      </c>
      <c r="B19" s="16" t="n">
        <v>0</v>
      </c>
      <c r="C19" s="16" t="n">
        <v>0</v>
      </c>
      <c r="D19" s="16" t="n">
        <v>0</v>
      </c>
      <c r="E19" s="16" t="n">
        <v>0</v>
      </c>
      <c r="F19" s="16" t="n">
        <v>0</v>
      </c>
      <c r="G19" s="16" t="n">
        <v>0</v>
      </c>
      <c r="H19" s="16" t="n">
        <v>0</v>
      </c>
      <c r="I19" s="16" t="n">
        <v>0</v>
      </c>
      <c r="J19" s="16" t="n">
        <v>0</v>
      </c>
      <c r="K19" s="16" t="n">
        <v>0</v>
      </c>
      <c r="L19" s="16" t="n">
        <v>0</v>
      </c>
      <c r="M19" s="16" t="n">
        <v>0</v>
      </c>
      <c r="N19" s="16">
        <f>SUM(B19:M19)</f>
        <v/>
      </c>
      <c r="O19" s="16" t="n">
        <v>0</v>
      </c>
      <c r="P19" s="16" t="n">
        <v>0</v>
      </c>
      <c r="Q19" s="16" t="n">
        <v>0</v>
      </c>
      <c r="R19" s="16" t="n">
        <v>0</v>
      </c>
      <c r="S19" s="16" t="n">
        <v>0</v>
      </c>
      <c r="T19" s="16" t="n">
        <v>0</v>
      </c>
      <c r="U19" s="16" t="n">
        <v>0</v>
      </c>
      <c r="V19" s="16" t="n">
        <v>0</v>
      </c>
      <c r="W19" s="16" t="n">
        <v>0</v>
      </c>
      <c r="X19" s="16" t="n">
        <v>0</v>
      </c>
      <c r="Y19" s="16" t="n">
        <v>0</v>
      </c>
      <c r="Z19" s="16" t="n">
        <v>0</v>
      </c>
      <c r="AA19" s="16">
        <f>SUM(O19:U19)</f>
        <v/>
      </c>
      <c r="AB19" s="16">
        <f>SUM(O19:Z19)</f>
        <v/>
      </c>
      <c r="AC19" s="16" t="n">
        <v>0</v>
      </c>
      <c r="AD19" s="16" t="n">
        <v>0</v>
      </c>
      <c r="AE19" s="16" t="n">
        <v>0</v>
      </c>
      <c r="AF19" s="16" t="n">
        <v>0</v>
      </c>
      <c r="AG19" s="16" t="n">
        <v>0</v>
      </c>
      <c r="AH19" s="16" t="n">
        <v>0</v>
      </c>
      <c r="AI19" s="34">
        <f>SUM(AC19:AH19)</f>
        <v/>
      </c>
      <c r="AJ19" s="16">
        <f>SUM(AC19:AH19)+AI19</f>
        <v/>
      </c>
      <c r="AK19" s="11">
        <f>IF(N19&lt;&gt;0,(AB19-N19)/ABS(N19),0)</f>
        <v/>
      </c>
      <c r="AL19" s="11">
        <f>IF(AB19&lt;&gt;0,(AJ19-AB19)/ABS(AB19),0)</f>
        <v/>
      </c>
    </row>
    <row r="20" ht="13" customHeight="1">
      <c r="A20" s="17" t="inlineStr">
        <is>
          <t>Total Personnel</t>
        </is>
      </c>
      <c r="B20" s="18">
        <f>B11+B12+B13+B14+B15+B16+B17+B18+B19</f>
        <v/>
      </c>
      <c r="C20" s="18">
        <f>C11+C12+C13+C14+C15+C16+C17+C18+C19</f>
        <v/>
      </c>
      <c r="D20" s="18">
        <f>D11+D12+D13+D14+D15+D16+D17+D18+D19</f>
        <v/>
      </c>
      <c r="E20" s="18">
        <f>E11+E12+E13+E14+E15+E16+E17+E18+E19</f>
        <v/>
      </c>
      <c r="F20" s="18">
        <f>F11+F12+F13+F14+F15+F16+F17+F18+F19</f>
        <v/>
      </c>
      <c r="G20" s="18">
        <f>G11+G12+G13+G14+G15+G16+G17+G18+G19</f>
        <v/>
      </c>
      <c r="H20" s="18">
        <f>H11+H12+H13+H14+H15+H16+H17+H18+H19</f>
        <v/>
      </c>
      <c r="I20" s="18">
        <f>I11+I12+I13+I14+I15+I16+I17+I18+I19</f>
        <v/>
      </c>
      <c r="J20" s="18">
        <f>J11+J12+J13+J14+J15+J16+J17+J18+J19</f>
        <v/>
      </c>
      <c r="K20" s="18">
        <f>K11+K12+K13+K14+K15+K16+K17+K18+K19</f>
        <v/>
      </c>
      <c r="L20" s="18">
        <f>L11+L12+L13+L14+L15+L16+L17+L18+L19</f>
        <v/>
      </c>
      <c r="M20" s="18">
        <f>M11+M12+M13+M14+M15+M16+M17+M18+M19</f>
        <v/>
      </c>
      <c r="N20" s="18">
        <f>N11+N12+N13+N14+N15+N16+N17+N18+N19</f>
        <v/>
      </c>
      <c r="O20" s="18">
        <f>O11+O12+O13+O14+O15+O16+O17+O18+O19</f>
        <v/>
      </c>
      <c r="P20" s="18">
        <f>P11+P12+P13+P14+P15+P16+P17+P18+P19</f>
        <v/>
      </c>
      <c r="Q20" s="18">
        <f>Q11+Q12+Q13+Q14+Q15+Q16+Q17+Q18+Q19</f>
        <v/>
      </c>
      <c r="R20" s="18">
        <f>R11+R12+R13+R14+R15+R16+R17+R18+R19</f>
        <v/>
      </c>
      <c r="S20" s="18">
        <f>S11+S12+S13+S14+S15+S16+S17+S18+S19</f>
        <v/>
      </c>
      <c r="T20" s="18">
        <f>T11+T12+T13+T14+T15+T16+T17+T18+T19</f>
        <v/>
      </c>
      <c r="U20" s="18">
        <f>U11+U12+U13+U14+U15+U16+U17+U18+U19</f>
        <v/>
      </c>
      <c r="V20" s="18">
        <f>V11+V12+V13+V14+V15+V16+V17+V18+V19</f>
        <v/>
      </c>
      <c r="W20" s="18">
        <f>W11+W12+W13+W14+W15+W16+W17+W18+W19</f>
        <v/>
      </c>
      <c r="X20" s="18">
        <f>X11+X12+X13+X14+X15+X16+X17+X18+X19</f>
        <v/>
      </c>
      <c r="Y20" s="18">
        <f>Y11+Y12+Y13+Y14+Y15+Y16+Y17+Y18+Y19</f>
        <v/>
      </c>
      <c r="Z20" s="18">
        <f>Z11+Z12+Z13+Z14+Z15+Z16+Z17+Z18+Z19</f>
        <v/>
      </c>
      <c r="AA20" s="18">
        <f>AA11+AA12+AA13+AA14+AA15+AA16+AA17+AA18+AA19</f>
        <v/>
      </c>
      <c r="AB20" s="18">
        <f>AB11+AB12+AB13+AB14+AB15+AB16+AB17+AB18+AB19</f>
        <v/>
      </c>
      <c r="AC20" s="18">
        <f>AC11+AC12+AC13+AC14+AC15+AC16+AC17+AC18+AC19</f>
        <v/>
      </c>
      <c r="AD20" s="18">
        <f>AD11+AD12+AD13+AD14+AD15+AD16+AD17+AD18+AD19</f>
        <v/>
      </c>
      <c r="AE20" s="18">
        <f>AE11+AE12+AE13+AE14+AE15+AE16+AE17+AE18+AE19</f>
        <v/>
      </c>
      <c r="AF20" s="18">
        <f>AF11+AF12+AF13+AF14+AF15+AF16+AF17+AF18+AF19</f>
        <v/>
      </c>
      <c r="AG20" s="18">
        <f>AG11+AG12+AG13+AG14+AG15+AG16+AG17+AG18+AG19</f>
        <v/>
      </c>
      <c r="AH20" s="18">
        <f>AH11+AH12+AH13+AH14+AH15+AH16+AH17+AH18+AH19</f>
        <v/>
      </c>
      <c r="AI20" s="18">
        <f>AI11+AI12+AI13+AI14+AI15+AI16+AI17+AI18+AI19</f>
        <v/>
      </c>
      <c r="AJ20" s="18">
        <f>AJ11+AJ12+AJ13+AJ14+AJ15+AJ16+AJ17+AJ18+AJ19</f>
        <v/>
      </c>
      <c r="AK20" s="11">
        <f>IF(N20&lt;&gt;0,(AB20-N20)/ABS(N20),0)</f>
        <v/>
      </c>
      <c r="AL20" s="11">
        <f>IF(AB20&lt;&gt;0,(AJ20-AB20)/ABS(AB20),0)</f>
        <v/>
      </c>
    </row>
    <row r="21" ht="13" customHeight="1">
      <c r="A21" s="19" t="inlineStr">
        <is>
          <t xml:space="preserve">    Sal:Rev</t>
        </is>
      </c>
      <c r="B21" s="20">
        <f>IF(B7&gt;0,B20/B7,0)</f>
        <v/>
      </c>
      <c r="C21" s="20">
        <f>IF(C7&gt;0,C20/C7,0)</f>
        <v/>
      </c>
      <c r="D21" s="20">
        <f>IF(D7&gt;0,D20/D7,0)</f>
        <v/>
      </c>
      <c r="E21" s="20">
        <f>IF(E7&gt;0,E20/E7,0)</f>
        <v/>
      </c>
      <c r="F21" s="20">
        <f>IF(F7&gt;0,F20/F7,0)</f>
        <v/>
      </c>
      <c r="G21" s="20">
        <f>IF(G7&gt;0,G20/G7,0)</f>
        <v/>
      </c>
      <c r="H21" s="20">
        <f>IF(H7&gt;0,H20/H7,0)</f>
        <v/>
      </c>
      <c r="I21" s="20">
        <f>IF(I7&gt;0,I20/I7,0)</f>
        <v/>
      </c>
      <c r="J21" s="20">
        <f>IF(J7&gt;0,J20/J7,0)</f>
        <v/>
      </c>
      <c r="K21" s="20">
        <f>IF(K7&gt;0,K20/K7,0)</f>
        <v/>
      </c>
      <c r="L21" s="20">
        <f>IF(L7&gt;0,L20/L7,0)</f>
        <v/>
      </c>
      <c r="M21" s="20">
        <f>IF(M7&gt;0,M20/M7,0)</f>
        <v/>
      </c>
      <c r="N21" s="20">
        <f>IF(N7&gt;0,N20/N7,0)</f>
        <v/>
      </c>
      <c r="O21" s="20">
        <f>IF(O7&gt;0,O20/O7,0)</f>
        <v/>
      </c>
      <c r="P21" s="20">
        <f>IF(P7&gt;0,P20/P7,0)</f>
        <v/>
      </c>
      <c r="Q21" s="20">
        <f>IF(Q7&gt;0,Q20/Q7,0)</f>
        <v/>
      </c>
      <c r="R21" s="20">
        <f>IF(R7&gt;0,R20/R7,0)</f>
        <v/>
      </c>
      <c r="S21" s="20">
        <f>IF(S7&gt;0,S20/S7,0)</f>
        <v/>
      </c>
      <c r="T21" s="20">
        <f>IF(T7&gt;0,T20/T7,0)</f>
        <v/>
      </c>
      <c r="U21" s="20">
        <f>IF(U7&gt;0,U20/U7,0)</f>
        <v/>
      </c>
      <c r="V21" s="20">
        <f>IF(V7&gt;0,V20/V7,0)</f>
        <v/>
      </c>
      <c r="W21" s="20">
        <f>IF(W7&gt;0,W20/W7,0)</f>
        <v/>
      </c>
      <c r="X21" s="20">
        <f>IF(X7&gt;0,X20/X7,0)</f>
        <v/>
      </c>
      <c r="Y21" s="20">
        <f>IF(Y7&gt;0,Y20/Y7,0)</f>
        <v/>
      </c>
      <c r="Z21" s="20">
        <f>IF(Z7&gt;0,Z20/Z7,0)</f>
        <v/>
      </c>
      <c r="AA21" s="20">
        <f>IF(AA7&gt;0,AA20/AA7,0)</f>
        <v/>
      </c>
      <c r="AB21" s="20">
        <f>IF(AB7&gt;0,AB20/AB7,0)</f>
        <v/>
      </c>
      <c r="AC21" s="20">
        <f>IF(AC7&gt;0,AC20/AC7,0)</f>
        <v/>
      </c>
      <c r="AD21" s="20">
        <f>IF(AD7&gt;0,AD20/AD7,0)</f>
        <v/>
      </c>
      <c r="AE21" s="20">
        <f>IF(AE7&gt;0,AE20/AE7,0)</f>
        <v/>
      </c>
      <c r="AF21" s="20">
        <f>IF(AF7&gt;0,AF20/AF7,0)</f>
        <v/>
      </c>
      <c r="AG21" s="20">
        <f>IF(AG7&gt;0,AG20/AG7,0)</f>
        <v/>
      </c>
      <c r="AH21" s="20">
        <f>IF(AH7&gt;0,AH20/AH7,0)</f>
        <v/>
      </c>
      <c r="AI21" s="20">
        <f>IF(AI7&gt;0,AI20/AI7,0)</f>
        <v/>
      </c>
      <c r="AJ21" s="20">
        <f>IF(AJ7&gt;0,AJ20/AJ7,0)</f>
        <v/>
      </c>
    </row>
    <row r="22" ht="5" customHeight="1"/>
    <row r="23" ht="13" customHeight="1">
      <c r="A23" s="14" t="inlineStr">
        <is>
          <t>Childcare</t>
        </is>
      </c>
    </row>
    <row r="24" ht="13" customHeight="1">
      <c r="A24" s="21" t="inlineStr">
        <is>
          <t xml:space="preserve">    Catering Costs</t>
        </is>
      </c>
      <c r="N24" s="22">
        <f>SUM(B24:M24)</f>
        <v/>
      </c>
      <c r="O24" s="22" t="n">
        <v>4148.71</v>
      </c>
      <c r="P24" s="22" t="n">
        <v>4930.31</v>
      </c>
      <c r="Q24" s="22" t="n">
        <v>5124.93</v>
      </c>
      <c r="R24" s="22" t="n">
        <v>4010.78</v>
      </c>
      <c r="S24" s="22" t="n">
        <v>5788.22</v>
      </c>
      <c r="T24" s="22" t="n">
        <v>5150.48</v>
      </c>
      <c r="U24" s="22" t="n">
        <v>4936.23</v>
      </c>
      <c r="V24" s="22" t="n">
        <v>3546.587616</v>
      </c>
      <c r="W24" s="22" t="n">
        <v>4510.552799999999</v>
      </c>
      <c r="X24" s="22" t="n">
        <v>4607.5224</v>
      </c>
      <c r="Y24" s="22" t="n">
        <v>4439.916</v>
      </c>
      <c r="Z24" s="22" t="n">
        <v>4176.4632</v>
      </c>
      <c r="AA24" s="22">
        <f>SUM(O24:U24)</f>
        <v/>
      </c>
      <c r="AB24" s="22">
        <f>SUM(O24:Z24)</f>
        <v/>
      </c>
      <c r="AC24" s="22" t="n">
        <v>4509.513215999999</v>
      </c>
      <c r="AD24" s="22" t="n">
        <v>4119.37032</v>
      </c>
      <c r="AE24" s="22" t="n">
        <v>4934.775768</v>
      </c>
      <c r="AF24" s="22" t="n">
        <v>4415.647392</v>
      </c>
      <c r="AG24" s="22" t="n">
        <v>4625.114831999999</v>
      </c>
      <c r="AH24" s="22" t="n">
        <v>4785.985151999999</v>
      </c>
      <c r="AI24" s="34">
        <f>SUM(AC24:AH24)</f>
        <v/>
      </c>
      <c r="AJ24" s="22">
        <f>SUM(AC24:AH24)+AI24</f>
        <v/>
      </c>
      <c r="AK24" s="11">
        <f>IF(N24&lt;&gt;0,(AB24-N24)/ABS(N24),0)</f>
        <v/>
      </c>
      <c r="AL24" s="11">
        <f>IF(AB24&lt;&gt;0,(AJ24-AB24)/ABS(AB24),0)</f>
        <v/>
      </c>
    </row>
    <row r="25" ht="13" customHeight="1">
      <c r="A25" s="21" t="inlineStr">
        <is>
          <t xml:space="preserve">    Toys and Games</t>
        </is>
      </c>
      <c r="B25" s="22" t="n">
        <v>330.13</v>
      </c>
      <c r="C25" s="22" t="n">
        <v>1111.29</v>
      </c>
      <c r="D25" s="22" t="n">
        <v>135.72</v>
      </c>
      <c r="E25" s="22" t="n">
        <v>172.74</v>
      </c>
      <c r="F25" s="22" t="n">
        <v>1014.7</v>
      </c>
      <c r="G25" s="22" t="n">
        <v>1919.79</v>
      </c>
      <c r="H25" s="22" t="n">
        <v>265.47</v>
      </c>
      <c r="I25" s="22" t="n">
        <v>171.34</v>
      </c>
      <c r="J25" s="22" t="n">
        <v>0</v>
      </c>
      <c r="K25" s="22" t="n">
        <v>183.06</v>
      </c>
      <c r="L25" s="22" t="n">
        <v>257.43</v>
      </c>
      <c r="M25" s="22" t="n">
        <v>59.92</v>
      </c>
      <c r="N25" s="22">
        <f>SUM(B25:M25)</f>
        <v/>
      </c>
      <c r="O25" s="22" t="n">
        <v>91.2</v>
      </c>
      <c r="P25" s="22" t="n">
        <v>89.62</v>
      </c>
      <c r="Q25" s="22" t="n">
        <v>249.67</v>
      </c>
      <c r="R25" s="22" t="n">
        <v>456.76</v>
      </c>
      <c r="S25" s="22" t="n">
        <v>98.94</v>
      </c>
      <c r="T25" s="22" t="n">
        <v>1175.49</v>
      </c>
      <c r="U25" s="22" t="n">
        <v>39.09</v>
      </c>
      <c r="AA25" s="22">
        <f>SUM(O25:U25)</f>
        <v/>
      </c>
      <c r="AB25" s="22">
        <f>SUM(O25:Z25)</f>
        <v/>
      </c>
      <c r="AC25" s="22" t="n">
        <v>100</v>
      </c>
      <c r="AD25" s="22" t="n">
        <v>100</v>
      </c>
      <c r="AE25" s="22" t="n">
        <v>100</v>
      </c>
      <c r="AF25" s="22" t="n">
        <v>100</v>
      </c>
      <c r="AG25" s="22" t="n">
        <v>100</v>
      </c>
      <c r="AH25" s="22" t="n">
        <v>100</v>
      </c>
      <c r="AI25" s="34">
        <f>SUM(AC25:AH25)</f>
        <v/>
      </c>
      <c r="AJ25" s="22">
        <f>SUM(AC25:AH25)+AI25</f>
        <v/>
      </c>
      <c r="AK25" s="11">
        <f>IF(N25&lt;&gt;0,(AB25-N25)/ABS(N25),0)</f>
        <v/>
      </c>
      <c r="AL25" s="11">
        <f>IF(AB25&lt;&gt;0,(AJ25-AB25)/ABS(AB25),0)</f>
        <v/>
      </c>
    </row>
    <row r="26" ht="13" customHeight="1">
      <c r="A26" s="21" t="inlineStr">
        <is>
          <t xml:space="preserve">    Art Materials</t>
        </is>
      </c>
      <c r="N26" s="22">
        <f>SUM(B26:M26)</f>
        <v/>
      </c>
      <c r="O26" s="22" t="n">
        <v>0</v>
      </c>
      <c r="P26" s="22" t="n">
        <v>160.57</v>
      </c>
      <c r="Q26" s="22" t="n">
        <v>230.91</v>
      </c>
      <c r="R26" s="22" t="n">
        <v>143.14</v>
      </c>
      <c r="S26" s="22" t="n">
        <v>88.79000000000001</v>
      </c>
      <c r="T26" s="22" t="n">
        <v>256.61</v>
      </c>
      <c r="U26" s="22" t="n">
        <v>223.33</v>
      </c>
      <c r="V26" s="22" t="n">
        <v>236.4391744</v>
      </c>
      <c r="W26" s="22" t="n">
        <v>300.70352</v>
      </c>
      <c r="X26" s="22" t="n">
        <v>307.16816</v>
      </c>
      <c r="Y26" s="22" t="n">
        <v>295.9944</v>
      </c>
      <c r="Z26" s="22" t="n">
        <v>278.43088</v>
      </c>
      <c r="AA26" s="22">
        <f>SUM(O26:U26)</f>
        <v/>
      </c>
      <c r="AB26" s="22">
        <f>SUM(O26:Z26)</f>
        <v/>
      </c>
      <c r="AC26" s="22" t="n">
        <v>300.6342144</v>
      </c>
      <c r="AD26" s="22" t="n">
        <v>274.624688</v>
      </c>
      <c r="AE26" s="22" t="n">
        <v>328.9850512</v>
      </c>
      <c r="AF26" s="22" t="n">
        <v>294.3764928</v>
      </c>
      <c r="AG26" s="22" t="n">
        <v>308.3409887999999</v>
      </c>
      <c r="AH26" s="22" t="n">
        <v>319.0656767999999</v>
      </c>
      <c r="AI26" s="34">
        <f>SUM(AC26:AH26)</f>
        <v/>
      </c>
      <c r="AJ26" s="22">
        <f>SUM(AC26:AH26)+AI26</f>
        <v/>
      </c>
      <c r="AK26" s="11">
        <f>IF(N26&lt;&gt;0,(AB26-N26)/ABS(N26),0)</f>
        <v/>
      </c>
      <c r="AL26" s="11">
        <f>IF(AB26&lt;&gt;0,(AJ26-AB26)/ABS(AB26),0)</f>
        <v/>
      </c>
    </row>
    <row r="27" ht="13" customHeight="1">
      <c r="A27" s="21" t="inlineStr">
        <is>
          <t xml:space="preserve">    Nursery Stationery</t>
        </is>
      </c>
      <c r="B27" s="22" t="n">
        <v>15</v>
      </c>
      <c r="C27" s="22" t="n">
        <v>63.01</v>
      </c>
      <c r="D27" s="22" t="n">
        <v>61.27</v>
      </c>
      <c r="E27" s="22" t="n">
        <v>3.06</v>
      </c>
      <c r="F27" s="22" t="n">
        <v>1.38</v>
      </c>
      <c r="G27" s="22" t="n">
        <v>44.8</v>
      </c>
      <c r="H27" s="22" t="n">
        <v>112.74</v>
      </c>
      <c r="I27" s="22" t="n">
        <v>0</v>
      </c>
      <c r="J27" s="22" t="n">
        <v>104.18</v>
      </c>
      <c r="K27" s="22" t="n">
        <v>88.44</v>
      </c>
      <c r="L27" s="22" t="n">
        <v>41.01</v>
      </c>
      <c r="M27" s="22" t="n">
        <v>38.29</v>
      </c>
      <c r="N27" s="22">
        <f>SUM(B27:M27)</f>
        <v/>
      </c>
      <c r="O27" s="22" t="n">
        <v>6.39</v>
      </c>
      <c r="P27" s="22" t="n">
        <v>72.61</v>
      </c>
      <c r="Q27" s="22" t="n">
        <v>43.57</v>
      </c>
      <c r="R27" s="22" t="n">
        <v>35.07</v>
      </c>
      <c r="S27" s="22" t="n">
        <v>16.02</v>
      </c>
      <c r="T27" s="22" t="n">
        <v>69.76000000000001</v>
      </c>
      <c r="U27" s="22" t="n">
        <v>48.33</v>
      </c>
      <c r="AA27" s="22">
        <f>SUM(O27:U27)</f>
        <v/>
      </c>
      <c r="AB27" s="22">
        <f>SUM(O27:Z27)</f>
        <v/>
      </c>
      <c r="AC27" s="22" t="n">
        <v>278</v>
      </c>
      <c r="AD27" s="22" t="n">
        <v>278</v>
      </c>
      <c r="AE27" s="22" t="n">
        <v>278</v>
      </c>
      <c r="AF27" s="22" t="n">
        <v>278</v>
      </c>
      <c r="AG27" s="22" t="n">
        <v>278</v>
      </c>
      <c r="AH27" s="22" t="n">
        <v>278</v>
      </c>
      <c r="AI27" s="34">
        <f>SUM(AC27:AH27)</f>
        <v/>
      </c>
      <c r="AJ27" s="22">
        <f>SUM(AC27:AH27)+AI27</f>
        <v/>
      </c>
      <c r="AK27" s="11">
        <f>IF(N27&lt;&gt;0,(AB27-N27)/ABS(N27),0)</f>
        <v/>
      </c>
      <c r="AL27" s="11">
        <f>IF(AB27&lt;&gt;0,(AJ27-AB27)/ABS(AB27),0)</f>
        <v/>
      </c>
    </row>
    <row r="28" ht="13" customHeight="1">
      <c r="A28" s="21" t="inlineStr">
        <is>
          <t xml:space="preserve">    Nursery Equipment</t>
        </is>
      </c>
      <c r="B28" s="22" t="n">
        <v>134.83</v>
      </c>
      <c r="C28" s="22" t="n">
        <v>92.94</v>
      </c>
      <c r="D28" s="22" t="n">
        <v>339.69</v>
      </c>
      <c r="E28" s="22" t="n">
        <v>63.56</v>
      </c>
      <c r="F28" s="22" t="n">
        <v>390.09</v>
      </c>
      <c r="G28" s="22" t="n">
        <v>775.99</v>
      </c>
      <c r="H28" s="22" t="n">
        <v>63.76</v>
      </c>
      <c r="I28" s="22" t="n">
        <v>35.62</v>
      </c>
      <c r="J28" s="22" t="n">
        <v>45.98</v>
      </c>
      <c r="K28" s="22" t="n">
        <v>380.46</v>
      </c>
      <c r="L28" s="22" t="n">
        <v>86.03999999999999</v>
      </c>
      <c r="M28" s="22" t="n">
        <v>54.77</v>
      </c>
      <c r="N28" s="22">
        <f>SUM(B28:M28)</f>
        <v/>
      </c>
      <c r="O28" s="22" t="n">
        <v>55.86</v>
      </c>
      <c r="P28" s="22" t="n">
        <v>123.78</v>
      </c>
      <c r="Q28" s="22" t="n">
        <v>0</v>
      </c>
      <c r="R28" s="22" t="n">
        <v>22.45</v>
      </c>
      <c r="S28" s="22" t="n">
        <v>59.08</v>
      </c>
      <c r="T28" s="22" t="n">
        <v>466.76</v>
      </c>
      <c r="U28" s="22" t="n">
        <v>206.96</v>
      </c>
      <c r="AA28" s="22">
        <f>SUM(O28:U28)</f>
        <v/>
      </c>
      <c r="AB28" s="22">
        <f>SUM(O28:Z28)</f>
        <v/>
      </c>
      <c r="AC28" s="22" t="n">
        <v>100</v>
      </c>
      <c r="AD28" s="22" t="n">
        <v>100</v>
      </c>
      <c r="AE28" s="22" t="n">
        <v>100</v>
      </c>
      <c r="AF28" s="22" t="n">
        <v>100</v>
      </c>
      <c r="AG28" s="22" t="n">
        <v>100</v>
      </c>
      <c r="AH28" s="22" t="n">
        <v>100</v>
      </c>
      <c r="AI28" s="34">
        <f>SUM(AC28:AH28)</f>
        <v/>
      </c>
      <c r="AJ28" s="22">
        <f>SUM(AC28:AH28)+AI28</f>
        <v/>
      </c>
      <c r="AK28" s="11">
        <f>IF(N28&lt;&gt;0,(AB28-N28)/ABS(N28),0)</f>
        <v/>
      </c>
      <c r="AL28" s="11">
        <f>IF(AB28&lt;&gt;0,(AJ28-AB28)/ABS(AB28),0)</f>
        <v/>
      </c>
    </row>
    <row r="29" ht="13" customHeight="1">
      <c r="A29" s="21" t="inlineStr">
        <is>
          <t xml:space="preserve">    Nursery Consumables</t>
        </is>
      </c>
      <c r="N29" s="22">
        <f>SUM(B29:M29)</f>
        <v/>
      </c>
      <c r="O29" s="22" t="n">
        <v>1014.79</v>
      </c>
      <c r="P29" s="22" t="n">
        <v>667.24</v>
      </c>
      <c r="Q29" s="22" t="n">
        <v>625.97</v>
      </c>
      <c r="R29" s="22" t="n">
        <v>1223.46</v>
      </c>
      <c r="S29" s="22" t="n">
        <v>1072.87</v>
      </c>
      <c r="T29" s="22" t="n">
        <v>248.7</v>
      </c>
      <c r="U29" s="22" t="n">
        <v>985.75</v>
      </c>
      <c r="V29" s="22" t="n">
        <v>472.8783488000001</v>
      </c>
      <c r="W29" s="22" t="n">
        <v>601.4070400000002</v>
      </c>
      <c r="X29" s="22" t="n">
        <v>614.3363200000002</v>
      </c>
      <c r="Y29" s="22" t="n">
        <v>591.9888000000002</v>
      </c>
      <c r="Z29" s="22" t="n">
        <v>556.8617600000002</v>
      </c>
      <c r="AA29" s="22">
        <f>SUM(O29:U29)</f>
        <v/>
      </c>
      <c r="AB29" s="22">
        <f>SUM(O29:Z29)</f>
        <v/>
      </c>
      <c r="AC29" s="22" t="n">
        <v>601.2684288000002</v>
      </c>
      <c r="AD29" s="22" t="n">
        <v>549.2493760000002</v>
      </c>
      <c r="AE29" s="22" t="n">
        <v>657.9701024000003</v>
      </c>
      <c r="AF29" s="22" t="n">
        <v>588.7529856000002</v>
      </c>
      <c r="AG29" s="22" t="n">
        <v>616.6819776000001</v>
      </c>
      <c r="AH29" s="22" t="n">
        <v>638.1313536000001</v>
      </c>
      <c r="AI29" s="34">
        <f>SUM(AC29:AH29)</f>
        <v/>
      </c>
      <c r="AJ29" s="22">
        <f>SUM(AC29:AH29)+AI29</f>
        <v/>
      </c>
      <c r="AK29" s="11">
        <f>IF(N29&lt;&gt;0,(AB29-N29)/ABS(N29),0)</f>
        <v/>
      </c>
      <c r="AL29" s="11">
        <f>IF(AB29&lt;&gt;0,(AJ29-AB29)/ABS(AB29),0)</f>
        <v/>
      </c>
    </row>
    <row r="30" ht="13" customHeight="1">
      <c r="A30" s="23" t="inlineStr">
        <is>
          <t>Total Childcare Costs</t>
        </is>
      </c>
      <c r="B30" s="24">
        <f>B24+B25+B26+B27+B28+B29</f>
        <v/>
      </c>
      <c r="C30" s="24">
        <f>C24+C25+C26+C27+C28+C29</f>
        <v/>
      </c>
      <c r="D30" s="24">
        <f>D24+D25+D26+D27+D28+D29</f>
        <v/>
      </c>
      <c r="E30" s="24">
        <f>E24+E25+E26+E27+E28+E29</f>
        <v/>
      </c>
      <c r="F30" s="24">
        <f>F24+F25+F26+F27+F28+F29</f>
        <v/>
      </c>
      <c r="G30" s="24">
        <f>G24+G25+G26+G27+G28+G29</f>
        <v/>
      </c>
      <c r="H30" s="24">
        <f>H24+H25+H26+H27+H28+H29</f>
        <v/>
      </c>
      <c r="I30" s="24">
        <f>I24+I25+I26+I27+I28+I29</f>
        <v/>
      </c>
      <c r="J30" s="24">
        <f>J24+J25+J26+J27+J28+J29</f>
        <v/>
      </c>
      <c r="K30" s="24">
        <f>K24+K25+K26+K27+K28+K29</f>
        <v/>
      </c>
      <c r="L30" s="24">
        <f>L24+L25+L26+L27+L28+L29</f>
        <v/>
      </c>
      <c r="M30" s="24">
        <f>M24+M25+M26+M27+M28+M29</f>
        <v/>
      </c>
      <c r="N30" s="24">
        <f>N24+N25+N26+N27+N28+N29</f>
        <v/>
      </c>
      <c r="O30" s="24">
        <f>O24+O25+O26+O27+O28+O29</f>
        <v/>
      </c>
      <c r="P30" s="24">
        <f>P24+P25+P26+P27+P28+P29</f>
        <v/>
      </c>
      <c r="Q30" s="24">
        <f>Q24+Q25+Q26+Q27+Q28+Q29</f>
        <v/>
      </c>
      <c r="R30" s="24">
        <f>R24+R25+R26+R27+R28+R29</f>
        <v/>
      </c>
      <c r="S30" s="24">
        <f>S24+S25+S26+S27+S28+S29</f>
        <v/>
      </c>
      <c r="T30" s="24">
        <f>T24+T25+T26+T27+T28+T29</f>
        <v/>
      </c>
      <c r="U30" s="24">
        <f>U24+U25+U26+U27+U28+U29</f>
        <v/>
      </c>
      <c r="V30" s="24">
        <f>V24+V25+V26+V27+V28+V29</f>
        <v/>
      </c>
      <c r="W30" s="24">
        <f>W24+W25+W26+W27+W28+W29</f>
        <v/>
      </c>
      <c r="X30" s="24">
        <f>X24+X25+X26+X27+X28+X29</f>
        <v/>
      </c>
      <c r="Y30" s="24">
        <f>Y24+Y25+Y26+Y27+Y28+Y29</f>
        <v/>
      </c>
      <c r="Z30" s="24">
        <f>Z24+Z25+Z26+Z27+Z28+Z29</f>
        <v/>
      </c>
      <c r="AA30" s="24">
        <f>AA24+AA25+AA26+AA27+AA28+AA29</f>
        <v/>
      </c>
      <c r="AB30" s="24">
        <f>AB24+AB25+AB26+AB27+AB28+AB29</f>
        <v/>
      </c>
      <c r="AC30" s="24">
        <f>AC24+AC25+AC26+AC27+AC28+AC29</f>
        <v/>
      </c>
      <c r="AD30" s="24">
        <f>AD24+AD25+AD26+AD27+AD28+AD29</f>
        <v/>
      </c>
      <c r="AE30" s="24">
        <f>AE24+AE25+AE26+AE27+AE28+AE29</f>
        <v/>
      </c>
      <c r="AF30" s="24">
        <f>AF24+AF25+AF26+AF27+AF28+AF29</f>
        <v/>
      </c>
      <c r="AG30" s="24">
        <f>AG24+AG25+AG26+AG27+AG28+AG29</f>
        <v/>
      </c>
      <c r="AH30" s="24">
        <f>AH24+AH25+AH26+AH27+AH28+AH29</f>
        <v/>
      </c>
      <c r="AI30" s="24">
        <f>AI24+AI25+AI26+AI27+AI28+AI29</f>
        <v/>
      </c>
      <c r="AJ30" s="24">
        <f>AJ24+AJ25+AJ26+AJ27+AJ28+AJ29</f>
        <v/>
      </c>
      <c r="AK30" s="11">
        <f>IF(N30&lt;&gt;0,(AB30-N30)/ABS(N30),0)</f>
        <v/>
      </c>
      <c r="AL30" s="11">
        <f>IF(AB30&lt;&gt;0,(AJ30-AB30)/ABS(AB30),0)</f>
        <v/>
      </c>
    </row>
    <row r="31" ht="5" customHeight="1"/>
    <row r="32" ht="13" customHeight="1">
      <c r="A32" s="14" t="inlineStr">
        <is>
          <t>Premises &amp; Admin</t>
        </is>
      </c>
    </row>
    <row r="33" ht="13" customHeight="1">
      <c r="A33" s="25" t="inlineStr">
        <is>
          <t xml:space="preserve">    Rent</t>
        </is>
      </c>
      <c r="B33" s="26" t="n">
        <v>0</v>
      </c>
      <c r="C33" s="26" t="n">
        <v>0</v>
      </c>
      <c r="D33" s="26" t="n">
        <v>0</v>
      </c>
      <c r="E33" s="26" t="n">
        <v>0</v>
      </c>
      <c r="F33" s="26" t="n">
        <v>0</v>
      </c>
      <c r="G33" s="26" t="n">
        <v>0</v>
      </c>
      <c r="H33" s="26" t="n">
        <v>0</v>
      </c>
      <c r="I33" s="26" t="n">
        <v>0</v>
      </c>
      <c r="J33" s="26" t="n">
        <v>0</v>
      </c>
      <c r="K33" s="26" t="n">
        <v>0</v>
      </c>
      <c r="L33" s="26" t="n">
        <v>0</v>
      </c>
      <c r="M33" s="26" t="n">
        <v>0</v>
      </c>
      <c r="N33" s="26">
        <f>SUM(B33:M33)</f>
        <v/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  <c r="V33" s="26" t="n">
        <v>0</v>
      </c>
      <c r="W33" s="26" t="n">
        <v>0</v>
      </c>
      <c r="X33" s="26" t="n">
        <v>0</v>
      </c>
      <c r="Y33" s="26" t="n">
        <v>0</v>
      </c>
      <c r="Z33" s="26" t="n">
        <v>0</v>
      </c>
      <c r="AA33" s="26">
        <f>SUM(O33:U33)</f>
        <v/>
      </c>
      <c r="AB33" s="26">
        <f>SUM(O33:Z33)</f>
        <v/>
      </c>
      <c r="AC33" s="26" t="n">
        <v>0</v>
      </c>
      <c r="AD33" s="26" t="n">
        <v>0</v>
      </c>
      <c r="AE33" s="26" t="n">
        <v>0</v>
      </c>
      <c r="AF33" s="26" t="n">
        <v>0</v>
      </c>
      <c r="AG33" s="26" t="n">
        <v>0</v>
      </c>
      <c r="AH33" s="26" t="n">
        <v>0</v>
      </c>
      <c r="AI33" s="34">
        <f>SUM(AC33:AH33)</f>
        <v/>
      </c>
      <c r="AJ33" s="26">
        <f>SUM(AC33:AH33)+AI33</f>
        <v/>
      </c>
      <c r="AK33" s="11">
        <f>IF(N33&lt;&gt;0,(AB33-N33)/ABS(N33),0)</f>
        <v/>
      </c>
      <c r="AL33" s="11">
        <f>IF(AB33&lt;&gt;0,(AJ33-AB33)/ABS(AB33),0)</f>
        <v/>
      </c>
    </row>
    <row r="34" ht="13" customHeight="1">
      <c r="A34" s="25" t="inlineStr">
        <is>
          <t xml:space="preserve">    Business Rates</t>
        </is>
      </c>
      <c r="B34" s="26" t="n">
        <v>3025.75</v>
      </c>
      <c r="C34" s="26" t="n">
        <v>3025.75</v>
      </c>
      <c r="D34" s="26" t="n">
        <v>3025.75</v>
      </c>
      <c r="E34" s="26" t="n">
        <v>3075.63</v>
      </c>
      <c r="F34" s="26" t="n">
        <v>3075.63</v>
      </c>
      <c r="G34" s="26" t="n">
        <v>3075.63</v>
      </c>
      <c r="H34" s="26" t="n">
        <v>3075.63</v>
      </c>
      <c r="I34" s="26" t="n">
        <v>3075.63</v>
      </c>
      <c r="J34" s="26" t="n">
        <v>3075.63</v>
      </c>
      <c r="K34" s="26" t="n">
        <v>3075.63</v>
      </c>
      <c r="L34" s="26" t="n">
        <v>3075.63</v>
      </c>
      <c r="M34" s="26" t="n">
        <v>3075.63</v>
      </c>
      <c r="N34" s="26">
        <f>SUM(B34:M34)</f>
        <v/>
      </c>
      <c r="O34" s="26" t="n">
        <v>3075.61</v>
      </c>
      <c r="P34" s="26" t="n">
        <v>3075.61</v>
      </c>
      <c r="Q34" s="26" t="n">
        <v>3075.61</v>
      </c>
      <c r="R34" s="26" t="n">
        <v>3123.75</v>
      </c>
      <c r="S34" s="26" t="n">
        <v>3123.75</v>
      </c>
      <c r="T34" s="26" t="n">
        <v>3123.75</v>
      </c>
      <c r="U34" s="26" t="n">
        <v>3123.75</v>
      </c>
      <c r="AA34" s="26">
        <f>SUM(O34:U34)</f>
        <v/>
      </c>
      <c r="AB34" s="26">
        <f>SUM(O34:Z34)</f>
        <v/>
      </c>
      <c r="AC34" s="26" t="n">
        <v>3123.75</v>
      </c>
      <c r="AD34" s="26" t="n">
        <v>3123.75</v>
      </c>
      <c r="AE34" s="26" t="n">
        <v>3123.75</v>
      </c>
      <c r="AF34" s="26" t="n">
        <v>3123.75</v>
      </c>
      <c r="AG34" s="26" t="n">
        <v>3123.75</v>
      </c>
      <c r="AH34" s="26" t="n">
        <v>3123.75</v>
      </c>
      <c r="AI34" s="34">
        <f>SUM(AC34:AH34)</f>
        <v/>
      </c>
      <c r="AJ34" s="26">
        <f>SUM(AC34:AH34)+AI34</f>
        <v/>
      </c>
      <c r="AK34" s="11">
        <f>IF(N34&lt;&gt;0,(AB34-N34)/ABS(N34),0)</f>
        <v/>
      </c>
      <c r="AL34" s="11">
        <f>IF(AB34&lt;&gt;0,(AJ34-AB34)/ABS(AB34),0)</f>
        <v/>
      </c>
    </row>
    <row r="35" ht="13" customHeight="1">
      <c r="A35" s="25" t="inlineStr">
        <is>
          <t xml:space="preserve">    Utilities</t>
        </is>
      </c>
      <c r="B35" s="26" t="n">
        <v>2790.8</v>
      </c>
      <c r="C35" s="26" t="n">
        <v>2628.84</v>
      </c>
      <c r="D35" s="26" t="n">
        <v>4292.94</v>
      </c>
      <c r="E35" s="26" t="n">
        <v>5529.950000000001</v>
      </c>
      <c r="F35" s="26" t="n">
        <v>1656.64</v>
      </c>
      <c r="G35" s="26" t="n">
        <v>2428.37</v>
      </c>
      <c r="H35" s="26" t="n">
        <v>1773.3</v>
      </c>
      <c r="I35" s="26" t="n">
        <v>1422.35</v>
      </c>
      <c r="J35" s="26" t="n">
        <v>2223.76</v>
      </c>
      <c r="K35" s="26" t="n">
        <v>3805.35</v>
      </c>
      <c r="L35" s="26" t="n">
        <v>3193.73</v>
      </c>
      <c r="M35" s="26" t="n">
        <v>3368.92</v>
      </c>
      <c r="N35" s="26">
        <f>SUM(B35:M35)</f>
        <v/>
      </c>
      <c r="O35" s="26" t="n">
        <v>4087.64</v>
      </c>
      <c r="P35" s="26" t="n">
        <v>4314.61</v>
      </c>
      <c r="Q35" s="26" t="n">
        <v>2945.05</v>
      </c>
      <c r="R35" s="26" t="n">
        <v>2778.49</v>
      </c>
      <c r="S35" s="26" t="n">
        <v>2142.48</v>
      </c>
      <c r="T35" s="26" t="n">
        <v>2285.87</v>
      </c>
      <c r="U35" s="26" t="n">
        <v>1722.41</v>
      </c>
      <c r="AA35" s="26">
        <f>SUM(O35:U35)</f>
        <v/>
      </c>
      <c r="AB35" s="26">
        <f>SUM(O35:Z35)</f>
        <v/>
      </c>
      <c r="AC35" s="26" t="n">
        <v>3138</v>
      </c>
      <c r="AD35" s="26" t="n">
        <v>3138</v>
      </c>
      <c r="AE35" s="26" t="n">
        <v>3138</v>
      </c>
      <c r="AF35" s="26" t="n">
        <v>3138</v>
      </c>
      <c r="AG35" s="26" t="n">
        <v>3138</v>
      </c>
      <c r="AH35" s="26" t="n">
        <v>3138</v>
      </c>
      <c r="AI35" s="34">
        <f>SUM(AC35:AH35)</f>
        <v/>
      </c>
      <c r="AJ35" s="26">
        <f>SUM(AC35:AH35)+AI35</f>
        <v/>
      </c>
      <c r="AK35" s="11">
        <f>IF(N35&lt;&gt;0,(AB35-N35)/ABS(N35),0)</f>
        <v/>
      </c>
      <c r="AL35" s="11">
        <f>IF(AB35&lt;&gt;0,(AJ35-AB35)/ABS(AB35),0)</f>
        <v/>
      </c>
    </row>
    <row r="36" ht="13" customHeight="1">
      <c r="A36" s="25" t="inlineStr">
        <is>
          <t xml:space="preserve">    Repairs &amp; Maintenance</t>
        </is>
      </c>
      <c r="B36" s="26" t="n">
        <v>924.6799999999999</v>
      </c>
      <c r="C36" s="26" t="n">
        <v>752.58</v>
      </c>
      <c r="D36" s="26" t="n">
        <v>409.33</v>
      </c>
      <c r="E36" s="26" t="n">
        <v>1010.79</v>
      </c>
      <c r="F36" s="26" t="n">
        <v>213.72</v>
      </c>
      <c r="G36" s="26" t="n">
        <v>535.9799999999999</v>
      </c>
      <c r="H36" s="26" t="n">
        <v>2248.4</v>
      </c>
      <c r="I36" s="26" t="n">
        <v>2709.69</v>
      </c>
      <c r="J36" s="26" t="n">
        <v>912.3100000000001</v>
      </c>
      <c r="K36" s="26" t="n">
        <v>1226.69</v>
      </c>
      <c r="L36" s="26" t="n">
        <v>65.19</v>
      </c>
      <c r="M36" s="26" t="n">
        <v>192.39</v>
      </c>
      <c r="N36" s="26">
        <f>SUM(B36:M36)</f>
        <v/>
      </c>
      <c r="O36" s="26" t="n">
        <v>482.98</v>
      </c>
      <c r="P36" s="26" t="n">
        <v>65.19</v>
      </c>
      <c r="Q36" s="26" t="n">
        <v>81.48</v>
      </c>
      <c r="R36" s="26" t="n">
        <v>217.62</v>
      </c>
      <c r="S36" s="26" t="n">
        <v>546.64</v>
      </c>
      <c r="T36" s="26" t="n">
        <v>445.08</v>
      </c>
      <c r="U36" s="26" t="n">
        <v>1103.45</v>
      </c>
      <c r="AA36" s="26">
        <f>SUM(O36:U36)</f>
        <v/>
      </c>
      <c r="AB36" s="26">
        <f>SUM(O36:Z36)</f>
        <v/>
      </c>
      <c r="AC36" s="26" t="n">
        <v>0</v>
      </c>
      <c r="AD36" s="26" t="n">
        <v>0</v>
      </c>
      <c r="AE36" s="26" t="n">
        <v>0</v>
      </c>
      <c r="AF36" s="26" t="n">
        <v>0</v>
      </c>
      <c r="AG36" s="26" t="n">
        <v>0</v>
      </c>
      <c r="AH36" s="26" t="n">
        <v>0</v>
      </c>
      <c r="AI36" s="34">
        <f>SUM(AC36:AH36)</f>
        <v/>
      </c>
      <c r="AJ36" s="26">
        <f>SUM(AC36:AH36)+AI36</f>
        <v/>
      </c>
      <c r="AK36" s="11">
        <f>IF(N36&lt;&gt;0,(AB36-N36)/ABS(N36),0)</f>
        <v/>
      </c>
      <c r="AL36" s="11">
        <f>IF(AB36&lt;&gt;0,(AJ36-AB36)/ABS(AB36),0)</f>
        <v/>
      </c>
    </row>
    <row r="37" ht="13" customHeight="1">
      <c r="A37" s="25" t="inlineStr">
        <is>
          <t xml:space="preserve">    Cleaning</t>
        </is>
      </c>
      <c r="B37" s="26" t="n">
        <v>3992.33</v>
      </c>
      <c r="C37" s="26" t="n">
        <v>3985.5</v>
      </c>
      <c r="D37" s="26" t="n">
        <v>3876.24</v>
      </c>
      <c r="E37" s="26" t="n">
        <v>4757.82</v>
      </c>
      <c r="F37" s="26" t="n">
        <v>3752.54</v>
      </c>
      <c r="G37" s="26" t="n">
        <v>3993.33</v>
      </c>
      <c r="H37" s="26" t="n">
        <v>4752.64</v>
      </c>
      <c r="I37" s="26" t="n">
        <v>8059.97</v>
      </c>
      <c r="J37" s="26" t="n">
        <v>4609.84</v>
      </c>
      <c r="K37" s="26" t="n">
        <v>755.6900000000001</v>
      </c>
      <c r="L37" s="26" t="n">
        <v>4164.74</v>
      </c>
      <c r="M37" s="26" t="n">
        <v>4041.48</v>
      </c>
      <c r="N37" s="26">
        <f>SUM(B37:M37)</f>
        <v/>
      </c>
      <c r="O37" s="26" t="n">
        <v>3097.61</v>
      </c>
      <c r="P37" s="26" t="n">
        <v>7311.5</v>
      </c>
      <c r="Q37" s="26" t="n">
        <v>416.9</v>
      </c>
      <c r="R37" s="26" t="n">
        <v>4015.5</v>
      </c>
      <c r="S37" s="26" t="n">
        <v>4246.18</v>
      </c>
      <c r="T37" s="26" t="n">
        <v>4420.44</v>
      </c>
      <c r="U37" s="26" t="n">
        <v>4546.02</v>
      </c>
      <c r="AA37" s="26">
        <f>SUM(O37:U37)</f>
        <v/>
      </c>
      <c r="AB37" s="26">
        <f>SUM(O37:Z37)</f>
        <v/>
      </c>
      <c r="AC37" s="26" t="n">
        <v>4300</v>
      </c>
      <c r="AD37" s="26" t="n">
        <v>4300</v>
      </c>
      <c r="AE37" s="26" t="n">
        <v>4300</v>
      </c>
      <c r="AF37" s="26" t="n">
        <v>4300</v>
      </c>
      <c r="AG37" s="26" t="n">
        <v>4300</v>
      </c>
      <c r="AH37" s="26" t="n">
        <v>4300</v>
      </c>
      <c r="AI37" s="34">
        <f>SUM(AC37:AH37)</f>
        <v/>
      </c>
      <c r="AJ37" s="26">
        <f>SUM(AC37:AH37)+AI37</f>
        <v/>
      </c>
      <c r="AK37" s="11">
        <f>IF(N37&lt;&gt;0,(AB37-N37)/ABS(N37),0)</f>
        <v/>
      </c>
      <c r="AL37" s="11">
        <f>IF(AB37&lt;&gt;0,(AJ37-AB37)/ABS(AB37),0)</f>
        <v/>
      </c>
    </row>
    <row r="38" ht="13" customHeight="1">
      <c r="A38" s="25" t="inlineStr">
        <is>
          <t xml:space="preserve">    Waste Disposal</t>
        </is>
      </c>
      <c r="B38" s="26" t="n">
        <v>623.08</v>
      </c>
      <c r="C38" s="26" t="n">
        <v>831.76</v>
      </c>
      <c r="D38" s="26" t="n">
        <v>836.49</v>
      </c>
      <c r="E38" s="26" t="n">
        <v>747.74</v>
      </c>
      <c r="F38" s="26" t="n">
        <v>481.62</v>
      </c>
      <c r="G38" s="26" t="n">
        <v>810.6499999999999</v>
      </c>
      <c r="H38" s="26" t="n">
        <v>662.91</v>
      </c>
      <c r="I38" s="26" t="n">
        <v>701.49</v>
      </c>
      <c r="J38" s="26" t="n">
        <v>1035.73</v>
      </c>
      <c r="K38" s="26" t="n">
        <v>720.8</v>
      </c>
      <c r="L38" s="26" t="n">
        <v>715.36</v>
      </c>
      <c r="M38" s="26" t="n">
        <v>834.1999999999999</v>
      </c>
      <c r="N38" s="26">
        <f>SUM(B38:M38)</f>
        <v/>
      </c>
      <c r="O38" s="26" t="n">
        <v>715.36</v>
      </c>
      <c r="P38" s="26" t="n">
        <v>715.36</v>
      </c>
      <c r="Q38" s="26" t="n">
        <v>843.86</v>
      </c>
      <c r="R38" s="26" t="n">
        <v>1039.5</v>
      </c>
      <c r="S38" s="26" t="n">
        <v>796.4</v>
      </c>
      <c r="T38" s="26" t="n">
        <v>429.02</v>
      </c>
      <c r="U38" s="26" t="n">
        <v>1016.67</v>
      </c>
      <c r="AA38" s="26">
        <f>SUM(O38:U38)</f>
        <v/>
      </c>
      <c r="AB38" s="26">
        <f>SUM(O38:Z38)</f>
        <v/>
      </c>
      <c r="AC38" s="26" t="n">
        <v>746</v>
      </c>
      <c r="AD38" s="26" t="n">
        <v>746</v>
      </c>
      <c r="AE38" s="26" t="n">
        <v>746</v>
      </c>
      <c r="AF38" s="26" t="n">
        <v>746</v>
      </c>
      <c r="AG38" s="26" t="n">
        <v>746</v>
      </c>
      <c r="AH38" s="26" t="n">
        <v>746</v>
      </c>
      <c r="AI38" s="34">
        <f>SUM(AC38:AH38)</f>
        <v/>
      </c>
      <c r="AJ38" s="26">
        <f>SUM(AC38:AH38)+AI38</f>
        <v/>
      </c>
      <c r="AK38" s="11">
        <f>IF(N38&lt;&gt;0,(AB38-N38)/ABS(N38),0)</f>
        <v/>
      </c>
      <c r="AL38" s="11">
        <f>IF(AB38&lt;&gt;0,(AJ38-AB38)/ABS(AB38),0)</f>
        <v/>
      </c>
    </row>
    <row r="39" ht="13" customHeight="1">
      <c r="A39" s="25" t="inlineStr">
        <is>
          <t xml:space="preserve">    Postage/Printing/Stationery</t>
        </is>
      </c>
      <c r="B39" s="26" t="n">
        <v>72.16</v>
      </c>
      <c r="C39" s="26" t="n">
        <v>108.21</v>
      </c>
      <c r="D39" s="26" t="n">
        <v>93.42</v>
      </c>
      <c r="E39" s="26" t="n">
        <v>86.88</v>
      </c>
      <c r="F39" s="26" t="n">
        <v>91.48</v>
      </c>
      <c r="G39" s="26" t="n">
        <v>133.56</v>
      </c>
      <c r="H39" s="26" t="n">
        <v>135.07</v>
      </c>
      <c r="I39" s="26" t="n">
        <v>63.11</v>
      </c>
      <c r="J39" s="26" t="n">
        <v>156.44</v>
      </c>
      <c r="K39" s="26" t="n">
        <v>93.01000000000001</v>
      </c>
      <c r="L39" s="26" t="n">
        <v>12.84</v>
      </c>
      <c r="M39" s="26" t="n">
        <v>72.92</v>
      </c>
      <c r="N39" s="26">
        <f>SUM(B39:M39)</f>
        <v/>
      </c>
      <c r="O39" s="26" t="n">
        <v>75.37</v>
      </c>
      <c r="P39" s="26" t="n">
        <v>96.28</v>
      </c>
      <c r="Q39" s="26" t="n">
        <v>268.58</v>
      </c>
      <c r="R39" s="26" t="n">
        <v>106.13</v>
      </c>
      <c r="S39" s="26" t="n">
        <v>149.21</v>
      </c>
      <c r="T39" s="26" t="n">
        <v>172.86</v>
      </c>
      <c r="U39" s="26" t="n">
        <v>64.59999999999999</v>
      </c>
      <c r="AA39" s="26">
        <f>SUM(O39:U39)</f>
        <v/>
      </c>
      <c r="AB39" s="26">
        <f>SUM(O39:Z39)</f>
        <v/>
      </c>
      <c r="AC39" s="26" t="n">
        <v>150</v>
      </c>
      <c r="AD39" s="26" t="n">
        <v>150</v>
      </c>
      <c r="AE39" s="26" t="n">
        <v>150</v>
      </c>
      <c r="AF39" s="26" t="n">
        <v>150</v>
      </c>
      <c r="AG39" s="26" t="n">
        <v>150</v>
      </c>
      <c r="AH39" s="26" t="n">
        <v>150</v>
      </c>
      <c r="AI39" s="34">
        <f>SUM(AC39:AH39)</f>
        <v/>
      </c>
      <c r="AJ39" s="26">
        <f>SUM(AC39:AH39)+AI39</f>
        <v/>
      </c>
      <c r="AK39" s="11">
        <f>IF(N39&lt;&gt;0,(AB39-N39)/ABS(N39),0)</f>
        <v/>
      </c>
      <c r="AL39" s="11">
        <f>IF(AB39&lt;&gt;0,(AJ39-AB39)/ABS(AB39),0)</f>
        <v/>
      </c>
    </row>
    <row r="40" ht="13" customHeight="1">
      <c r="A40" s="25" t="inlineStr">
        <is>
          <t xml:space="preserve">    Telephone</t>
        </is>
      </c>
      <c r="B40" s="26" t="n">
        <v>0</v>
      </c>
      <c r="C40" s="26" t="n">
        <v>0</v>
      </c>
      <c r="D40" s="26" t="n">
        <v>0</v>
      </c>
      <c r="E40" s="26" t="n">
        <v>0</v>
      </c>
      <c r="F40" s="26" t="n">
        <v>0</v>
      </c>
      <c r="G40" s="26" t="n">
        <v>0</v>
      </c>
      <c r="H40" s="26" t="n">
        <v>0</v>
      </c>
      <c r="I40" s="26" t="n">
        <v>0</v>
      </c>
      <c r="J40" s="26" t="n">
        <v>0</v>
      </c>
      <c r="K40" s="26" t="n">
        <v>0</v>
      </c>
      <c r="L40" s="26" t="n">
        <v>0</v>
      </c>
      <c r="M40" s="26" t="n">
        <v>0</v>
      </c>
      <c r="N40" s="26">
        <f>SUM(B40:M40)</f>
        <v/>
      </c>
      <c r="O40" s="26" t="n">
        <v>0</v>
      </c>
      <c r="P40" s="26" t="n">
        <v>0</v>
      </c>
      <c r="Q40" s="26" t="n">
        <v>0</v>
      </c>
      <c r="R40" s="26" t="n">
        <v>0</v>
      </c>
      <c r="S40" s="26" t="n">
        <v>0</v>
      </c>
      <c r="T40" s="26" t="n">
        <v>0</v>
      </c>
      <c r="U40" s="26" t="n">
        <v>0</v>
      </c>
      <c r="V40" s="26" t="n">
        <v>0</v>
      </c>
      <c r="W40" s="26" t="n">
        <v>0</v>
      </c>
      <c r="X40" s="26" t="n">
        <v>0</v>
      </c>
      <c r="Y40" s="26" t="n">
        <v>0</v>
      </c>
      <c r="Z40" s="26" t="n">
        <v>0</v>
      </c>
      <c r="AA40" s="26">
        <f>SUM(O40:U40)</f>
        <v/>
      </c>
      <c r="AB40" s="26">
        <f>SUM(O40:Z40)</f>
        <v/>
      </c>
      <c r="AC40" s="26" t="n">
        <v>0</v>
      </c>
      <c r="AD40" s="26" t="n">
        <v>0</v>
      </c>
      <c r="AE40" s="26" t="n">
        <v>0</v>
      </c>
      <c r="AF40" s="26" t="n">
        <v>0</v>
      </c>
      <c r="AG40" s="26" t="n">
        <v>0</v>
      </c>
      <c r="AH40" s="26" t="n">
        <v>0</v>
      </c>
      <c r="AI40" s="34">
        <f>SUM(AC40:AH40)</f>
        <v/>
      </c>
      <c r="AJ40" s="26">
        <f>SUM(AC40:AH40)+AI40</f>
        <v/>
      </c>
      <c r="AK40" s="11">
        <f>IF(N40&lt;&gt;0,(AB40-N40)/ABS(N40),0)</f>
        <v/>
      </c>
      <c r="AL40" s="11">
        <f>IF(AB40&lt;&gt;0,(AJ40-AB40)/ABS(AB40),0)</f>
        <v/>
      </c>
    </row>
    <row r="41" ht="13" customHeight="1">
      <c r="A41" s="25" t="inlineStr">
        <is>
          <t xml:space="preserve">    Marketing</t>
        </is>
      </c>
      <c r="B41" s="26" t="n">
        <v>0</v>
      </c>
      <c r="C41" s="26" t="n">
        <v>64.8</v>
      </c>
      <c r="D41" s="26" t="n">
        <v>345.62</v>
      </c>
      <c r="E41" s="26" t="n">
        <v>0</v>
      </c>
      <c r="F41" s="26" t="n">
        <v>129.6</v>
      </c>
      <c r="G41" s="26" t="n">
        <v>45</v>
      </c>
      <c r="H41" s="26" t="n">
        <v>0</v>
      </c>
      <c r="I41" s="26" t="n">
        <v>90</v>
      </c>
      <c r="J41" s="26" t="n">
        <v>0</v>
      </c>
      <c r="K41" s="26" t="n">
        <v>0</v>
      </c>
      <c r="L41" s="26" t="n">
        <v>220</v>
      </c>
      <c r="M41" s="26" t="n">
        <v>0</v>
      </c>
      <c r="N41" s="26">
        <f>SUM(B41:M41)</f>
        <v/>
      </c>
      <c r="O41" s="26" t="n">
        <v>264</v>
      </c>
      <c r="P41" s="26" t="n">
        <v>0</v>
      </c>
      <c r="Q41" s="26" t="n">
        <v>0</v>
      </c>
      <c r="R41" s="26" t="n">
        <v>282</v>
      </c>
      <c r="S41" s="26" t="n">
        <v>0</v>
      </c>
      <c r="T41" s="26" t="n">
        <v>0</v>
      </c>
      <c r="U41" s="26" t="n">
        <v>3.75</v>
      </c>
      <c r="AA41" s="26">
        <f>SUM(O41:U41)</f>
        <v/>
      </c>
      <c r="AB41" s="26">
        <f>SUM(O41:Z41)</f>
        <v/>
      </c>
      <c r="AC41" s="26" t="n">
        <v>100</v>
      </c>
      <c r="AD41" s="26" t="n">
        <v>100</v>
      </c>
      <c r="AE41" s="26" t="n">
        <v>100</v>
      </c>
      <c r="AF41" s="26" t="n">
        <v>100</v>
      </c>
      <c r="AG41" s="26" t="n">
        <v>100</v>
      </c>
      <c r="AH41" s="26" t="n">
        <v>100</v>
      </c>
      <c r="AI41" s="34">
        <f>SUM(AC41:AH41)</f>
        <v/>
      </c>
      <c r="AJ41" s="26">
        <f>SUM(AC41:AH41)+AI41</f>
        <v/>
      </c>
      <c r="AK41" s="11">
        <f>IF(N41&lt;&gt;0,(AB41-N41)/ABS(N41),0)</f>
        <v/>
      </c>
      <c r="AL41" s="11">
        <f>IF(AB41&lt;&gt;0,(AJ41-AB41)/ABS(AB41),0)</f>
        <v/>
      </c>
    </row>
    <row r="42" ht="13" customHeight="1">
      <c r="A42" s="27" t="inlineStr">
        <is>
          <t>Total Premises &amp; Admin</t>
        </is>
      </c>
      <c r="B42" s="28">
        <f>B33+B34+B35+B36+B37+B38+B39+B40+B41</f>
        <v/>
      </c>
      <c r="C42" s="28">
        <f>C33+C34+C35+C36+C37+C38+C39+C40+C41</f>
        <v/>
      </c>
      <c r="D42" s="28">
        <f>D33+D34+D35+D36+D37+D38+D39+D40+D41</f>
        <v/>
      </c>
      <c r="E42" s="28">
        <f>E33+E34+E35+E36+E37+E38+E39+E40+E41</f>
        <v/>
      </c>
      <c r="F42" s="28">
        <f>F33+F34+F35+F36+F37+F38+F39+F40+F41</f>
        <v/>
      </c>
      <c r="G42" s="28">
        <f>G33+G34+G35+G36+G37+G38+G39+G40+G41</f>
        <v/>
      </c>
      <c r="H42" s="28">
        <f>H33+H34+H35+H36+H37+H38+H39+H40+H41</f>
        <v/>
      </c>
      <c r="I42" s="28">
        <f>I33+I34+I35+I36+I37+I38+I39+I40+I41</f>
        <v/>
      </c>
      <c r="J42" s="28">
        <f>J33+J34+J35+J36+J37+J38+J39+J40+J41</f>
        <v/>
      </c>
      <c r="K42" s="28">
        <f>K33+K34+K35+K36+K37+K38+K39+K40+K41</f>
        <v/>
      </c>
      <c r="L42" s="28">
        <f>L33+L34+L35+L36+L37+L38+L39+L40+L41</f>
        <v/>
      </c>
      <c r="M42" s="28">
        <f>M33+M34+M35+M36+M37+M38+M39+M40+M41</f>
        <v/>
      </c>
      <c r="N42" s="28">
        <f>N33+N34+N35+N36+N37+N38+N39+N40+N41</f>
        <v/>
      </c>
      <c r="O42" s="28">
        <f>O33+O34+O35+O36+O37+O38+O39+O40+O41</f>
        <v/>
      </c>
      <c r="P42" s="28">
        <f>P33+P34+P35+P36+P37+P38+P39+P40+P41</f>
        <v/>
      </c>
      <c r="Q42" s="28">
        <f>Q33+Q34+Q35+Q36+Q37+Q38+Q39+Q40+Q41</f>
        <v/>
      </c>
      <c r="R42" s="28">
        <f>R33+R34+R35+R36+R37+R38+R39+R40+R41</f>
        <v/>
      </c>
      <c r="S42" s="28">
        <f>S33+S34+S35+S36+S37+S38+S39+S40+S41</f>
        <v/>
      </c>
      <c r="T42" s="28">
        <f>T33+T34+T35+T36+T37+T38+T39+T40+T41</f>
        <v/>
      </c>
      <c r="U42" s="28">
        <f>U33+U34+U35+U36+U37+U38+U39+U40+U41</f>
        <v/>
      </c>
      <c r="V42" s="28">
        <f>V33+V34+V35+V36+V37+V38+V39+V40+V41</f>
        <v/>
      </c>
      <c r="W42" s="28">
        <f>W33+W34+W35+W36+W37+W38+W39+W40+W41</f>
        <v/>
      </c>
      <c r="X42" s="28">
        <f>X33+X34+X35+X36+X37+X38+X39+X40+X41</f>
        <v/>
      </c>
      <c r="Y42" s="28">
        <f>Y33+Y34+Y35+Y36+Y37+Y38+Y39+Y40+Y41</f>
        <v/>
      </c>
      <c r="Z42" s="28">
        <f>Z33+Z34+Z35+Z36+Z37+Z38+Z39+Z40+Z41</f>
        <v/>
      </c>
      <c r="AA42" s="28">
        <f>AA33+AA34+AA35+AA36+AA37+AA38+AA39+AA40+AA41</f>
        <v/>
      </c>
      <c r="AB42" s="28">
        <f>AB33+AB34+AB35+AB36+AB37+AB38+AB39+AB40+AB41</f>
        <v/>
      </c>
      <c r="AC42" s="28">
        <f>AC33+AC34+AC35+AC36+AC37+AC38+AC39+AC40+AC41</f>
        <v/>
      </c>
      <c r="AD42" s="28">
        <f>AD33+AD34+AD35+AD36+AD37+AD38+AD39+AD40+AD41</f>
        <v/>
      </c>
      <c r="AE42" s="28">
        <f>AE33+AE34+AE35+AE36+AE37+AE38+AE39+AE40+AE41</f>
        <v/>
      </c>
      <c r="AF42" s="28">
        <f>AF33+AF34+AF35+AF36+AF37+AF38+AF39+AF40+AF41</f>
        <v/>
      </c>
      <c r="AG42" s="28">
        <f>AG33+AG34+AG35+AG36+AG37+AG38+AG39+AG40+AG41</f>
        <v/>
      </c>
      <c r="AH42" s="28">
        <f>AH33+AH34+AH35+AH36+AH37+AH38+AH39+AH40+AH41</f>
        <v/>
      </c>
      <c r="AI42" s="28">
        <f>AI33+AI34+AI35+AI36+AI37+AI38+AI39+AI40+AI41</f>
        <v/>
      </c>
      <c r="AJ42" s="28">
        <f>AJ33+AJ34+AJ35+AJ36+AJ37+AJ38+AJ39+AJ40+AJ41</f>
        <v/>
      </c>
      <c r="AK42" s="11">
        <f>IF(N42&lt;&gt;0,(AB42-N42)/ABS(N42),0)</f>
        <v/>
      </c>
      <c r="AL42" s="11">
        <f>IF(AB42&lt;&gt;0,(AJ42-AB42)/ABS(AB42),0)</f>
        <v/>
      </c>
    </row>
    <row r="43" ht="5" customHeight="1"/>
    <row r="44" ht="13" customHeight="1">
      <c r="A44" s="29" t="inlineStr">
        <is>
          <t>Total Direct Costs</t>
        </is>
      </c>
      <c r="AK44" s="11">
        <f>IF(N44&lt;&gt;0,(AB44-N44)/ABS(N44),0)</f>
        <v/>
      </c>
      <c r="AL44" s="11">
        <f>IF(AB44&lt;&gt;0,(AJ44-AB44)/ABS(AB44),0)</f>
        <v/>
      </c>
    </row>
    <row r="45" ht="5" customHeight="1"/>
    <row r="46" ht="15" customHeight="1">
      <c r="A46" s="30" t="inlineStr">
        <is>
          <t>CONTRIBUTION</t>
        </is>
      </c>
      <c r="B46" s="31">
        <f>B7-B44</f>
        <v/>
      </c>
      <c r="C46" s="31">
        <f>C7-C44</f>
        <v/>
      </c>
      <c r="D46" s="31">
        <f>D7-D44</f>
        <v/>
      </c>
      <c r="E46" s="31">
        <f>E7-E44</f>
        <v/>
      </c>
      <c r="F46" s="31">
        <f>F7-F44</f>
        <v/>
      </c>
      <c r="G46" s="31">
        <f>G7-G44</f>
        <v/>
      </c>
      <c r="H46" s="31">
        <f>H7-H44</f>
        <v/>
      </c>
      <c r="I46" s="31">
        <f>I7-I44</f>
        <v/>
      </c>
      <c r="J46" s="31">
        <f>J7-J44</f>
        <v/>
      </c>
      <c r="K46" s="31">
        <f>K7-K44</f>
        <v/>
      </c>
      <c r="L46" s="31">
        <f>L7-L44</f>
        <v/>
      </c>
      <c r="M46" s="31">
        <f>M7-M44</f>
        <v/>
      </c>
      <c r="N46" s="31">
        <f>N7-N44</f>
        <v/>
      </c>
      <c r="O46" s="31">
        <f>O7-O44</f>
        <v/>
      </c>
      <c r="P46" s="31">
        <f>P7-P44</f>
        <v/>
      </c>
      <c r="Q46" s="31">
        <f>Q7-Q44</f>
        <v/>
      </c>
      <c r="R46" s="31">
        <f>R7-R44</f>
        <v/>
      </c>
      <c r="S46" s="31">
        <f>S7-S44</f>
        <v/>
      </c>
      <c r="T46" s="31">
        <f>T7-T44</f>
        <v/>
      </c>
      <c r="U46" s="31">
        <f>U7-U44</f>
        <v/>
      </c>
      <c r="V46" s="31">
        <f>V7-V44</f>
        <v/>
      </c>
      <c r="W46" s="31">
        <f>W7-W44</f>
        <v/>
      </c>
      <c r="X46" s="31">
        <f>X7-X44</f>
        <v/>
      </c>
      <c r="Y46" s="31">
        <f>Y7-Y44</f>
        <v/>
      </c>
      <c r="Z46" s="31">
        <f>Z7-Z44</f>
        <v/>
      </c>
      <c r="AA46" s="31">
        <f>AA7-AA44</f>
        <v/>
      </c>
      <c r="AB46" s="31">
        <f>AB7-AB44</f>
        <v/>
      </c>
      <c r="AC46" s="31">
        <f>AC7-AC44</f>
        <v/>
      </c>
      <c r="AD46" s="31">
        <f>AD7-AD44</f>
        <v/>
      </c>
      <c r="AE46" s="31">
        <f>AE7-AE44</f>
        <v/>
      </c>
      <c r="AF46" s="31">
        <f>AF7-AF44</f>
        <v/>
      </c>
      <c r="AG46" s="31">
        <f>AG7-AG44</f>
        <v/>
      </c>
      <c r="AH46" s="31">
        <f>AH7-AH44</f>
        <v/>
      </c>
      <c r="AI46" s="31">
        <f>AI7-AI44</f>
        <v/>
      </c>
      <c r="AJ46" s="31">
        <f>AJ7-AJ44</f>
        <v/>
      </c>
      <c r="AK46" s="11">
        <f>IF(N46&lt;&gt;0,(AB46-N46)/ABS(N46),0)</f>
        <v/>
      </c>
      <c r="AL46" s="11">
        <f>IF(AB46&lt;&gt;0,(AJ46-AB46)/ABS(AB46),0)</f>
        <v/>
      </c>
    </row>
  </sheetData>
  <mergeCells count="8">
    <mergeCell ref="A10:AL10"/>
    <mergeCell ref="B1:N1"/>
    <mergeCell ref="A23:AL23"/>
    <mergeCell ref="A32:AL32"/>
    <mergeCell ref="AC1:AJ1"/>
    <mergeCell ref="A9:AL9"/>
    <mergeCell ref="A3:AL3"/>
    <mergeCell ref="O1:AB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L4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9.5" customWidth="1" min="27" max="27"/>
    <col width="9.5" customWidth="1" min="28" max="28"/>
    <col width="9.5" customWidth="1" min="29" max="29"/>
    <col width="9.5" customWidth="1" min="30" max="30"/>
    <col width="9.5" customWidth="1" min="31" max="31"/>
    <col width="9.5" customWidth="1" min="32" max="32"/>
    <col width="9.5" customWidth="1" min="33" max="33"/>
    <col width="9.5" customWidth="1" min="34" max="34"/>
    <col width="9.5" customWidth="1" min="35" max="35"/>
    <col width="11" customWidth="1" min="36" max="36"/>
    <col width="10" customWidth="1" min="37" max="37"/>
    <col width="10" customWidth="1" min="38" max="38"/>
  </cols>
  <sheetData>
    <row r="1" ht="18" customHeight="1">
      <c r="A1" s="1" t="inlineStr">
        <is>
          <t>Cedars</t>
        </is>
      </c>
      <c r="B1" s="2" t="inlineStr">
        <is>
          <t>Actuals 2025</t>
        </is>
      </c>
      <c r="O1" s="2" t="inlineStr">
        <is>
          <t>2026 Actual / Forecast</t>
        </is>
      </c>
      <c r="AC1" s="32" t="inlineStr">
        <is>
          <t>2027 Plan</t>
        </is>
      </c>
      <c r="AK1" s="3" t="inlineStr">
        <is>
          <t>YoY</t>
        </is>
      </c>
      <c r="AL1" s="3" t="inlineStr">
        <is>
          <t>YoY</t>
        </is>
      </c>
    </row>
    <row r="2" ht="22" customHeight="1">
      <c r="B2" s="4" t="inlineStr">
        <is>
          <t>Jan</t>
        </is>
      </c>
      <c r="C2" s="4" t="inlineStr">
        <is>
          <t>Feb</t>
        </is>
      </c>
      <c r="D2" s="4" t="inlineStr">
        <is>
          <t>Mar</t>
        </is>
      </c>
      <c r="E2" s="4" t="inlineStr">
        <is>
          <t>Apr</t>
        </is>
      </c>
      <c r="F2" s="4" t="inlineStr">
        <is>
          <t>May</t>
        </is>
      </c>
      <c r="G2" s="4" t="inlineStr">
        <is>
          <t>Jun</t>
        </is>
      </c>
      <c r="H2" s="4" t="inlineStr">
        <is>
          <t>Jul</t>
        </is>
      </c>
      <c r="I2" s="4" t="inlineStr">
        <is>
          <t>Aug</t>
        </is>
      </c>
      <c r="J2" s="4" t="inlineStr">
        <is>
          <t>Sep</t>
        </is>
      </c>
      <c r="K2" s="4" t="inlineStr">
        <is>
          <t>Oct</t>
        </is>
      </c>
      <c r="L2" s="4" t="inlineStr">
        <is>
          <t>Nov</t>
        </is>
      </c>
      <c r="M2" s="4" t="inlineStr">
        <is>
          <t>Dec</t>
        </is>
      </c>
      <c r="N2" s="5" t="inlineStr">
        <is>
          <t>FY2025
Total</t>
        </is>
      </c>
      <c r="O2" s="4" t="inlineStr">
        <is>
          <t>Jan</t>
        </is>
      </c>
      <c r="P2" s="4" t="inlineStr">
        <is>
          <t>Feb</t>
        </is>
      </c>
      <c r="Q2" s="4" t="inlineStr">
        <is>
          <t>Mar</t>
        </is>
      </c>
      <c r="R2" s="4" t="inlineStr">
        <is>
          <t>Apr</t>
        </is>
      </c>
      <c r="S2" s="4" t="inlineStr">
        <is>
          <t>May</t>
        </is>
      </c>
      <c r="T2" s="4" t="inlineStr">
        <is>
          <t>Jun</t>
        </is>
      </c>
      <c r="U2" s="4" t="inlineStr">
        <is>
          <t>Jul</t>
        </is>
      </c>
      <c r="V2" s="4" t="inlineStr">
        <is>
          <t>Aug</t>
        </is>
      </c>
      <c r="W2" s="4" t="inlineStr">
        <is>
          <t>Sep</t>
        </is>
      </c>
      <c r="X2" s="4" t="inlineStr">
        <is>
          <t>Oct</t>
        </is>
      </c>
      <c r="Y2" s="4" t="inlineStr">
        <is>
          <t>Nov</t>
        </is>
      </c>
      <c r="Z2" s="4" t="inlineStr">
        <is>
          <t>Dec</t>
        </is>
      </c>
      <c r="AA2" s="4" t="inlineStr">
        <is>
          <t>YTD</t>
        </is>
      </c>
      <c r="AB2" s="5" t="inlineStr">
        <is>
          <t>FY2026
Outlook</t>
        </is>
      </c>
      <c r="AC2" s="4" t="inlineStr">
        <is>
          <t>Jan</t>
        </is>
      </c>
      <c r="AD2" s="4" t="inlineStr">
        <is>
          <t>Feb</t>
        </is>
      </c>
      <c r="AE2" s="4" t="inlineStr">
        <is>
          <t>Mar</t>
        </is>
      </c>
      <c r="AF2" s="4" t="inlineStr">
        <is>
          <t>Apr</t>
        </is>
      </c>
      <c r="AG2" s="4" t="inlineStr">
        <is>
          <t>May</t>
        </is>
      </c>
      <c r="AH2" s="4" t="inlineStr">
        <is>
          <t>Jun</t>
        </is>
      </c>
      <c r="AI2" s="33" t="inlineStr">
        <is>
          <t>Jul-Dec
Plan</t>
        </is>
      </c>
      <c r="AJ2" s="4" t="inlineStr">
        <is>
          <t>FY2027</t>
        </is>
      </c>
      <c r="AK2" s="6" t="inlineStr">
        <is>
          <t>25→26
%</t>
        </is>
      </c>
      <c r="AL2" s="6" t="inlineStr">
        <is>
          <t>26→27
%</t>
        </is>
      </c>
    </row>
    <row r="3" ht="15" customHeight="1">
      <c r="A3" s="7" t="inlineStr">
        <is>
          <t>INCOME</t>
        </is>
      </c>
    </row>
    <row r="4" ht="13" customHeight="1">
      <c r="A4" s="8" t="inlineStr">
        <is>
          <t xml:space="preserve">    Fee Income Regular</t>
        </is>
      </c>
      <c r="B4" s="9" t="n">
        <v>23814.44</v>
      </c>
      <c r="C4" s="9" t="n">
        <v>20657.57</v>
      </c>
      <c r="D4" s="9" t="n">
        <v>26472.4</v>
      </c>
      <c r="E4" s="9" t="n">
        <v>28682.3</v>
      </c>
      <c r="F4" s="9" t="n">
        <v>21069.85</v>
      </c>
      <c r="G4" s="9" t="n">
        <v>21588.68</v>
      </c>
      <c r="H4" s="9" t="n">
        <v>29637.32</v>
      </c>
      <c r="I4" s="9" t="n">
        <v>22500.55</v>
      </c>
      <c r="J4" s="9" t="n">
        <v>19945.64</v>
      </c>
      <c r="K4" s="9" t="n">
        <v>19659.5</v>
      </c>
      <c r="L4" s="9" t="n">
        <v>18229.14</v>
      </c>
      <c r="M4" s="9" t="n">
        <v>23118.77</v>
      </c>
      <c r="N4" s="9">
        <f>SUM(B4:M4)</f>
        <v/>
      </c>
      <c r="O4" s="9" t="n">
        <v>22240.66</v>
      </c>
      <c r="P4" s="9" t="n">
        <v>18321.22</v>
      </c>
      <c r="Q4" s="9" t="n">
        <v>22883.27999999999</v>
      </c>
      <c r="R4" s="9" t="n">
        <v>22685.93</v>
      </c>
      <c r="S4" s="9" t="n">
        <v>18910.69</v>
      </c>
      <c r="T4" s="9" t="n">
        <v>20776.58</v>
      </c>
      <c r="U4" s="9" t="n">
        <v>25818.48</v>
      </c>
      <c r="AA4" s="9">
        <f>SUM(O4:U4)</f>
        <v/>
      </c>
      <c r="AB4" s="9">
        <f>SUM(O4:Z4)</f>
        <v/>
      </c>
      <c r="AC4" s="9" t="n">
        <v>28315.98</v>
      </c>
      <c r="AD4" s="9" t="n">
        <v>26840.28</v>
      </c>
      <c r="AE4" s="9" t="n">
        <v>31507.8</v>
      </c>
      <c r="AF4" s="9" t="n">
        <v>30543.59</v>
      </c>
      <c r="AG4" s="9" t="n">
        <v>30885.6</v>
      </c>
      <c r="AH4" s="9" t="n">
        <v>33002.04</v>
      </c>
      <c r="AI4" s="34">
        <f>SUM(AC4:AH4)</f>
        <v/>
      </c>
      <c r="AJ4" s="9">
        <f>SUM(AC4:AH4)+AI4</f>
        <v/>
      </c>
      <c r="AK4" s="11">
        <f>IF(N4&lt;&gt;0,(AB4-N4)/ABS(N4),0)</f>
        <v/>
      </c>
      <c r="AL4" s="11">
        <f>IF(AB4&lt;&gt;0,(AJ4-AB4)/ABS(AB4),0)</f>
        <v/>
      </c>
    </row>
    <row r="5" ht="13" customHeight="1">
      <c r="A5" s="8" t="inlineStr">
        <is>
          <t xml:space="preserve">    EEEF Embedded</t>
        </is>
      </c>
      <c r="B5" s="9" t="n">
        <v>5791.72</v>
      </c>
      <c r="C5" s="9" t="n">
        <v>14479.3</v>
      </c>
      <c r="D5" s="9" t="n">
        <v>15684.58</v>
      </c>
      <c r="E5" s="9" t="n">
        <v>5185.26</v>
      </c>
      <c r="F5" s="9" t="n">
        <v>5185.26</v>
      </c>
      <c r="G5" s="9" t="n">
        <v>15608.08</v>
      </c>
      <c r="H5" s="9" t="n">
        <v>13375.26</v>
      </c>
      <c r="I5" s="9" t="n">
        <v>0</v>
      </c>
      <c r="J5" s="9" t="n">
        <v>5986.21</v>
      </c>
      <c r="K5" s="9" t="n">
        <v>12205.6</v>
      </c>
      <c r="L5" s="9" t="n">
        <v>12205.6</v>
      </c>
      <c r="M5" s="9" t="n">
        <v>16957.76</v>
      </c>
      <c r="N5" s="9">
        <f>SUM(B5:M5)</f>
        <v/>
      </c>
      <c r="O5" s="9" t="n">
        <v>6629.51</v>
      </c>
      <c r="P5" s="9" t="n">
        <v>17491.45</v>
      </c>
      <c r="Q5" s="9" t="n">
        <v>17491.45</v>
      </c>
      <c r="R5" s="9" t="n">
        <v>12006.04</v>
      </c>
      <c r="S5" s="9" t="n">
        <v>12006.05</v>
      </c>
      <c r="T5" s="9" t="n">
        <v>12927.15</v>
      </c>
      <c r="U5" s="9" t="n">
        <v>12313.08</v>
      </c>
      <c r="AA5" s="9">
        <f>SUM(O5:U5)</f>
        <v/>
      </c>
      <c r="AB5" s="9">
        <f>SUM(O5:Z5)</f>
        <v/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34">
        <f>SUM(AC5:AH5)</f>
        <v/>
      </c>
      <c r="AJ5" s="9">
        <f>SUM(AC5:AH5)+AI5</f>
        <v/>
      </c>
      <c r="AK5" s="11">
        <f>IF(N5&lt;&gt;0,(AB5-N5)/ABS(N5),0)</f>
        <v/>
      </c>
      <c r="AL5" s="11">
        <f>IF(AB5&lt;&gt;0,(AJ5-AB5)/ABS(AB5),0)</f>
        <v/>
      </c>
    </row>
    <row r="6" ht="13" customHeight="1">
      <c r="A6" s="8" t="inlineStr">
        <is>
          <t xml:space="preserve">    Other Income</t>
        </is>
      </c>
      <c r="B6" s="9" t="n">
        <v>200</v>
      </c>
      <c r="C6" s="9" t="n">
        <v>200</v>
      </c>
      <c r="D6" s="9" t="n">
        <v>300</v>
      </c>
      <c r="E6" s="9" t="n">
        <v>0</v>
      </c>
      <c r="F6" s="9" t="n">
        <v>300</v>
      </c>
      <c r="G6" s="9" t="n">
        <v>300</v>
      </c>
      <c r="H6" s="9" t="n">
        <v>150</v>
      </c>
      <c r="I6" s="9" t="n">
        <v>0</v>
      </c>
      <c r="J6" s="9" t="n">
        <v>0</v>
      </c>
      <c r="K6" s="9" t="n">
        <v>150</v>
      </c>
      <c r="L6" s="9" t="n">
        <v>150</v>
      </c>
      <c r="M6" s="9" t="n">
        <v>150</v>
      </c>
      <c r="N6" s="9">
        <f>SUM(B6:M6)</f>
        <v/>
      </c>
      <c r="O6" s="9" t="n">
        <v>650</v>
      </c>
      <c r="P6" s="9" t="n">
        <v>150</v>
      </c>
      <c r="Q6" s="9" t="n">
        <v>150</v>
      </c>
      <c r="R6" s="9" t="n">
        <v>150</v>
      </c>
      <c r="S6" s="9" t="n">
        <v>150</v>
      </c>
      <c r="T6" s="9" t="n">
        <v>150</v>
      </c>
      <c r="U6" s="9" t="n">
        <v>150</v>
      </c>
      <c r="AA6" s="9">
        <f>SUM(O6:U6)</f>
        <v/>
      </c>
      <c r="AB6" s="9">
        <f>SUM(O6:Z6)</f>
        <v/>
      </c>
      <c r="AC6" s="9" t="n">
        <v>0</v>
      </c>
      <c r="AD6" s="9" t="n">
        <v>0</v>
      </c>
      <c r="AE6" s="9" t="n">
        <v>0</v>
      </c>
      <c r="AF6" s="9" t="n">
        <v>0</v>
      </c>
      <c r="AG6" s="9" t="n">
        <v>0</v>
      </c>
      <c r="AH6" s="9" t="n">
        <v>0</v>
      </c>
      <c r="AI6" s="34">
        <f>SUM(AC6:AH6)</f>
        <v/>
      </c>
      <c r="AJ6" s="9">
        <f>SUM(AC6:AH6)+AI6</f>
        <v/>
      </c>
      <c r="AK6" s="11">
        <f>IF(N6&lt;&gt;0,(AB6-N6)/ABS(N6),0)</f>
        <v/>
      </c>
      <c r="AL6" s="11">
        <f>IF(AB6&lt;&gt;0,(AJ6-AB6)/ABS(AB6),0)</f>
        <v/>
      </c>
    </row>
    <row r="7" ht="13" customHeight="1">
      <c r="A7" s="12" t="inlineStr">
        <is>
          <t>Total Income</t>
        </is>
      </c>
      <c r="B7" s="13">
        <f>B4+B5+B6</f>
        <v/>
      </c>
      <c r="C7" s="13">
        <f>C4+C5+C6</f>
        <v/>
      </c>
      <c r="D7" s="13">
        <f>D4+D5+D6</f>
        <v/>
      </c>
      <c r="E7" s="13">
        <f>E4+E5+E6</f>
        <v/>
      </c>
      <c r="F7" s="13">
        <f>F4+F5+F6</f>
        <v/>
      </c>
      <c r="G7" s="13">
        <f>G4+G5+G6</f>
        <v/>
      </c>
      <c r="H7" s="13">
        <f>H4+H5+H6</f>
        <v/>
      </c>
      <c r="I7" s="13">
        <f>I4+I5+I6</f>
        <v/>
      </c>
      <c r="J7" s="13">
        <f>J4+J5+J6</f>
        <v/>
      </c>
      <c r="K7" s="13">
        <f>K4+K5+K6</f>
        <v/>
      </c>
      <c r="L7" s="13">
        <f>L4+L5+L6</f>
        <v/>
      </c>
      <c r="M7" s="13">
        <f>M4+M5+M6</f>
        <v/>
      </c>
      <c r="N7" s="13">
        <f>N4+N5+N6</f>
        <v/>
      </c>
      <c r="O7" s="13">
        <f>O4+O5+O6</f>
        <v/>
      </c>
      <c r="P7" s="13">
        <f>P4+P5+P6</f>
        <v/>
      </c>
      <c r="Q7" s="13">
        <f>Q4+Q5+Q6</f>
        <v/>
      </c>
      <c r="R7" s="13">
        <f>R4+R5+R6</f>
        <v/>
      </c>
      <c r="S7" s="13">
        <f>S4+S5+S6</f>
        <v/>
      </c>
      <c r="T7" s="13">
        <f>T4+T5+T6</f>
        <v/>
      </c>
      <c r="U7" s="13">
        <f>U4+U5+U6</f>
        <v/>
      </c>
      <c r="V7" s="13">
        <f>V4+V5+V6</f>
        <v/>
      </c>
      <c r="W7" s="13">
        <f>W4+W5+W6</f>
        <v/>
      </c>
      <c r="X7" s="13">
        <f>X4+X5+X6</f>
        <v/>
      </c>
      <c r="Y7" s="13">
        <f>Y4+Y5+Y6</f>
        <v/>
      </c>
      <c r="Z7" s="13">
        <f>Z4+Z5+Z6</f>
        <v/>
      </c>
      <c r="AA7" s="13">
        <f>AA4+AA5+AA6</f>
        <v/>
      </c>
      <c r="AB7" s="13">
        <f>AB4+AB5+AB6</f>
        <v/>
      </c>
      <c r="AC7" s="13">
        <f>AC4+AC5+AC6</f>
        <v/>
      </c>
      <c r="AD7" s="13">
        <f>AD4+AD5+AD6</f>
        <v/>
      </c>
      <c r="AE7" s="13">
        <f>AE4+AE5+AE6</f>
        <v/>
      </c>
      <c r="AF7" s="13">
        <f>AF4+AF5+AF6</f>
        <v/>
      </c>
      <c r="AG7" s="13">
        <f>AG4+AG5+AG6</f>
        <v/>
      </c>
      <c r="AH7" s="13">
        <f>AH4+AH5+AH6</f>
        <v/>
      </c>
      <c r="AI7" s="13">
        <f>AI4+AI5+AI6</f>
        <v/>
      </c>
      <c r="AJ7" s="13">
        <f>AJ4+AJ5+AJ6</f>
        <v/>
      </c>
      <c r="AK7" s="11">
        <f>IF(N7&lt;&gt;0,(AB7-N7)/ABS(N7),0)</f>
        <v/>
      </c>
      <c r="AL7" s="11">
        <f>IF(AB7&lt;&gt;0,(AJ7-AB7)/ABS(AB7),0)</f>
        <v/>
      </c>
    </row>
    <row r="8" ht="5" customHeight="1"/>
    <row r="9" ht="15" customHeight="1">
      <c r="A9" s="7" t="inlineStr">
        <is>
          <t>DIRECT COSTS</t>
        </is>
      </c>
    </row>
    <row r="10" ht="13" customHeight="1">
      <c r="A10" s="14" t="inlineStr">
        <is>
          <t>Personnel</t>
        </is>
      </c>
    </row>
    <row r="11" ht="13" customHeight="1">
      <c r="A11" s="15" t="inlineStr">
        <is>
          <t xml:space="preserve">    Nursery Salaries</t>
        </is>
      </c>
      <c r="B11" s="16" t="n">
        <v>15964.89</v>
      </c>
      <c r="C11" s="16" t="n">
        <v>15432.95</v>
      </c>
      <c r="D11" s="16" t="n">
        <v>16980.77</v>
      </c>
      <c r="E11" s="16" t="n">
        <v>19492.28</v>
      </c>
      <c r="F11" s="16" t="n">
        <v>19492.07</v>
      </c>
      <c r="G11" s="16" t="n">
        <v>16093.17</v>
      </c>
      <c r="H11" s="16" t="n">
        <v>19196.5</v>
      </c>
      <c r="I11" s="16" t="n">
        <v>14959.37</v>
      </c>
      <c r="J11" s="16" t="n">
        <v>19873.92</v>
      </c>
      <c r="K11" s="16" t="n">
        <v>18038.34</v>
      </c>
      <c r="L11" s="16" t="n">
        <v>18266.77</v>
      </c>
      <c r="M11" s="16" t="n">
        <v>21533.17</v>
      </c>
      <c r="N11" s="16">
        <f>SUM(B11:M11)</f>
        <v/>
      </c>
      <c r="O11" s="16" t="n">
        <v>19941.96</v>
      </c>
      <c r="P11" s="16" t="n">
        <v>18433.95</v>
      </c>
      <c r="Q11" s="16" t="n">
        <v>16301.53</v>
      </c>
      <c r="R11" s="16" t="n">
        <v>22374.13</v>
      </c>
      <c r="S11" s="16" t="n">
        <v>22592.61</v>
      </c>
      <c r="T11" s="16" t="n">
        <v>21699.26</v>
      </c>
      <c r="U11" s="16" t="n">
        <v>22510.48</v>
      </c>
      <c r="AA11" s="16">
        <f>SUM(O11:U11)</f>
        <v/>
      </c>
      <c r="AB11" s="16">
        <f>SUM(O11:Z11)</f>
        <v/>
      </c>
      <c r="AC11" s="16" t="n">
        <v>22510.48</v>
      </c>
      <c r="AD11" s="16" t="n">
        <v>22510.48</v>
      </c>
      <c r="AE11" s="16" t="n">
        <v>22510.48</v>
      </c>
      <c r="AF11" s="16" t="n">
        <v>22510.48</v>
      </c>
      <c r="AG11" s="16" t="n">
        <v>22510.48</v>
      </c>
      <c r="AH11" s="16" t="n">
        <v>22510.48</v>
      </c>
      <c r="AI11" s="34">
        <f>SUM(AC11:AH11)</f>
        <v/>
      </c>
      <c r="AJ11" s="16">
        <f>SUM(AC11:AH11)+AI11</f>
        <v/>
      </c>
      <c r="AK11" s="11">
        <f>IF(N11&lt;&gt;0,(AB11-N11)/ABS(N11),0)</f>
        <v/>
      </c>
      <c r="AL11" s="11">
        <f>IF(AB11&lt;&gt;0,(AJ11-AB11)/ABS(AB11),0)</f>
        <v/>
      </c>
    </row>
    <row r="12" ht="13" customHeight="1">
      <c r="A12" s="15" t="inlineStr">
        <is>
          <t xml:space="preserve">    Nursery NI</t>
        </is>
      </c>
      <c r="B12" s="16" t="n">
        <v>1212.08</v>
      </c>
      <c r="C12" s="16" t="n">
        <v>1115.32</v>
      </c>
      <c r="D12" s="16" t="n">
        <v>1300.33</v>
      </c>
      <c r="E12" s="16" t="n">
        <v>2055.72</v>
      </c>
      <c r="F12" s="16" t="n">
        <v>1957.17</v>
      </c>
      <c r="G12" s="16" t="n">
        <v>1471.56</v>
      </c>
      <c r="H12" s="16" t="n">
        <v>1976.99</v>
      </c>
      <c r="I12" s="16" t="n">
        <v>1386.1</v>
      </c>
      <c r="J12" s="16" t="n">
        <v>2097.99</v>
      </c>
      <c r="K12" s="16" t="n">
        <v>1993.75</v>
      </c>
      <c r="L12" s="16" t="n">
        <v>1962.85</v>
      </c>
      <c r="M12" s="16" t="n">
        <v>2264.02</v>
      </c>
      <c r="N12" s="16">
        <f>SUM(B12:M12)</f>
        <v/>
      </c>
      <c r="O12" s="16" t="n">
        <v>2075.7</v>
      </c>
      <c r="P12" s="16" t="n">
        <v>2156.24</v>
      </c>
      <c r="Q12" s="16" t="n">
        <v>2109.88</v>
      </c>
      <c r="R12" s="16" t="n">
        <v>2614.86</v>
      </c>
      <c r="S12" s="16" t="n">
        <v>2663.12</v>
      </c>
      <c r="T12" s="16" t="n">
        <v>2437.78</v>
      </c>
      <c r="U12" s="16" t="n">
        <v>2763.77</v>
      </c>
      <c r="AA12" s="16">
        <f>SUM(O12:U12)</f>
        <v/>
      </c>
      <c r="AB12" s="16">
        <f>SUM(O12:Z12)</f>
        <v/>
      </c>
      <c r="AC12" s="16" t="n">
        <v>2763.77</v>
      </c>
      <c r="AD12" s="16" t="n">
        <v>2763.77</v>
      </c>
      <c r="AE12" s="16" t="n">
        <v>2763.77</v>
      </c>
      <c r="AF12" s="16" t="n">
        <v>2763.77</v>
      </c>
      <c r="AG12" s="16" t="n">
        <v>2763.77</v>
      </c>
      <c r="AH12" s="16" t="n">
        <v>2763.77</v>
      </c>
      <c r="AI12" s="34">
        <f>SUM(AC12:AH12)</f>
        <v/>
      </c>
      <c r="AJ12" s="16">
        <f>SUM(AC12:AH12)+AI12</f>
        <v/>
      </c>
      <c r="AK12" s="11">
        <f>IF(N12&lt;&gt;0,(AB12-N12)/ABS(N12),0)</f>
        <v/>
      </c>
      <c r="AL12" s="11">
        <f>IF(AB12&lt;&gt;0,(AJ12-AB12)/ABS(AB12),0)</f>
        <v/>
      </c>
    </row>
    <row r="13" ht="13" customHeight="1">
      <c r="A13" s="15" t="inlineStr">
        <is>
          <t xml:space="preserve">    Nursery Pension</t>
        </is>
      </c>
      <c r="B13" s="16" t="n">
        <v>216.18</v>
      </c>
      <c r="C13" s="16" t="n">
        <v>203.88</v>
      </c>
      <c r="D13" s="16" t="n">
        <v>196.57</v>
      </c>
      <c r="E13" s="16" t="n">
        <v>233.26</v>
      </c>
      <c r="F13" s="16" t="n">
        <v>228.75</v>
      </c>
      <c r="G13" s="16" t="n">
        <v>190.93</v>
      </c>
      <c r="H13" s="16" t="n">
        <v>276.28</v>
      </c>
      <c r="I13" s="16" t="n">
        <v>243.1</v>
      </c>
      <c r="J13" s="16" t="n">
        <v>298.73</v>
      </c>
      <c r="K13" s="16" t="n">
        <v>272.53</v>
      </c>
      <c r="L13" s="16" t="n">
        <v>352.17</v>
      </c>
      <c r="M13" s="16" t="n">
        <v>373.97</v>
      </c>
      <c r="N13" s="16">
        <f>SUM(B13:M13)</f>
        <v/>
      </c>
      <c r="O13" s="16" t="n">
        <v>390.39</v>
      </c>
      <c r="P13" s="16" t="n">
        <v>333.89</v>
      </c>
      <c r="Q13" s="16" t="n">
        <v>284.46</v>
      </c>
      <c r="R13" s="16" t="n">
        <v>420.57</v>
      </c>
      <c r="S13" s="16" t="n">
        <v>427.46</v>
      </c>
      <c r="T13" s="16" t="n">
        <v>446.28</v>
      </c>
      <c r="U13" s="16" t="n">
        <v>478.22</v>
      </c>
      <c r="AA13" s="16">
        <f>SUM(O13:U13)</f>
        <v/>
      </c>
      <c r="AB13" s="16">
        <f>SUM(O13:Z13)</f>
        <v/>
      </c>
      <c r="AC13" s="16" t="n">
        <v>478.22</v>
      </c>
      <c r="AD13" s="16" t="n">
        <v>478.22</v>
      </c>
      <c r="AE13" s="16" t="n">
        <v>478.22</v>
      </c>
      <c r="AF13" s="16" t="n">
        <v>478.22</v>
      </c>
      <c r="AG13" s="16" t="n">
        <v>478.22</v>
      </c>
      <c r="AH13" s="16" t="n">
        <v>478.22</v>
      </c>
      <c r="AI13" s="34">
        <f>SUM(AC13:AH13)</f>
        <v/>
      </c>
      <c r="AJ13" s="16">
        <f>SUM(AC13:AH13)+AI13</f>
        <v/>
      </c>
      <c r="AK13" s="11">
        <f>IF(N13&lt;&gt;0,(AB13-N13)/ABS(N13),0)</f>
        <v/>
      </c>
      <c r="AL13" s="11">
        <f>IF(AB13&lt;&gt;0,(AJ13-AB13)/ABS(AB13),0)</f>
        <v/>
      </c>
    </row>
    <row r="14" ht="13" customHeight="1">
      <c r="A14" s="15" t="inlineStr">
        <is>
          <t xml:space="preserve">    Uniform</t>
        </is>
      </c>
      <c r="B14" s="16" t="n">
        <v>0</v>
      </c>
      <c r="C14" s="16" t="n">
        <v>524.28</v>
      </c>
      <c r="D14" s="16" t="n">
        <v>0</v>
      </c>
      <c r="E14" s="16" t="n">
        <v>0</v>
      </c>
      <c r="F14" s="16" t="n">
        <v>100.14</v>
      </c>
      <c r="G14" s="16" t="n">
        <v>100.14</v>
      </c>
      <c r="H14" s="16" t="n">
        <v>0</v>
      </c>
      <c r="I14" s="16" t="n">
        <v>0</v>
      </c>
      <c r="J14" s="16" t="n">
        <v>262.56</v>
      </c>
      <c r="K14" s="16" t="n">
        <v>0</v>
      </c>
      <c r="L14" s="16" t="n">
        <v>0</v>
      </c>
      <c r="M14" s="16" t="n">
        <v>100.14</v>
      </c>
      <c r="N14" s="16">
        <f>SUM(B14:M14)</f>
        <v/>
      </c>
      <c r="O14" s="16" t="n">
        <v>6.99</v>
      </c>
      <c r="P14" s="16" t="n">
        <v>0</v>
      </c>
      <c r="Q14" s="16" t="n">
        <v>0</v>
      </c>
      <c r="R14" s="16" t="n">
        <v>133.87</v>
      </c>
      <c r="S14" s="16" t="n">
        <v>0</v>
      </c>
      <c r="T14" s="16" t="n">
        <v>0</v>
      </c>
      <c r="U14" s="16" t="n">
        <v>0</v>
      </c>
      <c r="AA14" s="16">
        <f>SUM(O14:U14)</f>
        <v/>
      </c>
      <c r="AB14" s="16">
        <f>SUM(O14:Z14)</f>
        <v/>
      </c>
      <c r="AC14" s="16" t="n">
        <v>6.99</v>
      </c>
      <c r="AD14" s="16" t="n">
        <v>6.99</v>
      </c>
      <c r="AE14" s="16" t="n">
        <v>6.99</v>
      </c>
      <c r="AF14" s="16" t="n">
        <v>6.99</v>
      </c>
      <c r="AG14" s="16" t="n">
        <v>6.99</v>
      </c>
      <c r="AH14" s="16" t="n">
        <v>6.99</v>
      </c>
      <c r="AI14" s="34">
        <f>SUM(AC14:AH14)</f>
        <v/>
      </c>
      <c r="AJ14" s="16">
        <f>SUM(AC14:AH14)+AI14</f>
        <v/>
      </c>
      <c r="AK14" s="11">
        <f>IF(N14&lt;&gt;0,(AB14-N14)/ABS(N14),0)</f>
        <v/>
      </c>
      <c r="AL14" s="11">
        <f>IF(AB14&lt;&gt;0,(AJ14-AB14)/ABS(AB14),0)</f>
        <v/>
      </c>
    </row>
    <row r="15" ht="13" customHeight="1">
      <c r="A15" s="15" t="inlineStr">
        <is>
          <t xml:space="preserve">    Training</t>
        </is>
      </c>
      <c r="B15" s="16" t="n">
        <v>48</v>
      </c>
      <c r="C15" s="16" t="n">
        <v>78</v>
      </c>
      <c r="D15" s="16" t="n">
        <v>0</v>
      </c>
      <c r="E15" s="16" t="n">
        <v>0</v>
      </c>
      <c r="F15" s="16" t="n">
        <v>0</v>
      </c>
      <c r="G15" s="16" t="n">
        <v>72</v>
      </c>
      <c r="H15" s="16" t="n">
        <v>0</v>
      </c>
      <c r="I15" s="16" t="n">
        <v>0</v>
      </c>
      <c r="J15" s="16" t="n">
        <v>216</v>
      </c>
      <c r="K15" s="16" t="n">
        <v>916</v>
      </c>
      <c r="L15" s="16" t="n">
        <v>10</v>
      </c>
      <c r="M15" s="16" t="n">
        <v>686.49</v>
      </c>
      <c r="N15" s="16">
        <f>SUM(B15:M15)</f>
        <v/>
      </c>
      <c r="O15" s="16" t="n">
        <v>388.79</v>
      </c>
      <c r="P15" s="16" t="n">
        <v>0</v>
      </c>
      <c r="Q15" s="16" t="n">
        <v>24</v>
      </c>
      <c r="R15" s="16" t="n">
        <v>0</v>
      </c>
      <c r="S15" s="16" t="n">
        <v>0</v>
      </c>
      <c r="T15" s="16" t="n">
        <v>0</v>
      </c>
      <c r="U15" s="16" t="n">
        <v>0</v>
      </c>
      <c r="AA15" s="16">
        <f>SUM(O15:U15)</f>
        <v/>
      </c>
      <c r="AB15" s="16">
        <f>SUM(O15:Z15)</f>
        <v/>
      </c>
      <c r="AC15" s="16" t="n">
        <v>100</v>
      </c>
      <c r="AD15" s="16" t="n">
        <v>100</v>
      </c>
      <c r="AE15" s="16" t="n">
        <v>100</v>
      </c>
      <c r="AF15" s="16" t="n">
        <v>100</v>
      </c>
      <c r="AG15" s="16" t="n">
        <v>100</v>
      </c>
      <c r="AH15" s="16" t="n">
        <v>100</v>
      </c>
      <c r="AI15" s="34">
        <f>SUM(AC15:AH15)</f>
        <v/>
      </c>
      <c r="AJ15" s="16">
        <f>SUM(AC15:AH15)+AI15</f>
        <v/>
      </c>
      <c r="AK15" s="11">
        <f>IF(N15&lt;&gt;0,(AB15-N15)/ABS(N15),0)</f>
        <v/>
      </c>
      <c r="AL15" s="11">
        <f>IF(AB15&lt;&gt;0,(AJ15-AB15)/ABS(AB15),0)</f>
        <v/>
      </c>
    </row>
    <row r="16" ht="13" customHeight="1">
      <c r="A16" s="15" t="inlineStr">
        <is>
          <t xml:space="preserve">    Staff Welfare</t>
        </is>
      </c>
      <c r="B16" s="16" t="n">
        <v>10</v>
      </c>
      <c r="C16" s="16" t="n">
        <v>108.63</v>
      </c>
      <c r="D16" s="16" t="n">
        <v>61.08</v>
      </c>
      <c r="E16" s="16" t="n">
        <v>109.86</v>
      </c>
      <c r="F16" s="16" t="n">
        <v>137.21</v>
      </c>
      <c r="G16" s="16" t="n">
        <v>52.06</v>
      </c>
      <c r="H16" s="16" t="n">
        <v>92.56999999999999</v>
      </c>
      <c r="I16" s="16" t="n">
        <v>92.28</v>
      </c>
      <c r="J16" s="16" t="n">
        <v>92.52</v>
      </c>
      <c r="K16" s="16" t="n">
        <v>68.13</v>
      </c>
      <c r="L16" s="16" t="n">
        <v>161.98</v>
      </c>
      <c r="M16" s="16" t="n">
        <v>194.07</v>
      </c>
      <c r="N16" s="16">
        <f>SUM(B16:M16)</f>
        <v/>
      </c>
      <c r="O16" s="16" t="n">
        <v>125.23</v>
      </c>
      <c r="P16" s="16" t="n">
        <v>203.51</v>
      </c>
      <c r="Q16" s="16" t="n">
        <v>281.37</v>
      </c>
      <c r="R16" s="16" t="n">
        <v>239.69</v>
      </c>
      <c r="S16" s="16" t="n">
        <v>156.06</v>
      </c>
      <c r="T16" s="16" t="n">
        <v>149.88</v>
      </c>
      <c r="U16" s="16" t="n">
        <v>224.47</v>
      </c>
      <c r="AA16" s="16">
        <f>SUM(O16:U16)</f>
        <v/>
      </c>
      <c r="AB16" s="16">
        <f>SUM(O16:Z16)</f>
        <v/>
      </c>
      <c r="AC16" s="16" t="n">
        <v>150</v>
      </c>
      <c r="AD16" s="16" t="n">
        <v>150</v>
      </c>
      <c r="AE16" s="16" t="n">
        <v>150</v>
      </c>
      <c r="AF16" s="16" t="n">
        <v>150</v>
      </c>
      <c r="AG16" s="16" t="n">
        <v>150</v>
      </c>
      <c r="AH16" s="16" t="n">
        <v>150</v>
      </c>
      <c r="AI16" s="34">
        <f>SUM(AC16:AH16)</f>
        <v/>
      </c>
      <c r="AJ16" s="16">
        <f>SUM(AC16:AH16)+AI16</f>
        <v/>
      </c>
      <c r="AK16" s="11">
        <f>IF(N16&lt;&gt;0,(AB16-N16)/ABS(N16),0)</f>
        <v/>
      </c>
      <c r="AL16" s="11">
        <f>IF(AB16&lt;&gt;0,(AJ16-AB16)/ABS(AB16),0)</f>
        <v/>
      </c>
    </row>
    <row r="17" ht="13" customHeight="1">
      <c r="A17" s="15" t="inlineStr">
        <is>
          <t xml:space="preserve">    Recruitment</t>
        </is>
      </c>
      <c r="B17" s="16" t="n">
        <v>0</v>
      </c>
      <c r="C17" s="16" t="n">
        <v>5040</v>
      </c>
      <c r="D17" s="16" t="n">
        <v>0</v>
      </c>
      <c r="E17" s="16" t="n">
        <v>0</v>
      </c>
      <c r="F17" s="16" t="n">
        <v>0</v>
      </c>
      <c r="G17" s="16" t="n">
        <v>0</v>
      </c>
      <c r="H17" s="16" t="n">
        <v>0</v>
      </c>
      <c r="I17" s="16" t="n">
        <v>0</v>
      </c>
      <c r="J17" s="16" t="n">
        <v>0</v>
      </c>
      <c r="K17" s="16" t="n">
        <v>0</v>
      </c>
      <c r="L17" s="16" t="n">
        <v>0</v>
      </c>
      <c r="M17" s="16" t="n">
        <v>3650.4</v>
      </c>
      <c r="N17" s="16">
        <f>SUM(B17:M17)</f>
        <v/>
      </c>
      <c r="O17" s="16" t="n">
        <v>0</v>
      </c>
      <c r="P17" s="16" t="n">
        <v>0</v>
      </c>
      <c r="Q17" s="16" t="n">
        <v>0</v>
      </c>
      <c r="R17" s="16" t="n">
        <v>0</v>
      </c>
      <c r="S17" s="16" t="n">
        <v>0</v>
      </c>
      <c r="T17" s="16" t="n">
        <v>0</v>
      </c>
      <c r="U17" s="16" t="n">
        <v>0</v>
      </c>
      <c r="V17" s="16" t="n">
        <v>0</v>
      </c>
      <c r="W17" s="16" t="n">
        <v>0</v>
      </c>
      <c r="X17" s="16" t="n">
        <v>0</v>
      </c>
      <c r="Y17" s="16" t="n">
        <v>0</v>
      </c>
      <c r="Z17" s="16" t="n">
        <v>0</v>
      </c>
      <c r="AA17" s="16">
        <f>SUM(O17:U17)</f>
        <v/>
      </c>
      <c r="AB17" s="16">
        <f>SUM(O17:Z17)</f>
        <v/>
      </c>
      <c r="AC17" s="16" t="n">
        <v>0</v>
      </c>
      <c r="AD17" s="16" t="n">
        <v>0</v>
      </c>
      <c r="AE17" s="16" t="n">
        <v>0</v>
      </c>
      <c r="AF17" s="16" t="n">
        <v>0</v>
      </c>
      <c r="AG17" s="16" t="n">
        <v>0</v>
      </c>
      <c r="AH17" s="16" t="n">
        <v>0</v>
      </c>
      <c r="AI17" s="34">
        <f>SUM(AC17:AH17)</f>
        <v/>
      </c>
      <c r="AJ17" s="16">
        <f>SUM(AC17:AH17)+AI17</f>
        <v/>
      </c>
      <c r="AK17" s="11">
        <f>IF(N17&lt;&gt;0,(AB17-N17)/ABS(N17),0)</f>
        <v/>
      </c>
      <c r="AL17" s="11">
        <f>IF(AB17&lt;&gt;0,(AJ17-AB17)/ABS(AB17),0)</f>
        <v/>
      </c>
    </row>
    <row r="18" ht="13" customHeight="1">
      <c r="A18" s="15" t="inlineStr">
        <is>
          <t xml:space="preserve">    Rewards &amp; Recognition</t>
        </is>
      </c>
      <c r="B18" s="16" t="n">
        <v>0</v>
      </c>
      <c r="C18" s="16" t="n">
        <v>0</v>
      </c>
      <c r="D18" s="16" t="n">
        <v>0</v>
      </c>
      <c r="E18" s="16" t="n">
        <v>0</v>
      </c>
      <c r="F18" s="16" t="n">
        <v>0</v>
      </c>
      <c r="G18" s="16" t="n">
        <v>0</v>
      </c>
      <c r="H18" s="16" t="n">
        <v>10</v>
      </c>
      <c r="I18" s="16" t="n">
        <v>10</v>
      </c>
      <c r="J18" s="16" t="n">
        <v>0</v>
      </c>
      <c r="K18" s="16" t="n">
        <v>0</v>
      </c>
      <c r="L18" s="16" t="n">
        <v>0</v>
      </c>
      <c r="M18" s="16" t="n">
        <v>12.99</v>
      </c>
      <c r="N18" s="16">
        <f>SUM(B18:M18)</f>
        <v/>
      </c>
      <c r="O18" s="16" t="n">
        <v>0</v>
      </c>
      <c r="P18" s="16" t="n">
        <v>0</v>
      </c>
      <c r="Q18" s="16" t="n">
        <v>0</v>
      </c>
      <c r="R18" s="16" t="n">
        <v>0</v>
      </c>
      <c r="S18" s="16" t="n">
        <v>0</v>
      </c>
      <c r="T18" s="16" t="n">
        <v>35.95</v>
      </c>
      <c r="U18" s="16" t="n">
        <v>66.90000000000001</v>
      </c>
      <c r="AA18" s="16">
        <f>SUM(O18:U18)</f>
        <v/>
      </c>
      <c r="AB18" s="16">
        <f>SUM(O18:Z18)</f>
        <v/>
      </c>
      <c r="AC18" s="16" t="n">
        <v>42</v>
      </c>
      <c r="AD18" s="16" t="n">
        <v>42</v>
      </c>
      <c r="AE18" s="16" t="n">
        <v>42</v>
      </c>
      <c r="AF18" s="16" t="n">
        <v>42</v>
      </c>
      <c r="AG18" s="16" t="n">
        <v>42</v>
      </c>
      <c r="AH18" s="16" t="n">
        <v>42</v>
      </c>
      <c r="AI18" s="34">
        <f>SUM(AC18:AH18)</f>
        <v/>
      </c>
      <c r="AJ18" s="16">
        <f>SUM(AC18:AH18)+AI18</f>
        <v/>
      </c>
      <c r="AK18" s="11">
        <f>IF(N18&lt;&gt;0,(AB18-N18)/ABS(N18),0)</f>
        <v/>
      </c>
      <c r="AL18" s="11">
        <f>IF(AB18&lt;&gt;0,(AJ18-AB18)/ABS(AB18),0)</f>
        <v/>
      </c>
    </row>
    <row r="19" ht="13" customHeight="1">
      <c r="A19" s="15" t="inlineStr">
        <is>
          <t xml:space="preserve">    Temps</t>
        </is>
      </c>
      <c r="B19" s="16" t="n">
        <v>0</v>
      </c>
      <c r="C19" s="16" t="n">
        <v>0</v>
      </c>
      <c r="D19" s="16" t="n">
        <v>0</v>
      </c>
      <c r="E19" s="16" t="n">
        <v>0</v>
      </c>
      <c r="F19" s="16" t="n">
        <v>0</v>
      </c>
      <c r="G19" s="16" t="n">
        <v>0</v>
      </c>
      <c r="H19" s="16" t="n">
        <v>0</v>
      </c>
      <c r="I19" s="16" t="n">
        <v>0</v>
      </c>
      <c r="J19" s="16" t="n">
        <v>0</v>
      </c>
      <c r="K19" s="16" t="n">
        <v>0</v>
      </c>
      <c r="L19" s="16" t="n">
        <v>0</v>
      </c>
      <c r="M19" s="16" t="n">
        <v>0</v>
      </c>
      <c r="N19" s="16">
        <f>SUM(B19:M19)</f>
        <v/>
      </c>
      <c r="O19" s="16" t="n">
        <v>0</v>
      </c>
      <c r="P19" s="16" t="n">
        <v>0</v>
      </c>
      <c r="Q19" s="16" t="n">
        <v>0</v>
      </c>
      <c r="R19" s="16" t="n">
        <v>0</v>
      </c>
      <c r="S19" s="16" t="n">
        <v>0</v>
      </c>
      <c r="T19" s="16" t="n">
        <v>0</v>
      </c>
      <c r="U19" s="16" t="n">
        <v>0</v>
      </c>
      <c r="V19" s="16" t="n">
        <v>0</v>
      </c>
      <c r="W19" s="16" t="n">
        <v>0</v>
      </c>
      <c r="X19" s="16" t="n">
        <v>0</v>
      </c>
      <c r="Y19" s="16" t="n">
        <v>0</v>
      </c>
      <c r="Z19" s="16" t="n">
        <v>0</v>
      </c>
      <c r="AA19" s="16">
        <f>SUM(O19:U19)</f>
        <v/>
      </c>
      <c r="AB19" s="16">
        <f>SUM(O19:Z19)</f>
        <v/>
      </c>
      <c r="AC19" s="16" t="n">
        <v>0</v>
      </c>
      <c r="AD19" s="16" t="n">
        <v>0</v>
      </c>
      <c r="AE19" s="16" t="n">
        <v>0</v>
      </c>
      <c r="AF19" s="16" t="n">
        <v>0</v>
      </c>
      <c r="AG19" s="16" t="n">
        <v>0</v>
      </c>
      <c r="AH19" s="16" t="n">
        <v>0</v>
      </c>
      <c r="AI19" s="34">
        <f>SUM(AC19:AH19)</f>
        <v/>
      </c>
      <c r="AJ19" s="16">
        <f>SUM(AC19:AH19)+AI19</f>
        <v/>
      </c>
      <c r="AK19" s="11">
        <f>IF(N19&lt;&gt;0,(AB19-N19)/ABS(N19),0)</f>
        <v/>
      </c>
      <c r="AL19" s="11">
        <f>IF(AB19&lt;&gt;0,(AJ19-AB19)/ABS(AB19),0)</f>
        <v/>
      </c>
    </row>
    <row r="20" ht="13" customHeight="1">
      <c r="A20" s="17" t="inlineStr">
        <is>
          <t>Total Personnel</t>
        </is>
      </c>
      <c r="B20" s="18">
        <f>B11+B12+B13+B14+B15+B16+B17+B18+B19</f>
        <v/>
      </c>
      <c r="C20" s="18">
        <f>C11+C12+C13+C14+C15+C16+C17+C18+C19</f>
        <v/>
      </c>
      <c r="D20" s="18">
        <f>D11+D12+D13+D14+D15+D16+D17+D18+D19</f>
        <v/>
      </c>
      <c r="E20" s="18">
        <f>E11+E12+E13+E14+E15+E16+E17+E18+E19</f>
        <v/>
      </c>
      <c r="F20" s="18">
        <f>F11+F12+F13+F14+F15+F16+F17+F18+F19</f>
        <v/>
      </c>
      <c r="G20" s="18">
        <f>G11+G12+G13+G14+G15+G16+G17+G18+G19</f>
        <v/>
      </c>
      <c r="H20" s="18">
        <f>H11+H12+H13+H14+H15+H16+H17+H18+H19</f>
        <v/>
      </c>
      <c r="I20" s="18">
        <f>I11+I12+I13+I14+I15+I16+I17+I18+I19</f>
        <v/>
      </c>
      <c r="J20" s="18">
        <f>J11+J12+J13+J14+J15+J16+J17+J18+J19</f>
        <v/>
      </c>
      <c r="K20" s="18">
        <f>K11+K12+K13+K14+K15+K16+K17+K18+K19</f>
        <v/>
      </c>
      <c r="L20" s="18">
        <f>L11+L12+L13+L14+L15+L16+L17+L18+L19</f>
        <v/>
      </c>
      <c r="M20" s="18">
        <f>M11+M12+M13+M14+M15+M16+M17+M18+M19</f>
        <v/>
      </c>
      <c r="N20" s="18">
        <f>N11+N12+N13+N14+N15+N16+N17+N18+N19</f>
        <v/>
      </c>
      <c r="O20" s="18">
        <f>O11+O12+O13+O14+O15+O16+O17+O18+O19</f>
        <v/>
      </c>
      <c r="P20" s="18">
        <f>P11+P12+P13+P14+P15+P16+P17+P18+P19</f>
        <v/>
      </c>
      <c r="Q20" s="18">
        <f>Q11+Q12+Q13+Q14+Q15+Q16+Q17+Q18+Q19</f>
        <v/>
      </c>
      <c r="R20" s="18">
        <f>R11+R12+R13+R14+R15+R16+R17+R18+R19</f>
        <v/>
      </c>
      <c r="S20" s="18">
        <f>S11+S12+S13+S14+S15+S16+S17+S18+S19</f>
        <v/>
      </c>
      <c r="T20" s="18">
        <f>T11+T12+T13+T14+T15+T16+T17+T18+T19</f>
        <v/>
      </c>
      <c r="U20" s="18">
        <f>U11+U12+U13+U14+U15+U16+U17+U18+U19</f>
        <v/>
      </c>
      <c r="V20" s="18">
        <f>V11+V12+V13+V14+V15+V16+V17+V18+V19</f>
        <v/>
      </c>
      <c r="W20" s="18">
        <f>W11+W12+W13+W14+W15+W16+W17+W18+W19</f>
        <v/>
      </c>
      <c r="X20" s="18">
        <f>X11+X12+X13+X14+X15+X16+X17+X18+X19</f>
        <v/>
      </c>
      <c r="Y20" s="18">
        <f>Y11+Y12+Y13+Y14+Y15+Y16+Y17+Y18+Y19</f>
        <v/>
      </c>
      <c r="Z20" s="18">
        <f>Z11+Z12+Z13+Z14+Z15+Z16+Z17+Z18+Z19</f>
        <v/>
      </c>
      <c r="AA20" s="18">
        <f>AA11+AA12+AA13+AA14+AA15+AA16+AA17+AA18+AA19</f>
        <v/>
      </c>
      <c r="AB20" s="18">
        <f>AB11+AB12+AB13+AB14+AB15+AB16+AB17+AB18+AB19</f>
        <v/>
      </c>
      <c r="AC20" s="18">
        <f>AC11+AC12+AC13+AC14+AC15+AC16+AC17+AC18+AC19</f>
        <v/>
      </c>
      <c r="AD20" s="18">
        <f>AD11+AD12+AD13+AD14+AD15+AD16+AD17+AD18+AD19</f>
        <v/>
      </c>
      <c r="AE20" s="18">
        <f>AE11+AE12+AE13+AE14+AE15+AE16+AE17+AE18+AE19</f>
        <v/>
      </c>
      <c r="AF20" s="18">
        <f>AF11+AF12+AF13+AF14+AF15+AF16+AF17+AF18+AF19</f>
        <v/>
      </c>
      <c r="AG20" s="18">
        <f>AG11+AG12+AG13+AG14+AG15+AG16+AG17+AG18+AG19</f>
        <v/>
      </c>
      <c r="AH20" s="18">
        <f>AH11+AH12+AH13+AH14+AH15+AH16+AH17+AH18+AH19</f>
        <v/>
      </c>
      <c r="AI20" s="18">
        <f>AI11+AI12+AI13+AI14+AI15+AI16+AI17+AI18+AI19</f>
        <v/>
      </c>
      <c r="AJ20" s="18">
        <f>AJ11+AJ12+AJ13+AJ14+AJ15+AJ16+AJ17+AJ18+AJ19</f>
        <v/>
      </c>
      <c r="AK20" s="11">
        <f>IF(N20&lt;&gt;0,(AB20-N20)/ABS(N20),0)</f>
        <v/>
      </c>
      <c r="AL20" s="11">
        <f>IF(AB20&lt;&gt;0,(AJ20-AB20)/ABS(AB20),0)</f>
        <v/>
      </c>
    </row>
    <row r="21" ht="13" customHeight="1">
      <c r="A21" s="19" t="inlineStr">
        <is>
          <t xml:space="preserve">    Sal:Rev</t>
        </is>
      </c>
      <c r="B21" s="20">
        <f>IF(B7&gt;0,B20/B7,0)</f>
        <v/>
      </c>
      <c r="C21" s="20">
        <f>IF(C7&gt;0,C20/C7,0)</f>
        <v/>
      </c>
      <c r="D21" s="20">
        <f>IF(D7&gt;0,D20/D7,0)</f>
        <v/>
      </c>
      <c r="E21" s="20">
        <f>IF(E7&gt;0,E20/E7,0)</f>
        <v/>
      </c>
      <c r="F21" s="20">
        <f>IF(F7&gt;0,F20/F7,0)</f>
        <v/>
      </c>
      <c r="G21" s="20">
        <f>IF(G7&gt;0,G20/G7,0)</f>
        <v/>
      </c>
      <c r="H21" s="20">
        <f>IF(H7&gt;0,H20/H7,0)</f>
        <v/>
      </c>
      <c r="I21" s="20">
        <f>IF(I7&gt;0,I20/I7,0)</f>
        <v/>
      </c>
      <c r="J21" s="20">
        <f>IF(J7&gt;0,J20/J7,0)</f>
        <v/>
      </c>
      <c r="K21" s="20">
        <f>IF(K7&gt;0,K20/K7,0)</f>
        <v/>
      </c>
      <c r="L21" s="20">
        <f>IF(L7&gt;0,L20/L7,0)</f>
        <v/>
      </c>
      <c r="M21" s="20">
        <f>IF(M7&gt;0,M20/M7,0)</f>
        <v/>
      </c>
      <c r="N21" s="20">
        <f>IF(N7&gt;0,N20/N7,0)</f>
        <v/>
      </c>
      <c r="O21" s="20">
        <f>IF(O7&gt;0,O20/O7,0)</f>
        <v/>
      </c>
      <c r="P21" s="20">
        <f>IF(P7&gt;0,P20/P7,0)</f>
        <v/>
      </c>
      <c r="Q21" s="20">
        <f>IF(Q7&gt;0,Q20/Q7,0)</f>
        <v/>
      </c>
      <c r="R21" s="20">
        <f>IF(R7&gt;0,R20/R7,0)</f>
        <v/>
      </c>
      <c r="S21" s="20">
        <f>IF(S7&gt;0,S20/S7,0)</f>
        <v/>
      </c>
      <c r="T21" s="20">
        <f>IF(T7&gt;0,T20/T7,0)</f>
        <v/>
      </c>
      <c r="U21" s="20">
        <f>IF(U7&gt;0,U20/U7,0)</f>
        <v/>
      </c>
      <c r="V21" s="20">
        <f>IF(V7&gt;0,V20/V7,0)</f>
        <v/>
      </c>
      <c r="W21" s="20">
        <f>IF(W7&gt;0,W20/W7,0)</f>
        <v/>
      </c>
      <c r="X21" s="20">
        <f>IF(X7&gt;0,X20/X7,0)</f>
        <v/>
      </c>
      <c r="Y21" s="20">
        <f>IF(Y7&gt;0,Y20/Y7,0)</f>
        <v/>
      </c>
      <c r="Z21" s="20">
        <f>IF(Z7&gt;0,Z20/Z7,0)</f>
        <v/>
      </c>
      <c r="AA21" s="20">
        <f>IF(AA7&gt;0,AA20/AA7,0)</f>
        <v/>
      </c>
      <c r="AB21" s="20">
        <f>IF(AB7&gt;0,AB20/AB7,0)</f>
        <v/>
      </c>
      <c r="AC21" s="20">
        <f>IF(AC7&gt;0,AC20/AC7,0)</f>
        <v/>
      </c>
      <c r="AD21" s="20">
        <f>IF(AD7&gt;0,AD20/AD7,0)</f>
        <v/>
      </c>
      <c r="AE21" s="20">
        <f>IF(AE7&gt;0,AE20/AE7,0)</f>
        <v/>
      </c>
      <c r="AF21" s="20">
        <f>IF(AF7&gt;0,AF20/AF7,0)</f>
        <v/>
      </c>
      <c r="AG21" s="20">
        <f>IF(AG7&gt;0,AG20/AG7,0)</f>
        <v/>
      </c>
      <c r="AH21" s="20">
        <f>IF(AH7&gt;0,AH20/AH7,0)</f>
        <v/>
      </c>
      <c r="AI21" s="20">
        <f>IF(AI7&gt;0,AI20/AI7,0)</f>
        <v/>
      </c>
      <c r="AJ21" s="20">
        <f>IF(AJ7&gt;0,AJ20/AJ7,0)</f>
        <v/>
      </c>
    </row>
    <row r="22" ht="5" customHeight="1"/>
    <row r="23" ht="13" customHeight="1">
      <c r="A23" s="14" t="inlineStr">
        <is>
          <t>Childcare</t>
        </is>
      </c>
    </row>
    <row r="24" ht="13" customHeight="1">
      <c r="A24" s="21" t="inlineStr">
        <is>
          <t xml:space="preserve">    Catering Costs</t>
        </is>
      </c>
      <c r="N24" s="22">
        <f>SUM(B24:M24)</f>
        <v/>
      </c>
      <c r="O24" s="22" t="n">
        <v>1124.3</v>
      </c>
      <c r="P24" s="22" t="n">
        <v>897.62</v>
      </c>
      <c r="Q24" s="22" t="n">
        <v>1008.18</v>
      </c>
      <c r="R24" s="22" t="n">
        <v>1170.82</v>
      </c>
      <c r="S24" s="22" t="n">
        <v>811.64</v>
      </c>
      <c r="T24" s="22" t="n">
        <v>968.12</v>
      </c>
      <c r="U24" s="22" t="n">
        <v>1225.01</v>
      </c>
      <c r="V24" s="22" t="n">
        <v>559.62</v>
      </c>
      <c r="W24" s="22" t="n">
        <v>610.02</v>
      </c>
      <c r="X24" s="22" t="n">
        <v>657.09</v>
      </c>
      <c r="Y24" s="22" t="n">
        <v>744.51</v>
      </c>
      <c r="Z24" s="22" t="n">
        <v>812.28</v>
      </c>
      <c r="AA24" s="22">
        <f>SUM(O24:U24)</f>
        <v/>
      </c>
      <c r="AB24" s="22">
        <f>SUM(O24:Z24)</f>
        <v/>
      </c>
      <c r="AC24" s="22" t="n">
        <v>849.4793999999999</v>
      </c>
      <c r="AD24" s="22" t="n">
        <v>805.2084</v>
      </c>
      <c r="AE24" s="22" t="n">
        <v>945.2339999999999</v>
      </c>
      <c r="AF24" s="22" t="n">
        <v>916.3077</v>
      </c>
      <c r="AG24" s="22" t="n">
        <v>926.5679999999999</v>
      </c>
      <c r="AH24" s="22" t="n">
        <v>990.0612</v>
      </c>
      <c r="AI24" s="34">
        <f>SUM(AC24:AH24)</f>
        <v/>
      </c>
      <c r="AJ24" s="22">
        <f>SUM(AC24:AH24)+AI24</f>
        <v/>
      </c>
      <c r="AK24" s="11">
        <f>IF(N24&lt;&gt;0,(AB24-N24)/ABS(N24),0)</f>
        <v/>
      </c>
      <c r="AL24" s="11">
        <f>IF(AB24&lt;&gt;0,(AJ24-AB24)/ABS(AB24),0)</f>
        <v/>
      </c>
    </row>
    <row r="25" ht="13" customHeight="1">
      <c r="A25" s="21" t="inlineStr">
        <is>
          <t xml:space="preserve">    Toys and Games</t>
        </is>
      </c>
      <c r="B25" s="22" t="n">
        <v>183.52</v>
      </c>
      <c r="C25" s="22" t="n">
        <v>90.92999999999999</v>
      </c>
      <c r="D25" s="22" t="n">
        <v>151.06</v>
      </c>
      <c r="E25" s="22" t="n">
        <v>177.29</v>
      </c>
      <c r="F25" s="22" t="n">
        <v>242.78</v>
      </c>
      <c r="G25" s="22" t="n">
        <v>1990.96</v>
      </c>
      <c r="H25" s="22" t="n">
        <v>406.66</v>
      </c>
      <c r="I25" s="22" t="n">
        <v>353.82</v>
      </c>
      <c r="J25" s="22" t="n">
        <v>175.28</v>
      </c>
      <c r="K25" s="22" t="n">
        <v>16.3</v>
      </c>
      <c r="L25" s="22" t="n">
        <v>60.14</v>
      </c>
      <c r="M25" s="22" t="n">
        <v>19.96</v>
      </c>
      <c r="N25" s="22">
        <f>SUM(B25:M25)</f>
        <v/>
      </c>
      <c r="O25" s="22" t="n">
        <v>22.2</v>
      </c>
      <c r="P25" s="22" t="n">
        <v>40.4</v>
      </c>
      <c r="Q25" s="22" t="n">
        <v>106.77</v>
      </c>
      <c r="R25" s="22" t="n">
        <v>36.99</v>
      </c>
      <c r="S25" s="22" t="n">
        <v>110.33</v>
      </c>
      <c r="T25" s="22" t="n">
        <v>12</v>
      </c>
      <c r="U25" s="22" t="n">
        <v>1314.02</v>
      </c>
      <c r="AA25" s="22">
        <f>SUM(O25:U25)</f>
        <v/>
      </c>
      <c r="AB25" s="22">
        <f>SUM(O25:Z25)</f>
        <v/>
      </c>
      <c r="AC25" s="22" t="n">
        <v>100</v>
      </c>
      <c r="AD25" s="22" t="n">
        <v>100</v>
      </c>
      <c r="AE25" s="22" t="n">
        <v>100</v>
      </c>
      <c r="AF25" s="22" t="n">
        <v>100</v>
      </c>
      <c r="AG25" s="22" t="n">
        <v>100</v>
      </c>
      <c r="AH25" s="22" t="n">
        <v>100</v>
      </c>
      <c r="AI25" s="34">
        <f>SUM(AC25:AH25)</f>
        <v/>
      </c>
      <c r="AJ25" s="22">
        <f>SUM(AC25:AH25)+AI25</f>
        <v/>
      </c>
      <c r="AK25" s="11">
        <f>IF(N25&lt;&gt;0,(AB25-N25)/ABS(N25),0)</f>
        <v/>
      </c>
      <c r="AL25" s="11">
        <f>IF(AB25&lt;&gt;0,(AJ25-AB25)/ABS(AB25),0)</f>
        <v/>
      </c>
    </row>
    <row r="26" ht="13" customHeight="1">
      <c r="A26" s="21" t="inlineStr">
        <is>
          <t xml:space="preserve">    Art Materials</t>
        </is>
      </c>
      <c r="N26" s="22">
        <f>SUM(B26:M26)</f>
        <v/>
      </c>
      <c r="O26" s="22" t="n">
        <v>16.11</v>
      </c>
      <c r="P26" s="22" t="n">
        <v>7.99</v>
      </c>
      <c r="Q26" s="22" t="n">
        <v>68.7</v>
      </c>
      <c r="R26" s="22" t="n">
        <v>75.15000000000001</v>
      </c>
      <c r="S26" s="22" t="n">
        <v>0</v>
      </c>
      <c r="T26" s="22" t="n">
        <v>295.2</v>
      </c>
      <c r="U26" s="22" t="n">
        <v>93.08</v>
      </c>
      <c r="V26" s="22" t="n">
        <v>55.962</v>
      </c>
      <c r="W26" s="22" t="n">
        <v>61.002</v>
      </c>
      <c r="X26" s="22" t="n">
        <v>65.709</v>
      </c>
      <c r="Y26" s="22" t="n">
        <v>74.45100000000001</v>
      </c>
      <c r="Z26" s="22" t="n">
        <v>81.22800000000001</v>
      </c>
      <c r="AA26" s="22">
        <f>SUM(O26:U26)</f>
        <v/>
      </c>
      <c r="AB26" s="22">
        <f>SUM(O26:Z26)</f>
        <v/>
      </c>
      <c r="AC26" s="22" t="n">
        <v>84.94794</v>
      </c>
      <c r="AD26" s="22" t="n">
        <v>80.52083999999999</v>
      </c>
      <c r="AE26" s="22" t="n">
        <v>94.5234</v>
      </c>
      <c r="AF26" s="22" t="n">
        <v>91.63077</v>
      </c>
      <c r="AG26" s="22" t="n">
        <v>92.6568</v>
      </c>
      <c r="AH26" s="22" t="n">
        <v>99.00612000000001</v>
      </c>
      <c r="AI26" s="34">
        <f>SUM(AC26:AH26)</f>
        <v/>
      </c>
      <c r="AJ26" s="22">
        <f>SUM(AC26:AH26)+AI26</f>
        <v/>
      </c>
      <c r="AK26" s="11">
        <f>IF(N26&lt;&gt;0,(AB26-N26)/ABS(N26),0)</f>
        <v/>
      </c>
      <c r="AL26" s="11">
        <f>IF(AB26&lt;&gt;0,(AJ26-AB26)/ABS(AB26),0)</f>
        <v/>
      </c>
    </row>
    <row r="27" ht="13" customHeight="1">
      <c r="A27" s="21" t="inlineStr">
        <is>
          <t xml:space="preserve">    Nursery Stationery</t>
        </is>
      </c>
      <c r="B27" s="22" t="n">
        <v>92.48999999999999</v>
      </c>
      <c r="C27" s="22" t="n">
        <v>10.97</v>
      </c>
      <c r="D27" s="22" t="n">
        <v>0</v>
      </c>
      <c r="E27" s="22" t="n">
        <v>10.29</v>
      </c>
      <c r="F27" s="22" t="n">
        <v>45.52</v>
      </c>
      <c r="G27" s="22" t="n">
        <v>52.51000000000001</v>
      </c>
      <c r="H27" s="22" t="n">
        <v>31.85</v>
      </c>
      <c r="I27" s="22" t="n">
        <v>57.34</v>
      </c>
      <c r="J27" s="22" t="n">
        <v>65.91</v>
      </c>
      <c r="K27" s="22" t="n">
        <v>51.77</v>
      </c>
      <c r="L27" s="22" t="n">
        <v>20.32</v>
      </c>
      <c r="M27" s="22" t="n">
        <v>86.42</v>
      </c>
      <c r="N27" s="22">
        <f>SUM(B27:M27)</f>
        <v/>
      </c>
      <c r="O27" s="22" t="n">
        <v>17.54</v>
      </c>
      <c r="P27" s="22" t="n">
        <v>65.64</v>
      </c>
      <c r="Q27" s="22" t="n">
        <v>10.58</v>
      </c>
      <c r="R27" s="22" t="n">
        <v>0</v>
      </c>
      <c r="S27" s="22" t="n">
        <v>30.62</v>
      </c>
      <c r="T27" s="22" t="n">
        <v>0</v>
      </c>
      <c r="U27" s="22" t="n">
        <v>6.98</v>
      </c>
      <c r="AA27" s="22">
        <f>SUM(O27:U27)</f>
        <v/>
      </c>
      <c r="AB27" s="22">
        <f>SUM(O27:Z27)</f>
        <v/>
      </c>
      <c r="AC27" s="22" t="n">
        <v>100</v>
      </c>
      <c r="AD27" s="22" t="n">
        <v>100</v>
      </c>
      <c r="AE27" s="22" t="n">
        <v>100</v>
      </c>
      <c r="AF27" s="22" t="n">
        <v>100</v>
      </c>
      <c r="AG27" s="22" t="n">
        <v>100</v>
      </c>
      <c r="AH27" s="22" t="n">
        <v>100</v>
      </c>
      <c r="AI27" s="34">
        <f>SUM(AC27:AH27)</f>
        <v/>
      </c>
      <c r="AJ27" s="22">
        <f>SUM(AC27:AH27)+AI27</f>
        <v/>
      </c>
      <c r="AK27" s="11">
        <f>IF(N27&lt;&gt;0,(AB27-N27)/ABS(N27),0)</f>
        <v/>
      </c>
      <c r="AL27" s="11">
        <f>IF(AB27&lt;&gt;0,(AJ27-AB27)/ABS(AB27),0)</f>
        <v/>
      </c>
    </row>
    <row r="28" ht="13" customHeight="1">
      <c r="A28" s="21" t="inlineStr">
        <is>
          <t xml:space="preserve">    Nursery Equipment</t>
        </is>
      </c>
      <c r="B28" s="22" t="n">
        <v>243.75</v>
      </c>
      <c r="C28" s="22" t="n">
        <v>56.46000000000001</v>
      </c>
      <c r="D28" s="22" t="n">
        <v>68.98</v>
      </c>
      <c r="E28" s="22" t="n">
        <v>0</v>
      </c>
      <c r="F28" s="22" t="n">
        <v>446.65</v>
      </c>
      <c r="G28" s="22" t="n">
        <v>238.6</v>
      </c>
      <c r="H28" s="22" t="n">
        <v>206.36</v>
      </c>
      <c r="I28" s="22" t="n">
        <v>17.01</v>
      </c>
      <c r="J28" s="22" t="n">
        <v>146.95</v>
      </c>
      <c r="K28" s="22" t="n">
        <v>217.2</v>
      </c>
      <c r="L28" s="22" t="n">
        <v>103.41</v>
      </c>
      <c r="M28" s="22" t="n">
        <v>87.67999999999999</v>
      </c>
      <c r="N28" s="22">
        <f>SUM(B28:M28)</f>
        <v/>
      </c>
      <c r="O28" s="22" t="n">
        <v>25.98</v>
      </c>
      <c r="P28" s="22" t="n">
        <v>64.59</v>
      </c>
      <c r="Q28" s="22" t="n">
        <v>42.76</v>
      </c>
      <c r="R28" s="22" t="n">
        <v>0</v>
      </c>
      <c r="S28" s="22" t="n">
        <v>159.29</v>
      </c>
      <c r="T28" s="22" t="n">
        <v>0</v>
      </c>
      <c r="U28" s="22" t="n">
        <v>116.23</v>
      </c>
      <c r="AA28" s="22">
        <f>SUM(O28:U28)</f>
        <v/>
      </c>
      <c r="AB28" s="22">
        <f>SUM(O28:Z28)</f>
        <v/>
      </c>
      <c r="AC28" s="22" t="n">
        <v>100</v>
      </c>
      <c r="AD28" s="22" t="n">
        <v>100</v>
      </c>
      <c r="AE28" s="22" t="n">
        <v>100</v>
      </c>
      <c r="AF28" s="22" t="n">
        <v>100</v>
      </c>
      <c r="AG28" s="22" t="n">
        <v>100</v>
      </c>
      <c r="AH28" s="22" t="n">
        <v>100</v>
      </c>
      <c r="AI28" s="34">
        <f>SUM(AC28:AH28)</f>
        <v/>
      </c>
      <c r="AJ28" s="22">
        <f>SUM(AC28:AH28)+AI28</f>
        <v/>
      </c>
      <c r="AK28" s="11">
        <f>IF(N28&lt;&gt;0,(AB28-N28)/ABS(N28),0)</f>
        <v/>
      </c>
      <c r="AL28" s="11">
        <f>IF(AB28&lt;&gt;0,(AJ28-AB28)/ABS(AB28),0)</f>
        <v/>
      </c>
    </row>
    <row r="29" ht="13" customHeight="1">
      <c r="A29" s="21" t="inlineStr">
        <is>
          <t xml:space="preserve">    Nursery Consumables</t>
        </is>
      </c>
      <c r="N29" s="22">
        <f>SUM(B29:M29)</f>
        <v/>
      </c>
      <c r="O29" s="22" t="n">
        <v>179.58</v>
      </c>
      <c r="P29" s="22" t="n">
        <v>223.95</v>
      </c>
      <c r="Q29" s="22" t="n">
        <v>176.34</v>
      </c>
      <c r="R29" s="22" t="n">
        <v>285.91</v>
      </c>
      <c r="S29" s="22" t="n">
        <v>131</v>
      </c>
      <c r="T29" s="22" t="n">
        <v>172.44</v>
      </c>
      <c r="U29" s="22" t="n">
        <v>163.98</v>
      </c>
      <c r="V29" s="22" t="n">
        <v>93.27</v>
      </c>
      <c r="W29" s="22" t="n">
        <v>101.67</v>
      </c>
      <c r="X29" s="22" t="n">
        <v>109.515</v>
      </c>
      <c r="Y29" s="22" t="n">
        <v>124.085</v>
      </c>
      <c r="Z29" s="22" t="n">
        <v>135.38</v>
      </c>
      <c r="AA29" s="22">
        <f>SUM(O29:U29)</f>
        <v/>
      </c>
      <c r="AB29" s="22">
        <f>SUM(O29:Z29)</f>
        <v/>
      </c>
      <c r="AC29" s="22" t="n">
        <v>141.5799</v>
      </c>
      <c r="AD29" s="22" t="n">
        <v>134.2014</v>
      </c>
      <c r="AE29" s="22" t="n">
        <v>157.539</v>
      </c>
      <c r="AF29" s="22" t="n">
        <v>152.71795</v>
      </c>
      <c r="AG29" s="22" t="n">
        <v>154.428</v>
      </c>
      <c r="AH29" s="22" t="n">
        <v>165.0102</v>
      </c>
      <c r="AI29" s="34">
        <f>SUM(AC29:AH29)</f>
        <v/>
      </c>
      <c r="AJ29" s="22">
        <f>SUM(AC29:AH29)+AI29</f>
        <v/>
      </c>
      <c r="AK29" s="11">
        <f>IF(N29&lt;&gt;0,(AB29-N29)/ABS(N29),0)</f>
        <v/>
      </c>
      <c r="AL29" s="11">
        <f>IF(AB29&lt;&gt;0,(AJ29-AB29)/ABS(AB29),0)</f>
        <v/>
      </c>
    </row>
    <row r="30" ht="13" customHeight="1">
      <c r="A30" s="23" t="inlineStr">
        <is>
          <t>Total Childcare Costs</t>
        </is>
      </c>
      <c r="B30" s="24">
        <f>B24+B25+B26+B27+B28+B29</f>
        <v/>
      </c>
      <c r="C30" s="24">
        <f>C24+C25+C26+C27+C28+C29</f>
        <v/>
      </c>
      <c r="D30" s="24">
        <f>D24+D25+D26+D27+D28+D29</f>
        <v/>
      </c>
      <c r="E30" s="24">
        <f>E24+E25+E26+E27+E28+E29</f>
        <v/>
      </c>
      <c r="F30" s="24">
        <f>F24+F25+F26+F27+F28+F29</f>
        <v/>
      </c>
      <c r="G30" s="24">
        <f>G24+G25+G26+G27+G28+G29</f>
        <v/>
      </c>
      <c r="H30" s="24">
        <f>H24+H25+H26+H27+H28+H29</f>
        <v/>
      </c>
      <c r="I30" s="24">
        <f>I24+I25+I26+I27+I28+I29</f>
        <v/>
      </c>
      <c r="J30" s="24">
        <f>J24+J25+J26+J27+J28+J29</f>
        <v/>
      </c>
      <c r="K30" s="24">
        <f>K24+K25+K26+K27+K28+K29</f>
        <v/>
      </c>
      <c r="L30" s="24">
        <f>L24+L25+L26+L27+L28+L29</f>
        <v/>
      </c>
      <c r="M30" s="24">
        <f>M24+M25+M26+M27+M28+M29</f>
        <v/>
      </c>
      <c r="N30" s="24">
        <f>N24+N25+N26+N27+N28+N29</f>
        <v/>
      </c>
      <c r="O30" s="24">
        <f>O24+O25+O26+O27+O28+O29</f>
        <v/>
      </c>
      <c r="P30" s="24">
        <f>P24+P25+P26+P27+P28+P29</f>
        <v/>
      </c>
      <c r="Q30" s="24">
        <f>Q24+Q25+Q26+Q27+Q28+Q29</f>
        <v/>
      </c>
      <c r="R30" s="24">
        <f>R24+R25+R26+R27+R28+R29</f>
        <v/>
      </c>
      <c r="S30" s="24">
        <f>S24+S25+S26+S27+S28+S29</f>
        <v/>
      </c>
      <c r="T30" s="24">
        <f>T24+T25+T26+T27+T28+T29</f>
        <v/>
      </c>
      <c r="U30" s="24">
        <f>U24+U25+U26+U27+U28+U29</f>
        <v/>
      </c>
      <c r="V30" s="24">
        <f>V24+V25+V26+V27+V28+V29</f>
        <v/>
      </c>
      <c r="W30" s="24">
        <f>W24+W25+W26+W27+W28+W29</f>
        <v/>
      </c>
      <c r="X30" s="24">
        <f>X24+X25+X26+X27+X28+X29</f>
        <v/>
      </c>
      <c r="Y30" s="24">
        <f>Y24+Y25+Y26+Y27+Y28+Y29</f>
        <v/>
      </c>
      <c r="Z30" s="24">
        <f>Z24+Z25+Z26+Z27+Z28+Z29</f>
        <v/>
      </c>
      <c r="AA30" s="24">
        <f>AA24+AA25+AA26+AA27+AA28+AA29</f>
        <v/>
      </c>
      <c r="AB30" s="24">
        <f>AB24+AB25+AB26+AB27+AB28+AB29</f>
        <v/>
      </c>
      <c r="AC30" s="24">
        <f>AC24+AC25+AC26+AC27+AC28+AC29</f>
        <v/>
      </c>
      <c r="AD30" s="24">
        <f>AD24+AD25+AD26+AD27+AD28+AD29</f>
        <v/>
      </c>
      <c r="AE30" s="24">
        <f>AE24+AE25+AE26+AE27+AE28+AE29</f>
        <v/>
      </c>
      <c r="AF30" s="24">
        <f>AF24+AF25+AF26+AF27+AF28+AF29</f>
        <v/>
      </c>
      <c r="AG30" s="24">
        <f>AG24+AG25+AG26+AG27+AG28+AG29</f>
        <v/>
      </c>
      <c r="AH30" s="24">
        <f>AH24+AH25+AH26+AH27+AH28+AH29</f>
        <v/>
      </c>
      <c r="AI30" s="24">
        <f>AI24+AI25+AI26+AI27+AI28+AI29</f>
        <v/>
      </c>
      <c r="AJ30" s="24">
        <f>AJ24+AJ25+AJ26+AJ27+AJ28+AJ29</f>
        <v/>
      </c>
      <c r="AK30" s="11">
        <f>IF(N30&lt;&gt;0,(AB30-N30)/ABS(N30),0)</f>
        <v/>
      </c>
      <c r="AL30" s="11">
        <f>IF(AB30&lt;&gt;0,(AJ30-AB30)/ABS(AB30),0)</f>
        <v/>
      </c>
    </row>
    <row r="31" ht="5" customHeight="1"/>
    <row r="32" ht="13" customHeight="1">
      <c r="A32" s="14" t="inlineStr">
        <is>
          <t>Premises &amp; Admin</t>
        </is>
      </c>
    </row>
    <row r="33" ht="13" customHeight="1">
      <c r="A33" s="25" t="inlineStr">
        <is>
          <t xml:space="preserve">    Rent</t>
        </is>
      </c>
      <c r="B33" s="26" t="n">
        <v>0</v>
      </c>
      <c r="C33" s="26" t="n">
        <v>0</v>
      </c>
      <c r="D33" s="26" t="n">
        <v>0</v>
      </c>
      <c r="E33" s="26" t="n">
        <v>0</v>
      </c>
      <c r="F33" s="26" t="n">
        <v>0</v>
      </c>
      <c r="G33" s="26" t="n">
        <v>0</v>
      </c>
      <c r="H33" s="26" t="n">
        <v>0</v>
      </c>
      <c r="I33" s="26" t="n">
        <v>0</v>
      </c>
      <c r="J33" s="26" t="n">
        <v>0</v>
      </c>
      <c r="K33" s="26" t="n">
        <v>0</v>
      </c>
      <c r="L33" s="26" t="n">
        <v>0</v>
      </c>
      <c r="M33" s="26" t="n">
        <v>0</v>
      </c>
      <c r="N33" s="26">
        <f>SUM(B33:M33)</f>
        <v/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  <c r="V33" s="26" t="n">
        <v>0</v>
      </c>
      <c r="W33" s="26" t="n">
        <v>0</v>
      </c>
      <c r="X33" s="26" t="n">
        <v>0</v>
      </c>
      <c r="Y33" s="26" t="n">
        <v>0</v>
      </c>
      <c r="Z33" s="26" t="n">
        <v>0</v>
      </c>
      <c r="AA33" s="26">
        <f>SUM(O33:U33)</f>
        <v/>
      </c>
      <c r="AB33" s="26">
        <f>SUM(O33:Z33)</f>
        <v/>
      </c>
      <c r="AC33" s="26" t="n">
        <v>0</v>
      </c>
      <c r="AD33" s="26" t="n">
        <v>0</v>
      </c>
      <c r="AE33" s="26" t="n">
        <v>0</v>
      </c>
      <c r="AF33" s="26" t="n">
        <v>0</v>
      </c>
      <c r="AG33" s="26" t="n">
        <v>0</v>
      </c>
      <c r="AH33" s="26" t="n">
        <v>0</v>
      </c>
      <c r="AI33" s="34">
        <f>SUM(AC33:AH33)</f>
        <v/>
      </c>
      <c r="AJ33" s="26">
        <f>SUM(AC33:AH33)+AI33</f>
        <v/>
      </c>
      <c r="AK33" s="11">
        <f>IF(N33&lt;&gt;0,(AB33-N33)/ABS(N33),0)</f>
        <v/>
      </c>
      <c r="AL33" s="11">
        <f>IF(AB33&lt;&gt;0,(AJ33-AB33)/ABS(AB33),0)</f>
        <v/>
      </c>
    </row>
    <row r="34" ht="13" customHeight="1">
      <c r="A34" s="25" t="inlineStr">
        <is>
          <t xml:space="preserve">    Business Rates</t>
        </is>
      </c>
      <c r="B34" s="26" t="n">
        <v>769.29</v>
      </c>
      <c r="C34" s="26" t="n">
        <v>769.29</v>
      </c>
      <c r="D34" s="26" t="n">
        <v>769.29</v>
      </c>
      <c r="E34" s="26" t="n">
        <v>769.29</v>
      </c>
      <c r="F34" s="26" t="n">
        <v>769.29</v>
      </c>
      <c r="G34" s="26" t="n">
        <v>769.29</v>
      </c>
      <c r="H34" s="26" t="n">
        <v>769.29</v>
      </c>
      <c r="I34" s="26" t="n">
        <v>769.29</v>
      </c>
      <c r="J34" s="26" t="n">
        <v>769.29</v>
      </c>
      <c r="K34" s="26" t="n">
        <v>769.29</v>
      </c>
      <c r="L34" s="26" t="n">
        <v>769.29</v>
      </c>
      <c r="M34" s="26" t="n">
        <v>769.29</v>
      </c>
      <c r="N34" s="26">
        <f>SUM(B34:M34)</f>
        <v/>
      </c>
      <c r="O34" s="26" t="n">
        <v>769.3</v>
      </c>
      <c r="P34" s="26" t="n">
        <v>769.3</v>
      </c>
      <c r="Q34" s="26" t="n">
        <v>769.29</v>
      </c>
      <c r="R34" s="26" t="n">
        <v>736.67</v>
      </c>
      <c r="S34" s="26" t="n">
        <v>736.67</v>
      </c>
      <c r="T34" s="26" t="n">
        <v>736.67</v>
      </c>
      <c r="U34" s="26" t="n">
        <v>736.67</v>
      </c>
      <c r="AA34" s="26">
        <f>SUM(O34:U34)</f>
        <v/>
      </c>
      <c r="AB34" s="26">
        <f>SUM(O34:Z34)</f>
        <v/>
      </c>
      <c r="AC34" s="26" t="n">
        <v>736.67</v>
      </c>
      <c r="AD34" s="26" t="n">
        <v>736.67</v>
      </c>
      <c r="AE34" s="26" t="n">
        <v>736.67</v>
      </c>
      <c r="AF34" s="26" t="n">
        <v>736.67</v>
      </c>
      <c r="AG34" s="26" t="n">
        <v>736.67</v>
      </c>
      <c r="AH34" s="26" t="n">
        <v>736.67</v>
      </c>
      <c r="AI34" s="34">
        <f>SUM(AC34:AH34)</f>
        <v/>
      </c>
      <c r="AJ34" s="26">
        <f>SUM(AC34:AH34)+AI34</f>
        <v/>
      </c>
      <c r="AK34" s="11">
        <f>IF(N34&lt;&gt;0,(AB34-N34)/ABS(N34),0)</f>
        <v/>
      </c>
      <c r="AL34" s="11">
        <f>IF(AB34&lt;&gt;0,(AJ34-AB34)/ABS(AB34),0)</f>
        <v/>
      </c>
    </row>
    <row r="35" ht="13" customHeight="1">
      <c r="A35" s="25" t="inlineStr">
        <is>
          <t xml:space="preserve">    Utilities</t>
        </is>
      </c>
      <c r="B35" s="26" t="n">
        <v>876.66</v>
      </c>
      <c r="C35" s="26" t="n">
        <v>427.76</v>
      </c>
      <c r="D35" s="26" t="n">
        <v>1456.67</v>
      </c>
      <c r="E35" s="26" t="n">
        <v>-952.9899999999998</v>
      </c>
      <c r="F35" s="26" t="n">
        <v>898.87</v>
      </c>
      <c r="G35" s="26" t="n">
        <v>314.48</v>
      </c>
      <c r="H35" s="26" t="n">
        <v>283.44</v>
      </c>
      <c r="I35" s="26" t="n">
        <v>288.93</v>
      </c>
      <c r="J35" s="26" t="n">
        <v>180.99</v>
      </c>
      <c r="K35" s="26" t="n">
        <v>399.17</v>
      </c>
      <c r="L35" s="26" t="n">
        <v>339.71</v>
      </c>
      <c r="M35" s="26" t="n">
        <v>38.67000000000002</v>
      </c>
      <c r="N35" s="26">
        <f>SUM(B35:M35)</f>
        <v/>
      </c>
      <c r="O35" s="26" t="n">
        <v>1216.68</v>
      </c>
      <c r="P35" s="26" t="n">
        <v>1004.18</v>
      </c>
      <c r="Q35" s="26" t="n">
        <v>1025.61</v>
      </c>
      <c r="R35" s="26" t="n">
        <v>261.16</v>
      </c>
      <c r="S35" s="26" t="n">
        <v>176.45</v>
      </c>
      <c r="T35" s="26" t="n">
        <v>336.16</v>
      </c>
      <c r="U35" s="26" t="n">
        <v>332.8599999999999</v>
      </c>
      <c r="AA35" s="26">
        <f>SUM(O35:U35)</f>
        <v/>
      </c>
      <c r="AB35" s="26">
        <f>SUM(O35:Z35)</f>
        <v/>
      </c>
      <c r="AC35" s="26" t="n">
        <v>448</v>
      </c>
      <c r="AD35" s="26" t="n">
        <v>448</v>
      </c>
      <c r="AE35" s="26" t="n">
        <v>448</v>
      </c>
      <c r="AF35" s="26" t="n">
        <v>448</v>
      </c>
      <c r="AG35" s="26" t="n">
        <v>448</v>
      </c>
      <c r="AH35" s="26" t="n">
        <v>448</v>
      </c>
      <c r="AI35" s="34">
        <f>SUM(AC35:AH35)</f>
        <v/>
      </c>
      <c r="AJ35" s="26">
        <f>SUM(AC35:AH35)+AI35</f>
        <v/>
      </c>
      <c r="AK35" s="11">
        <f>IF(N35&lt;&gt;0,(AB35-N35)/ABS(N35),0)</f>
        <v/>
      </c>
      <c r="AL35" s="11">
        <f>IF(AB35&lt;&gt;0,(AJ35-AB35)/ABS(AB35),0)</f>
        <v/>
      </c>
    </row>
    <row r="36" ht="13" customHeight="1">
      <c r="A36" s="25" t="inlineStr">
        <is>
          <t xml:space="preserve">    Repairs &amp; Maintenance</t>
        </is>
      </c>
      <c r="B36" s="26" t="n">
        <v>622.5700000000001</v>
      </c>
      <c r="C36" s="26" t="n">
        <v>29.99</v>
      </c>
      <c r="D36" s="26" t="n">
        <v>0</v>
      </c>
      <c r="E36" s="26" t="n">
        <v>0</v>
      </c>
      <c r="F36" s="26" t="n">
        <v>39.52</v>
      </c>
      <c r="G36" s="26" t="n">
        <v>38.49</v>
      </c>
      <c r="H36" s="26" t="n">
        <v>11.88</v>
      </c>
      <c r="I36" s="26" t="n">
        <v>4.99</v>
      </c>
      <c r="J36" s="26" t="n">
        <v>198.21</v>
      </c>
      <c r="K36" s="26" t="n">
        <v>11</v>
      </c>
      <c r="L36" s="26" t="n">
        <v>495.9599999999999</v>
      </c>
      <c r="M36" s="26" t="n">
        <v>747.47</v>
      </c>
      <c r="N36" s="26">
        <f>SUM(B36:M36)</f>
        <v/>
      </c>
      <c r="O36" s="26" t="n">
        <v>0</v>
      </c>
      <c r="P36" s="26" t="n">
        <v>0</v>
      </c>
      <c r="Q36" s="26" t="n">
        <v>246</v>
      </c>
      <c r="R36" s="26" t="n">
        <v>0</v>
      </c>
      <c r="S36" s="26" t="n">
        <v>0</v>
      </c>
      <c r="T36" s="26" t="n">
        <v>46.82</v>
      </c>
      <c r="U36" s="26" t="n">
        <v>135.38</v>
      </c>
      <c r="AA36" s="26">
        <f>SUM(O36:U36)</f>
        <v/>
      </c>
      <c r="AB36" s="26">
        <f>SUM(O36:Z36)</f>
        <v/>
      </c>
      <c r="AC36" s="26" t="n">
        <v>0</v>
      </c>
      <c r="AD36" s="26" t="n">
        <v>0</v>
      </c>
      <c r="AE36" s="26" t="n">
        <v>0</v>
      </c>
      <c r="AF36" s="26" t="n">
        <v>0</v>
      </c>
      <c r="AG36" s="26" t="n">
        <v>0</v>
      </c>
      <c r="AH36" s="26" t="n">
        <v>0</v>
      </c>
      <c r="AI36" s="34">
        <f>SUM(AC36:AH36)</f>
        <v/>
      </c>
      <c r="AJ36" s="26">
        <f>SUM(AC36:AH36)+AI36</f>
        <v/>
      </c>
      <c r="AK36" s="11">
        <f>IF(N36&lt;&gt;0,(AB36-N36)/ABS(N36),0)</f>
        <v/>
      </c>
      <c r="AL36" s="11">
        <f>IF(AB36&lt;&gt;0,(AJ36-AB36)/ABS(AB36),0)</f>
        <v/>
      </c>
    </row>
    <row r="37" ht="13" customHeight="1">
      <c r="A37" s="25" t="inlineStr">
        <is>
          <t xml:space="preserve">    Cleaning</t>
        </is>
      </c>
      <c r="B37" s="26" t="n">
        <v>277.47</v>
      </c>
      <c r="C37" s="26" t="n">
        <v>312.04</v>
      </c>
      <c r="D37" s="26" t="n">
        <v>97.81999999999999</v>
      </c>
      <c r="E37" s="26" t="n">
        <v>304.23</v>
      </c>
      <c r="F37" s="26" t="n">
        <v>397.89</v>
      </c>
      <c r="G37" s="26" t="n">
        <v>132.94</v>
      </c>
      <c r="H37" s="26" t="n">
        <v>215.21</v>
      </c>
      <c r="I37" s="26" t="n">
        <v>111.14</v>
      </c>
      <c r="J37" s="26" t="n">
        <v>34.12</v>
      </c>
      <c r="K37" s="26" t="n">
        <v>237.1</v>
      </c>
      <c r="L37" s="26" t="n">
        <v>312.9</v>
      </c>
      <c r="M37" s="26" t="n">
        <v>226.92</v>
      </c>
      <c r="N37" s="26">
        <f>SUM(B37:M37)</f>
        <v/>
      </c>
      <c r="O37" s="26" t="n">
        <v>30.74</v>
      </c>
      <c r="P37" s="26" t="n">
        <v>116.71</v>
      </c>
      <c r="Q37" s="26" t="n">
        <v>102.81</v>
      </c>
      <c r="R37" s="26" t="n">
        <v>50</v>
      </c>
      <c r="S37" s="26" t="n">
        <v>107.99</v>
      </c>
      <c r="T37" s="26" t="n">
        <v>96.7</v>
      </c>
      <c r="U37" s="26" t="n">
        <v>56.69</v>
      </c>
      <c r="AA37" s="26">
        <f>SUM(O37:U37)</f>
        <v/>
      </c>
      <c r="AB37" s="26">
        <f>SUM(O37:Z37)</f>
        <v/>
      </c>
      <c r="AC37" s="26" t="n">
        <v>210</v>
      </c>
      <c r="AD37" s="26" t="n">
        <v>210</v>
      </c>
      <c r="AE37" s="26" t="n">
        <v>210</v>
      </c>
      <c r="AF37" s="26" t="n">
        <v>210</v>
      </c>
      <c r="AG37" s="26" t="n">
        <v>210</v>
      </c>
      <c r="AH37" s="26" t="n">
        <v>210</v>
      </c>
      <c r="AI37" s="34">
        <f>SUM(AC37:AH37)</f>
        <v/>
      </c>
      <c r="AJ37" s="26">
        <f>SUM(AC37:AH37)+AI37</f>
        <v/>
      </c>
      <c r="AK37" s="11">
        <f>IF(N37&lt;&gt;0,(AB37-N37)/ABS(N37),0)</f>
        <v/>
      </c>
      <c r="AL37" s="11">
        <f>IF(AB37&lt;&gt;0,(AJ37-AB37)/ABS(AB37),0)</f>
        <v/>
      </c>
    </row>
    <row r="38" ht="13" customHeight="1">
      <c r="A38" s="25" t="inlineStr">
        <is>
          <t xml:space="preserve">    Waste Disposal</t>
        </is>
      </c>
      <c r="B38" s="26" t="n">
        <v>204</v>
      </c>
      <c r="C38" s="26" t="n">
        <v>377.46</v>
      </c>
      <c r="D38" s="26" t="n">
        <v>255</v>
      </c>
      <c r="E38" s="26" t="n">
        <v>398.32</v>
      </c>
      <c r="F38" s="26" t="n">
        <v>282.34</v>
      </c>
      <c r="G38" s="26" t="n">
        <v>296.99</v>
      </c>
      <c r="H38" s="26" t="n">
        <v>243.58</v>
      </c>
      <c r="I38" s="26" t="n">
        <v>243.58</v>
      </c>
      <c r="J38" s="26" t="n">
        <v>404.69</v>
      </c>
      <c r="K38" s="26" t="n">
        <v>243.58</v>
      </c>
      <c r="L38" s="26" t="n">
        <v>338.48</v>
      </c>
      <c r="M38" s="26" t="n">
        <v>391.89</v>
      </c>
      <c r="N38" s="26">
        <f>SUM(B38:M38)</f>
        <v/>
      </c>
      <c r="O38" s="26" t="n">
        <v>489.68</v>
      </c>
      <c r="P38" s="26" t="n">
        <v>346.63</v>
      </c>
      <c r="Q38" s="26" t="n">
        <v>500.3299999999999</v>
      </c>
      <c r="R38" s="26" t="n">
        <v>416.6</v>
      </c>
      <c r="S38" s="26" t="n">
        <v>335.56</v>
      </c>
      <c r="T38" s="26" t="n">
        <v>250.9</v>
      </c>
      <c r="U38" s="26" t="n">
        <v>392.52</v>
      </c>
      <c r="AA38" s="26">
        <f>SUM(O38:U38)</f>
        <v/>
      </c>
      <c r="AB38" s="26">
        <f>SUM(O38:Z38)</f>
        <v/>
      </c>
      <c r="AC38" s="26" t="n">
        <v>300</v>
      </c>
      <c r="AD38" s="26" t="n">
        <v>300</v>
      </c>
      <c r="AE38" s="26" t="n">
        <v>300</v>
      </c>
      <c r="AF38" s="26" t="n">
        <v>300</v>
      </c>
      <c r="AG38" s="26" t="n">
        <v>300</v>
      </c>
      <c r="AH38" s="26" t="n">
        <v>300</v>
      </c>
      <c r="AI38" s="34">
        <f>SUM(AC38:AH38)</f>
        <v/>
      </c>
      <c r="AJ38" s="26">
        <f>SUM(AC38:AH38)+AI38</f>
        <v/>
      </c>
      <c r="AK38" s="11">
        <f>IF(N38&lt;&gt;0,(AB38-N38)/ABS(N38),0)</f>
        <v/>
      </c>
      <c r="AL38" s="11">
        <f>IF(AB38&lt;&gt;0,(AJ38-AB38)/ABS(AB38),0)</f>
        <v/>
      </c>
    </row>
    <row r="39" ht="13" customHeight="1">
      <c r="A39" s="25" t="inlineStr">
        <is>
          <t xml:space="preserve">    Postage/Printing/Stationery</t>
        </is>
      </c>
      <c r="B39" s="26" t="n">
        <v>52.02</v>
      </c>
      <c r="C39" s="26" t="n">
        <v>41.97</v>
      </c>
      <c r="D39" s="26" t="n">
        <v>46.18</v>
      </c>
      <c r="E39" s="26" t="n">
        <v>47.3</v>
      </c>
      <c r="F39" s="26" t="n">
        <v>35.68</v>
      </c>
      <c r="G39" s="26" t="n">
        <v>66.40000000000001</v>
      </c>
      <c r="H39" s="26" t="n">
        <v>372.16</v>
      </c>
      <c r="I39" s="26" t="n">
        <v>41.5</v>
      </c>
      <c r="J39" s="26" t="n">
        <v>78.95</v>
      </c>
      <c r="K39" s="26" t="n">
        <v>83.34</v>
      </c>
      <c r="L39" s="26" t="n">
        <v>36.06</v>
      </c>
      <c r="M39" s="26" t="n">
        <v>79.34999999999999</v>
      </c>
      <c r="N39" s="26">
        <f>SUM(B39:M39)</f>
        <v/>
      </c>
      <c r="O39" s="26" t="n">
        <v>31.59</v>
      </c>
      <c r="P39" s="26" t="n">
        <v>82.27</v>
      </c>
      <c r="Q39" s="26" t="n">
        <v>119.08</v>
      </c>
      <c r="R39" s="26" t="n">
        <v>163.25</v>
      </c>
      <c r="S39" s="26" t="n">
        <v>25.98</v>
      </c>
      <c r="T39" s="26" t="n">
        <v>122.27</v>
      </c>
      <c r="U39" s="26" t="n">
        <v>48.27</v>
      </c>
      <c r="AA39" s="26">
        <f>SUM(O39:U39)</f>
        <v/>
      </c>
      <c r="AB39" s="26">
        <f>SUM(O39:Z39)</f>
        <v/>
      </c>
      <c r="AC39" s="26" t="n">
        <v>0</v>
      </c>
      <c r="AD39" s="26" t="n">
        <v>0</v>
      </c>
      <c r="AE39" s="26" t="n">
        <v>0</v>
      </c>
      <c r="AF39" s="26" t="n">
        <v>0</v>
      </c>
      <c r="AG39" s="26" t="n">
        <v>0</v>
      </c>
      <c r="AH39" s="26" t="n">
        <v>0</v>
      </c>
      <c r="AI39" s="34">
        <f>SUM(AC39:AH39)</f>
        <v/>
      </c>
      <c r="AJ39" s="26">
        <f>SUM(AC39:AH39)+AI39</f>
        <v/>
      </c>
      <c r="AK39" s="11">
        <f>IF(N39&lt;&gt;0,(AB39-N39)/ABS(N39),0)</f>
        <v/>
      </c>
      <c r="AL39" s="11">
        <f>IF(AB39&lt;&gt;0,(AJ39-AB39)/ABS(AB39),0)</f>
        <v/>
      </c>
    </row>
    <row r="40" ht="13" customHeight="1">
      <c r="A40" s="25" t="inlineStr">
        <is>
          <t xml:space="preserve">    Telephone</t>
        </is>
      </c>
      <c r="B40" s="26" t="n">
        <v>0</v>
      </c>
      <c r="C40" s="26" t="n">
        <v>0</v>
      </c>
      <c r="D40" s="26" t="n">
        <v>0</v>
      </c>
      <c r="E40" s="26" t="n">
        <v>0</v>
      </c>
      <c r="F40" s="26" t="n">
        <v>0</v>
      </c>
      <c r="G40" s="26" t="n">
        <v>0</v>
      </c>
      <c r="H40" s="26" t="n">
        <v>0</v>
      </c>
      <c r="I40" s="26" t="n">
        <v>0</v>
      </c>
      <c r="J40" s="26" t="n">
        <v>0</v>
      </c>
      <c r="K40" s="26" t="n">
        <v>0</v>
      </c>
      <c r="L40" s="26" t="n">
        <v>0</v>
      </c>
      <c r="M40" s="26" t="n">
        <v>0</v>
      </c>
      <c r="N40" s="26">
        <f>SUM(B40:M40)</f>
        <v/>
      </c>
      <c r="O40" s="26" t="n">
        <v>0</v>
      </c>
      <c r="P40" s="26" t="n">
        <v>0</v>
      </c>
      <c r="Q40" s="26" t="n">
        <v>0</v>
      </c>
      <c r="R40" s="26" t="n">
        <v>0</v>
      </c>
      <c r="S40" s="26" t="n">
        <v>0</v>
      </c>
      <c r="T40" s="26" t="n">
        <v>0</v>
      </c>
      <c r="U40" s="26" t="n">
        <v>0</v>
      </c>
      <c r="V40" s="26" t="n">
        <v>0</v>
      </c>
      <c r="W40" s="26" t="n">
        <v>0</v>
      </c>
      <c r="X40" s="26" t="n">
        <v>0</v>
      </c>
      <c r="Y40" s="26" t="n">
        <v>0</v>
      </c>
      <c r="Z40" s="26" t="n">
        <v>0</v>
      </c>
      <c r="AA40" s="26">
        <f>SUM(O40:U40)</f>
        <v/>
      </c>
      <c r="AB40" s="26">
        <f>SUM(O40:Z40)</f>
        <v/>
      </c>
      <c r="AC40" s="26" t="n">
        <v>0</v>
      </c>
      <c r="AD40" s="26" t="n">
        <v>0</v>
      </c>
      <c r="AE40" s="26" t="n">
        <v>0</v>
      </c>
      <c r="AF40" s="26" t="n">
        <v>0</v>
      </c>
      <c r="AG40" s="26" t="n">
        <v>0</v>
      </c>
      <c r="AH40" s="26" t="n">
        <v>0</v>
      </c>
      <c r="AI40" s="34">
        <f>SUM(AC40:AH40)</f>
        <v/>
      </c>
      <c r="AJ40" s="26">
        <f>SUM(AC40:AH40)+AI40</f>
        <v/>
      </c>
      <c r="AK40" s="11">
        <f>IF(N40&lt;&gt;0,(AB40-N40)/ABS(N40),0)</f>
        <v/>
      </c>
      <c r="AL40" s="11">
        <f>IF(AB40&lt;&gt;0,(AJ40-AB40)/ABS(AB40),0)</f>
        <v/>
      </c>
    </row>
    <row r="41" ht="13" customHeight="1">
      <c r="A41" s="25" t="inlineStr">
        <is>
          <t xml:space="preserve">    Marketing</t>
        </is>
      </c>
      <c r="B41" s="26" t="n">
        <v>0</v>
      </c>
      <c r="C41" s="26" t="n">
        <v>220</v>
      </c>
      <c r="D41" s="26" t="n">
        <v>0</v>
      </c>
      <c r="E41" s="26" t="n">
        <v>0</v>
      </c>
      <c r="F41" s="26" t="n">
        <v>0</v>
      </c>
      <c r="G41" s="26" t="n">
        <v>3.98</v>
      </c>
      <c r="H41" s="26" t="n">
        <v>3.75</v>
      </c>
      <c r="I41" s="26" t="n">
        <v>90</v>
      </c>
      <c r="J41" s="26" t="n">
        <v>0</v>
      </c>
      <c r="K41" s="26" t="n">
        <v>0</v>
      </c>
      <c r="L41" s="26" t="n">
        <v>0</v>
      </c>
      <c r="M41" s="26" t="n">
        <v>0</v>
      </c>
      <c r="N41" s="26">
        <f>SUM(B41:M41)</f>
        <v/>
      </c>
      <c r="O41" s="26" t="n">
        <v>54</v>
      </c>
      <c r="P41" s="26" t="n">
        <v>0</v>
      </c>
      <c r="Q41" s="26" t="n">
        <v>220</v>
      </c>
      <c r="R41" s="26" t="n">
        <v>57</v>
      </c>
      <c r="S41" s="26" t="n">
        <v>0</v>
      </c>
      <c r="T41" s="26" t="n">
        <v>0</v>
      </c>
      <c r="U41" s="26" t="n">
        <v>0</v>
      </c>
      <c r="AA41" s="26">
        <f>SUM(O41:U41)</f>
        <v/>
      </c>
      <c r="AB41" s="26">
        <f>SUM(O41:Z41)</f>
        <v/>
      </c>
      <c r="AC41" s="26" t="n">
        <v>100</v>
      </c>
      <c r="AD41" s="26" t="n">
        <v>100</v>
      </c>
      <c r="AE41" s="26" t="n">
        <v>100</v>
      </c>
      <c r="AF41" s="26" t="n">
        <v>100</v>
      </c>
      <c r="AG41" s="26" t="n">
        <v>100</v>
      </c>
      <c r="AH41" s="26" t="n">
        <v>100</v>
      </c>
      <c r="AI41" s="34">
        <f>SUM(AC41:AH41)</f>
        <v/>
      </c>
      <c r="AJ41" s="26">
        <f>SUM(AC41:AH41)+AI41</f>
        <v/>
      </c>
      <c r="AK41" s="11">
        <f>IF(N41&lt;&gt;0,(AB41-N41)/ABS(N41),0)</f>
        <v/>
      </c>
      <c r="AL41" s="11">
        <f>IF(AB41&lt;&gt;0,(AJ41-AB41)/ABS(AB41),0)</f>
        <v/>
      </c>
    </row>
    <row r="42" ht="13" customHeight="1">
      <c r="A42" s="27" t="inlineStr">
        <is>
          <t>Total Premises &amp; Admin</t>
        </is>
      </c>
      <c r="B42" s="28">
        <f>B33+B34+B35+B36+B37+B38+B39+B40+B41</f>
        <v/>
      </c>
      <c r="C42" s="28">
        <f>C33+C34+C35+C36+C37+C38+C39+C40+C41</f>
        <v/>
      </c>
      <c r="D42" s="28">
        <f>D33+D34+D35+D36+D37+D38+D39+D40+D41</f>
        <v/>
      </c>
      <c r="E42" s="28">
        <f>E33+E34+E35+E36+E37+E38+E39+E40+E41</f>
        <v/>
      </c>
      <c r="F42" s="28">
        <f>F33+F34+F35+F36+F37+F38+F39+F40+F41</f>
        <v/>
      </c>
      <c r="G42" s="28">
        <f>G33+G34+G35+G36+G37+G38+G39+G40+G41</f>
        <v/>
      </c>
      <c r="H42" s="28">
        <f>H33+H34+H35+H36+H37+H38+H39+H40+H41</f>
        <v/>
      </c>
      <c r="I42" s="28">
        <f>I33+I34+I35+I36+I37+I38+I39+I40+I41</f>
        <v/>
      </c>
      <c r="J42" s="28">
        <f>J33+J34+J35+J36+J37+J38+J39+J40+J41</f>
        <v/>
      </c>
      <c r="K42" s="28">
        <f>K33+K34+K35+K36+K37+K38+K39+K40+K41</f>
        <v/>
      </c>
      <c r="L42" s="28">
        <f>L33+L34+L35+L36+L37+L38+L39+L40+L41</f>
        <v/>
      </c>
      <c r="M42" s="28">
        <f>M33+M34+M35+M36+M37+M38+M39+M40+M41</f>
        <v/>
      </c>
      <c r="N42" s="28">
        <f>N33+N34+N35+N36+N37+N38+N39+N40+N41</f>
        <v/>
      </c>
      <c r="O42" s="28">
        <f>O33+O34+O35+O36+O37+O38+O39+O40+O41</f>
        <v/>
      </c>
      <c r="P42" s="28">
        <f>P33+P34+P35+P36+P37+P38+P39+P40+P41</f>
        <v/>
      </c>
      <c r="Q42" s="28">
        <f>Q33+Q34+Q35+Q36+Q37+Q38+Q39+Q40+Q41</f>
        <v/>
      </c>
      <c r="R42" s="28">
        <f>R33+R34+R35+R36+R37+R38+R39+R40+R41</f>
        <v/>
      </c>
      <c r="S42" s="28">
        <f>S33+S34+S35+S36+S37+S38+S39+S40+S41</f>
        <v/>
      </c>
      <c r="T42" s="28">
        <f>T33+T34+T35+T36+T37+T38+T39+T40+T41</f>
        <v/>
      </c>
      <c r="U42" s="28">
        <f>U33+U34+U35+U36+U37+U38+U39+U40+U41</f>
        <v/>
      </c>
      <c r="V42" s="28">
        <f>V33+V34+V35+V36+V37+V38+V39+V40+V41</f>
        <v/>
      </c>
      <c r="W42" s="28">
        <f>W33+W34+W35+W36+W37+W38+W39+W40+W41</f>
        <v/>
      </c>
      <c r="X42" s="28">
        <f>X33+X34+X35+X36+X37+X38+X39+X40+X41</f>
        <v/>
      </c>
      <c r="Y42" s="28">
        <f>Y33+Y34+Y35+Y36+Y37+Y38+Y39+Y40+Y41</f>
        <v/>
      </c>
      <c r="Z42" s="28">
        <f>Z33+Z34+Z35+Z36+Z37+Z38+Z39+Z40+Z41</f>
        <v/>
      </c>
      <c r="AA42" s="28">
        <f>AA33+AA34+AA35+AA36+AA37+AA38+AA39+AA40+AA41</f>
        <v/>
      </c>
      <c r="AB42" s="28">
        <f>AB33+AB34+AB35+AB36+AB37+AB38+AB39+AB40+AB41</f>
        <v/>
      </c>
      <c r="AC42" s="28">
        <f>AC33+AC34+AC35+AC36+AC37+AC38+AC39+AC40+AC41</f>
        <v/>
      </c>
      <c r="AD42" s="28">
        <f>AD33+AD34+AD35+AD36+AD37+AD38+AD39+AD40+AD41</f>
        <v/>
      </c>
      <c r="AE42" s="28">
        <f>AE33+AE34+AE35+AE36+AE37+AE38+AE39+AE40+AE41</f>
        <v/>
      </c>
      <c r="AF42" s="28">
        <f>AF33+AF34+AF35+AF36+AF37+AF38+AF39+AF40+AF41</f>
        <v/>
      </c>
      <c r="AG42" s="28">
        <f>AG33+AG34+AG35+AG36+AG37+AG38+AG39+AG40+AG41</f>
        <v/>
      </c>
      <c r="AH42" s="28">
        <f>AH33+AH34+AH35+AH36+AH37+AH38+AH39+AH40+AH41</f>
        <v/>
      </c>
      <c r="AI42" s="28">
        <f>AI33+AI34+AI35+AI36+AI37+AI38+AI39+AI40+AI41</f>
        <v/>
      </c>
      <c r="AJ42" s="28">
        <f>AJ33+AJ34+AJ35+AJ36+AJ37+AJ38+AJ39+AJ40+AJ41</f>
        <v/>
      </c>
      <c r="AK42" s="11">
        <f>IF(N42&lt;&gt;0,(AB42-N42)/ABS(N42),0)</f>
        <v/>
      </c>
      <c r="AL42" s="11">
        <f>IF(AB42&lt;&gt;0,(AJ42-AB42)/ABS(AB42),0)</f>
        <v/>
      </c>
    </row>
    <row r="43" ht="5" customHeight="1"/>
    <row r="44" ht="13" customHeight="1">
      <c r="A44" s="29" t="inlineStr">
        <is>
          <t>Total Direct Costs</t>
        </is>
      </c>
      <c r="AK44" s="11">
        <f>IF(N44&lt;&gt;0,(AB44-N44)/ABS(N44),0)</f>
        <v/>
      </c>
      <c r="AL44" s="11">
        <f>IF(AB44&lt;&gt;0,(AJ44-AB44)/ABS(AB44),0)</f>
        <v/>
      </c>
    </row>
    <row r="45" ht="5" customHeight="1"/>
    <row r="46" ht="15" customHeight="1">
      <c r="A46" s="30" t="inlineStr">
        <is>
          <t>CONTRIBUTION</t>
        </is>
      </c>
      <c r="B46" s="31">
        <f>B7-B44</f>
        <v/>
      </c>
      <c r="C46" s="31">
        <f>C7-C44</f>
        <v/>
      </c>
      <c r="D46" s="31">
        <f>D7-D44</f>
        <v/>
      </c>
      <c r="E46" s="31">
        <f>E7-E44</f>
        <v/>
      </c>
      <c r="F46" s="31">
        <f>F7-F44</f>
        <v/>
      </c>
      <c r="G46" s="31">
        <f>G7-G44</f>
        <v/>
      </c>
      <c r="H46" s="31">
        <f>H7-H44</f>
        <v/>
      </c>
      <c r="I46" s="31">
        <f>I7-I44</f>
        <v/>
      </c>
      <c r="J46" s="31">
        <f>J7-J44</f>
        <v/>
      </c>
      <c r="K46" s="31">
        <f>K7-K44</f>
        <v/>
      </c>
      <c r="L46" s="31">
        <f>L7-L44</f>
        <v/>
      </c>
      <c r="M46" s="31">
        <f>M7-M44</f>
        <v/>
      </c>
      <c r="N46" s="31">
        <f>N7-N44</f>
        <v/>
      </c>
      <c r="O46" s="31">
        <f>O7-O44</f>
        <v/>
      </c>
      <c r="P46" s="31">
        <f>P7-P44</f>
        <v/>
      </c>
      <c r="Q46" s="31">
        <f>Q7-Q44</f>
        <v/>
      </c>
      <c r="R46" s="31">
        <f>R7-R44</f>
        <v/>
      </c>
      <c r="S46" s="31">
        <f>S7-S44</f>
        <v/>
      </c>
      <c r="T46" s="31">
        <f>T7-T44</f>
        <v/>
      </c>
      <c r="U46" s="31">
        <f>U7-U44</f>
        <v/>
      </c>
      <c r="V46" s="31">
        <f>V7-V44</f>
        <v/>
      </c>
      <c r="W46" s="31">
        <f>W7-W44</f>
        <v/>
      </c>
      <c r="X46" s="31">
        <f>X7-X44</f>
        <v/>
      </c>
      <c r="Y46" s="31">
        <f>Y7-Y44</f>
        <v/>
      </c>
      <c r="Z46" s="31">
        <f>Z7-Z44</f>
        <v/>
      </c>
      <c r="AA46" s="31">
        <f>AA7-AA44</f>
        <v/>
      </c>
      <c r="AB46" s="31">
        <f>AB7-AB44</f>
        <v/>
      </c>
      <c r="AC46" s="31">
        <f>AC7-AC44</f>
        <v/>
      </c>
      <c r="AD46" s="31">
        <f>AD7-AD44</f>
        <v/>
      </c>
      <c r="AE46" s="31">
        <f>AE7-AE44</f>
        <v/>
      </c>
      <c r="AF46" s="31">
        <f>AF7-AF44</f>
        <v/>
      </c>
      <c r="AG46" s="31">
        <f>AG7-AG44</f>
        <v/>
      </c>
      <c r="AH46" s="31">
        <f>AH7-AH44</f>
        <v/>
      </c>
      <c r="AI46" s="31">
        <f>AI7-AI44</f>
        <v/>
      </c>
      <c r="AJ46" s="31">
        <f>AJ7-AJ44</f>
        <v/>
      </c>
      <c r="AK46" s="11">
        <f>IF(N46&lt;&gt;0,(AB46-N46)/ABS(N46),0)</f>
        <v/>
      </c>
      <c r="AL46" s="11">
        <f>IF(AB46&lt;&gt;0,(AJ46-AB46)/ABS(AB46),0)</f>
        <v/>
      </c>
    </row>
  </sheetData>
  <mergeCells count="8">
    <mergeCell ref="A10:AL10"/>
    <mergeCell ref="B1:N1"/>
    <mergeCell ref="A23:AL23"/>
    <mergeCell ref="A32:AL32"/>
    <mergeCell ref="AC1:AJ1"/>
    <mergeCell ref="A9:AL9"/>
    <mergeCell ref="A3:AL3"/>
    <mergeCell ref="O1:AB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L4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9.5" customWidth="1" min="27" max="27"/>
    <col width="9.5" customWidth="1" min="28" max="28"/>
    <col width="9.5" customWidth="1" min="29" max="29"/>
    <col width="9.5" customWidth="1" min="30" max="30"/>
    <col width="9.5" customWidth="1" min="31" max="31"/>
    <col width="9.5" customWidth="1" min="32" max="32"/>
    <col width="9.5" customWidth="1" min="33" max="33"/>
    <col width="9.5" customWidth="1" min="34" max="34"/>
    <col width="9.5" customWidth="1" min="35" max="35"/>
    <col width="11" customWidth="1" min="36" max="36"/>
    <col width="10" customWidth="1" min="37" max="37"/>
    <col width="10" customWidth="1" min="38" max="38"/>
  </cols>
  <sheetData>
    <row r="1" ht="18" customHeight="1">
      <c r="A1" s="1" t="inlineStr">
        <is>
          <t>Boot Farm</t>
        </is>
      </c>
      <c r="B1" s="2" t="inlineStr">
        <is>
          <t>Actuals 2025</t>
        </is>
      </c>
      <c r="O1" s="2" t="inlineStr">
        <is>
          <t>2026 Actual / Forecast</t>
        </is>
      </c>
      <c r="AC1" s="32" t="inlineStr">
        <is>
          <t>2027 Plan</t>
        </is>
      </c>
      <c r="AK1" s="3" t="inlineStr">
        <is>
          <t>YoY</t>
        </is>
      </c>
      <c r="AL1" s="3" t="inlineStr">
        <is>
          <t>YoY</t>
        </is>
      </c>
    </row>
    <row r="2" ht="22" customHeight="1">
      <c r="B2" s="4" t="inlineStr">
        <is>
          <t>Jan</t>
        </is>
      </c>
      <c r="C2" s="4" t="inlineStr">
        <is>
          <t>Feb</t>
        </is>
      </c>
      <c r="D2" s="4" t="inlineStr">
        <is>
          <t>Mar</t>
        </is>
      </c>
      <c r="E2" s="4" t="inlineStr">
        <is>
          <t>Apr</t>
        </is>
      </c>
      <c r="F2" s="4" t="inlineStr">
        <is>
          <t>May</t>
        </is>
      </c>
      <c r="G2" s="4" t="inlineStr">
        <is>
          <t>Jun</t>
        </is>
      </c>
      <c r="H2" s="4" t="inlineStr">
        <is>
          <t>Jul</t>
        </is>
      </c>
      <c r="I2" s="4" t="inlineStr">
        <is>
          <t>Aug</t>
        </is>
      </c>
      <c r="J2" s="4" t="inlineStr">
        <is>
          <t>Sep</t>
        </is>
      </c>
      <c r="K2" s="4" t="inlineStr">
        <is>
          <t>Oct</t>
        </is>
      </c>
      <c r="L2" s="4" t="inlineStr">
        <is>
          <t>Nov</t>
        </is>
      </c>
      <c r="M2" s="4" t="inlineStr">
        <is>
          <t>Dec</t>
        </is>
      </c>
      <c r="N2" s="5" t="inlineStr">
        <is>
          <t>FY2025
Total</t>
        </is>
      </c>
      <c r="O2" s="4" t="inlineStr">
        <is>
          <t>Jan</t>
        </is>
      </c>
      <c r="P2" s="4" t="inlineStr">
        <is>
          <t>Feb</t>
        </is>
      </c>
      <c r="Q2" s="4" t="inlineStr">
        <is>
          <t>Mar</t>
        </is>
      </c>
      <c r="R2" s="4" t="inlineStr">
        <is>
          <t>Apr</t>
        </is>
      </c>
      <c r="S2" s="4" t="inlineStr">
        <is>
          <t>May</t>
        </is>
      </c>
      <c r="T2" s="4" t="inlineStr">
        <is>
          <t>Jun</t>
        </is>
      </c>
      <c r="U2" s="4" t="inlineStr">
        <is>
          <t>Jul</t>
        </is>
      </c>
      <c r="V2" s="4" t="inlineStr">
        <is>
          <t>Aug</t>
        </is>
      </c>
      <c r="W2" s="4" t="inlineStr">
        <is>
          <t>Sep</t>
        </is>
      </c>
      <c r="X2" s="4" t="inlineStr">
        <is>
          <t>Oct</t>
        </is>
      </c>
      <c r="Y2" s="4" t="inlineStr">
        <is>
          <t>Nov</t>
        </is>
      </c>
      <c r="Z2" s="4" t="inlineStr">
        <is>
          <t>Dec</t>
        </is>
      </c>
      <c r="AA2" s="4" t="inlineStr">
        <is>
          <t>YTD</t>
        </is>
      </c>
      <c r="AB2" s="5" t="inlineStr">
        <is>
          <t>FY2026
Outlook</t>
        </is>
      </c>
      <c r="AC2" s="4" t="inlineStr">
        <is>
          <t>Jan</t>
        </is>
      </c>
      <c r="AD2" s="4" t="inlineStr">
        <is>
          <t>Feb</t>
        </is>
      </c>
      <c r="AE2" s="4" t="inlineStr">
        <is>
          <t>Mar</t>
        </is>
      </c>
      <c r="AF2" s="4" t="inlineStr">
        <is>
          <t>Apr</t>
        </is>
      </c>
      <c r="AG2" s="4" t="inlineStr">
        <is>
          <t>May</t>
        </is>
      </c>
      <c r="AH2" s="4" t="inlineStr">
        <is>
          <t>Jun</t>
        </is>
      </c>
      <c r="AI2" s="33" t="inlineStr">
        <is>
          <t>Jul-Dec
Plan</t>
        </is>
      </c>
      <c r="AJ2" s="4" t="inlineStr">
        <is>
          <t>FY2027</t>
        </is>
      </c>
      <c r="AK2" s="6" t="inlineStr">
        <is>
          <t>25→26
%</t>
        </is>
      </c>
      <c r="AL2" s="6" t="inlineStr">
        <is>
          <t>26→27
%</t>
        </is>
      </c>
    </row>
    <row r="3" ht="15" customHeight="1">
      <c r="A3" s="7" t="inlineStr">
        <is>
          <t>INCOME</t>
        </is>
      </c>
    </row>
    <row r="4" ht="13" customHeight="1">
      <c r="A4" s="8" t="inlineStr">
        <is>
          <t xml:space="preserve">    Fee Income Regular</t>
        </is>
      </c>
      <c r="B4" s="9" t="n">
        <v>22608.68</v>
      </c>
      <c r="C4" s="9" t="n">
        <v>22243.72</v>
      </c>
      <c r="D4" s="9" t="n">
        <v>27570.94</v>
      </c>
      <c r="E4" s="9" t="n">
        <v>32753.01</v>
      </c>
      <c r="F4" s="9" t="n">
        <v>29946.42</v>
      </c>
      <c r="G4" s="9" t="n">
        <v>32181.69</v>
      </c>
      <c r="H4" s="9" t="n">
        <v>44859.07</v>
      </c>
      <c r="I4" s="9" t="n">
        <v>41767.17</v>
      </c>
      <c r="J4" s="9" t="n">
        <v>32212.18</v>
      </c>
      <c r="K4" s="9" t="n">
        <v>31485.29</v>
      </c>
      <c r="L4" s="9" t="n">
        <v>27574.28</v>
      </c>
      <c r="M4" s="9" t="n">
        <v>37778.25</v>
      </c>
      <c r="N4" s="9">
        <f>SUM(B4:M4)</f>
        <v/>
      </c>
      <c r="O4" s="9" t="n">
        <v>33113.54000000001</v>
      </c>
      <c r="P4" s="9" t="n">
        <v>31541.7</v>
      </c>
      <c r="Q4" s="9" t="n">
        <v>35742.73</v>
      </c>
      <c r="R4" s="9" t="n">
        <v>40112.94</v>
      </c>
      <c r="S4" s="9" t="n">
        <v>32985.60000000001</v>
      </c>
      <c r="T4" s="9" t="n">
        <v>34775.34</v>
      </c>
      <c r="U4" s="9" t="n">
        <v>43764.87000000001</v>
      </c>
      <c r="AA4" s="9">
        <f>SUM(O4:U4)</f>
        <v/>
      </c>
      <c r="AB4" s="9">
        <f>SUM(O4:Z4)</f>
        <v/>
      </c>
      <c r="AC4" s="9" t="n">
        <v>38106.5</v>
      </c>
      <c r="AD4" s="9" t="n">
        <v>35852.39</v>
      </c>
      <c r="AE4" s="9" t="n">
        <v>43430.94</v>
      </c>
      <c r="AF4" s="9" t="n">
        <v>32359.2</v>
      </c>
      <c r="AG4" s="9" t="n">
        <v>31981.84</v>
      </c>
      <c r="AH4" s="9" t="n">
        <v>34163.18</v>
      </c>
      <c r="AI4" s="34">
        <f>SUM(AC4:AH4)</f>
        <v/>
      </c>
      <c r="AJ4" s="9">
        <f>SUM(AC4:AH4)+AI4</f>
        <v/>
      </c>
      <c r="AK4" s="11">
        <f>IF(N4&lt;&gt;0,(AB4-N4)/ABS(N4),0)</f>
        <v/>
      </c>
      <c r="AL4" s="11">
        <f>IF(AB4&lt;&gt;0,(AJ4-AB4)/ABS(AB4),0)</f>
        <v/>
      </c>
    </row>
    <row r="5" ht="13" customHeight="1">
      <c r="A5" s="8" t="inlineStr">
        <is>
          <t xml:space="preserve">    EEEF Embedded</t>
        </is>
      </c>
      <c r="B5" s="9" t="n">
        <v>5242.38</v>
      </c>
      <c r="C5" s="9" t="n">
        <v>14026.65</v>
      </c>
      <c r="D5" s="9" t="n">
        <v>14026.65</v>
      </c>
      <c r="E5" s="9" t="n">
        <v>5098.36</v>
      </c>
      <c r="F5" s="9" t="n">
        <v>5098.36</v>
      </c>
      <c r="G5" s="9" t="n">
        <v>21148.51</v>
      </c>
      <c r="H5" s="9" t="n">
        <v>21148.51</v>
      </c>
      <c r="I5" s="9" t="n">
        <v>0</v>
      </c>
      <c r="J5" s="9" t="n">
        <v>7047.23</v>
      </c>
      <c r="K5" s="9" t="n">
        <v>18081.4</v>
      </c>
      <c r="L5" s="9" t="n">
        <v>18081.4</v>
      </c>
      <c r="M5" s="9" t="n">
        <v>22099.92</v>
      </c>
      <c r="N5" s="9">
        <f>SUM(B5:M5)</f>
        <v/>
      </c>
      <c r="O5" s="9" t="n">
        <v>8524.280000000001</v>
      </c>
      <c r="P5" s="9" t="n">
        <v>23183.36</v>
      </c>
      <c r="Q5" s="9" t="n">
        <v>27880.5</v>
      </c>
      <c r="R5" s="9" t="n">
        <v>19300.66</v>
      </c>
      <c r="S5" s="9" t="n">
        <v>19300.66</v>
      </c>
      <c r="T5" s="9" t="n">
        <v>19088.16</v>
      </c>
      <c r="U5" s="9" t="n">
        <v>21005.55</v>
      </c>
      <c r="AA5" s="9">
        <f>SUM(O5:U5)</f>
        <v/>
      </c>
      <c r="AB5" s="9">
        <f>SUM(O5:Z5)</f>
        <v/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34">
        <f>SUM(AC5:AH5)</f>
        <v/>
      </c>
      <c r="AJ5" s="9">
        <f>SUM(AC5:AH5)+AI5</f>
        <v/>
      </c>
      <c r="AK5" s="11">
        <f>IF(N5&lt;&gt;0,(AB5-N5)/ABS(N5),0)</f>
        <v/>
      </c>
      <c r="AL5" s="11">
        <f>IF(AB5&lt;&gt;0,(AJ5-AB5)/ABS(AB5),0)</f>
        <v/>
      </c>
    </row>
    <row r="6" ht="13" customHeight="1">
      <c r="A6" s="8" t="inlineStr">
        <is>
          <t xml:space="preserve">    Other Income</t>
        </is>
      </c>
      <c r="B6" s="9" t="n">
        <v>0</v>
      </c>
      <c r="C6" s="9" t="n">
        <v>0</v>
      </c>
      <c r="D6" s="9" t="n">
        <v>0</v>
      </c>
      <c r="E6" s="9" t="n">
        <v>300</v>
      </c>
      <c r="F6" s="9" t="n">
        <v>150</v>
      </c>
      <c r="G6" s="9" t="n">
        <v>2213.27</v>
      </c>
      <c r="H6" s="9" t="n">
        <v>300</v>
      </c>
      <c r="I6" s="9" t="n">
        <v>300</v>
      </c>
      <c r="J6" s="9" t="n">
        <v>150</v>
      </c>
      <c r="K6" s="9" t="n">
        <v>230</v>
      </c>
      <c r="L6" s="9" t="n">
        <v>150</v>
      </c>
      <c r="M6" s="9" t="n">
        <v>150</v>
      </c>
      <c r="N6" s="9">
        <f>SUM(B6:M6)</f>
        <v/>
      </c>
      <c r="O6" s="9" t="n">
        <v>150</v>
      </c>
      <c r="P6" s="9" t="n">
        <v>150</v>
      </c>
      <c r="Q6" s="9" t="n">
        <v>150</v>
      </c>
      <c r="R6" s="9" t="n">
        <v>159.23</v>
      </c>
      <c r="S6" s="9" t="n">
        <v>150</v>
      </c>
      <c r="T6" s="9" t="n">
        <v>150</v>
      </c>
      <c r="U6" s="9" t="n">
        <v>0</v>
      </c>
      <c r="AA6" s="9">
        <f>SUM(O6:U6)</f>
        <v/>
      </c>
      <c r="AB6" s="9">
        <f>SUM(O6:Z6)</f>
        <v/>
      </c>
      <c r="AC6" s="9" t="n">
        <v>0</v>
      </c>
      <c r="AD6" s="9" t="n">
        <v>0</v>
      </c>
      <c r="AE6" s="9" t="n">
        <v>0</v>
      </c>
      <c r="AF6" s="9" t="n">
        <v>0</v>
      </c>
      <c r="AG6" s="9" t="n">
        <v>0</v>
      </c>
      <c r="AH6" s="9" t="n">
        <v>0</v>
      </c>
      <c r="AI6" s="34">
        <f>SUM(AC6:AH6)</f>
        <v/>
      </c>
      <c r="AJ6" s="9">
        <f>SUM(AC6:AH6)+AI6</f>
        <v/>
      </c>
      <c r="AK6" s="11">
        <f>IF(N6&lt;&gt;0,(AB6-N6)/ABS(N6),0)</f>
        <v/>
      </c>
      <c r="AL6" s="11">
        <f>IF(AB6&lt;&gt;0,(AJ6-AB6)/ABS(AB6),0)</f>
        <v/>
      </c>
    </row>
    <row r="7" ht="13" customHeight="1">
      <c r="A7" s="12" t="inlineStr">
        <is>
          <t>Total Income</t>
        </is>
      </c>
      <c r="B7" s="13">
        <f>B4+B5+B6</f>
        <v/>
      </c>
      <c r="C7" s="13">
        <f>C4+C5+C6</f>
        <v/>
      </c>
      <c r="D7" s="13">
        <f>D4+D5+D6</f>
        <v/>
      </c>
      <c r="E7" s="13">
        <f>E4+E5+E6</f>
        <v/>
      </c>
      <c r="F7" s="13">
        <f>F4+F5+F6</f>
        <v/>
      </c>
      <c r="G7" s="13">
        <f>G4+G5+G6</f>
        <v/>
      </c>
      <c r="H7" s="13">
        <f>H4+H5+H6</f>
        <v/>
      </c>
      <c r="I7" s="13">
        <f>I4+I5+I6</f>
        <v/>
      </c>
      <c r="J7" s="13">
        <f>J4+J5+J6</f>
        <v/>
      </c>
      <c r="K7" s="13">
        <f>K4+K5+K6</f>
        <v/>
      </c>
      <c r="L7" s="13">
        <f>L4+L5+L6</f>
        <v/>
      </c>
      <c r="M7" s="13">
        <f>M4+M5+M6</f>
        <v/>
      </c>
      <c r="N7" s="13">
        <f>N4+N5+N6</f>
        <v/>
      </c>
      <c r="O7" s="13">
        <f>O4+O5+O6</f>
        <v/>
      </c>
      <c r="P7" s="13">
        <f>P4+P5+P6</f>
        <v/>
      </c>
      <c r="Q7" s="13">
        <f>Q4+Q5+Q6</f>
        <v/>
      </c>
      <c r="R7" s="13">
        <f>R4+R5+R6</f>
        <v/>
      </c>
      <c r="S7" s="13">
        <f>S4+S5+S6</f>
        <v/>
      </c>
      <c r="T7" s="13">
        <f>T4+T5+T6</f>
        <v/>
      </c>
      <c r="U7" s="13">
        <f>U4+U5+U6</f>
        <v/>
      </c>
      <c r="V7" s="13">
        <f>V4+V5+V6</f>
        <v/>
      </c>
      <c r="W7" s="13">
        <f>W4+W5+W6</f>
        <v/>
      </c>
      <c r="X7" s="13">
        <f>X4+X5+X6</f>
        <v/>
      </c>
      <c r="Y7" s="13">
        <f>Y4+Y5+Y6</f>
        <v/>
      </c>
      <c r="Z7" s="13">
        <f>Z4+Z5+Z6</f>
        <v/>
      </c>
      <c r="AA7" s="13">
        <f>AA4+AA5+AA6</f>
        <v/>
      </c>
      <c r="AB7" s="13">
        <f>AB4+AB5+AB6</f>
        <v/>
      </c>
      <c r="AC7" s="13">
        <f>AC4+AC5+AC6</f>
        <v/>
      </c>
      <c r="AD7" s="13">
        <f>AD4+AD5+AD6</f>
        <v/>
      </c>
      <c r="AE7" s="13">
        <f>AE4+AE5+AE6</f>
        <v/>
      </c>
      <c r="AF7" s="13">
        <f>AF4+AF5+AF6</f>
        <v/>
      </c>
      <c r="AG7" s="13">
        <f>AG4+AG5+AG6</f>
        <v/>
      </c>
      <c r="AH7" s="13">
        <f>AH4+AH5+AH6</f>
        <v/>
      </c>
      <c r="AI7" s="13">
        <f>AI4+AI5+AI6</f>
        <v/>
      </c>
      <c r="AJ7" s="13">
        <f>AJ4+AJ5+AJ6</f>
        <v/>
      </c>
      <c r="AK7" s="11">
        <f>IF(N7&lt;&gt;0,(AB7-N7)/ABS(N7),0)</f>
        <v/>
      </c>
      <c r="AL7" s="11">
        <f>IF(AB7&lt;&gt;0,(AJ7-AB7)/ABS(AB7),0)</f>
        <v/>
      </c>
    </row>
    <row r="8" ht="5" customHeight="1"/>
    <row r="9" ht="15" customHeight="1">
      <c r="A9" s="7" t="inlineStr">
        <is>
          <t>DIRECT COSTS</t>
        </is>
      </c>
    </row>
    <row r="10" ht="13" customHeight="1">
      <c r="A10" s="14" t="inlineStr">
        <is>
          <t>Personnel</t>
        </is>
      </c>
    </row>
    <row r="11" ht="13" customHeight="1">
      <c r="A11" s="15" t="inlineStr">
        <is>
          <t xml:space="preserve">    Nursery Salaries</t>
        </is>
      </c>
      <c r="B11" s="16" t="n">
        <v>14028.96</v>
      </c>
      <c r="C11" s="16" t="n">
        <v>16418.51</v>
      </c>
      <c r="D11" s="16" t="n">
        <v>17522.64</v>
      </c>
      <c r="E11" s="16" t="n">
        <v>18482.09</v>
      </c>
      <c r="F11" s="16" t="n">
        <v>20020.2</v>
      </c>
      <c r="G11" s="16" t="n">
        <v>19124.39</v>
      </c>
      <c r="H11" s="16" t="n">
        <v>19993.06</v>
      </c>
      <c r="I11" s="16" t="n">
        <v>18672.65</v>
      </c>
      <c r="J11" s="16" t="n">
        <v>22682.26</v>
      </c>
      <c r="K11" s="16" t="n">
        <v>23747.06</v>
      </c>
      <c r="L11" s="16" t="n">
        <v>22885.49</v>
      </c>
      <c r="M11" s="16" t="n">
        <v>23532.82</v>
      </c>
      <c r="N11" s="16">
        <f>SUM(B11:M11)</f>
        <v/>
      </c>
      <c r="O11" s="16" t="n">
        <v>21737.98</v>
      </c>
      <c r="P11" s="16" t="n">
        <v>23681.85</v>
      </c>
      <c r="Q11" s="16" t="n">
        <v>23572.62</v>
      </c>
      <c r="R11" s="16" t="n">
        <v>22709.62</v>
      </c>
      <c r="S11" s="16" t="n">
        <v>24378.86</v>
      </c>
      <c r="T11" s="16" t="n">
        <v>25046.45</v>
      </c>
      <c r="U11" s="16" t="n">
        <v>26811.22</v>
      </c>
      <c r="AA11" s="16">
        <f>SUM(O11:U11)</f>
        <v/>
      </c>
      <c r="AB11" s="16">
        <f>SUM(O11:Z11)</f>
        <v/>
      </c>
      <c r="AC11" s="16" t="n">
        <v>24045</v>
      </c>
      <c r="AD11" s="16" t="n">
        <v>24045</v>
      </c>
      <c r="AE11" s="16" t="n">
        <v>24045</v>
      </c>
      <c r="AF11" s="16" t="n">
        <v>24045</v>
      </c>
      <c r="AG11" s="16" t="n">
        <v>24045</v>
      </c>
      <c r="AH11" s="16" t="n">
        <v>24045</v>
      </c>
      <c r="AI11" s="34">
        <f>SUM(AC11:AH11)</f>
        <v/>
      </c>
      <c r="AJ11" s="16">
        <f>SUM(AC11:AH11)+AI11</f>
        <v/>
      </c>
      <c r="AK11" s="11">
        <f>IF(N11&lt;&gt;0,(AB11-N11)/ABS(N11),0)</f>
        <v/>
      </c>
      <c r="AL11" s="11">
        <f>IF(AB11&lt;&gt;0,(AJ11-AB11)/ABS(AB11),0)</f>
        <v/>
      </c>
    </row>
    <row r="12" ht="13" customHeight="1">
      <c r="A12" s="15" t="inlineStr">
        <is>
          <t xml:space="preserve">    Nursery NI</t>
        </is>
      </c>
      <c r="B12" s="16" t="n">
        <v>1203.75</v>
      </c>
      <c r="C12" s="16" t="n">
        <v>1428.91</v>
      </c>
      <c r="D12" s="16" t="n">
        <v>1476.68</v>
      </c>
      <c r="E12" s="16" t="n">
        <v>2209.36</v>
      </c>
      <c r="F12" s="16" t="n">
        <v>2440.06</v>
      </c>
      <c r="G12" s="16" t="n">
        <v>2305.71</v>
      </c>
      <c r="H12" s="16" t="n">
        <v>2435.99</v>
      </c>
      <c r="I12" s="16" t="n">
        <v>2237.92</v>
      </c>
      <c r="J12" s="16" t="n">
        <v>2496.6</v>
      </c>
      <c r="K12" s="16" t="n">
        <v>2529.67</v>
      </c>
      <c r="L12" s="16" t="n">
        <v>2509.06</v>
      </c>
      <c r="M12" s="16" t="n">
        <v>2620.8</v>
      </c>
      <c r="N12" s="16">
        <f>SUM(B12:M12)</f>
        <v/>
      </c>
      <c r="O12" s="16" t="n">
        <v>2278.05</v>
      </c>
      <c r="P12" s="16" t="n">
        <v>2565.96</v>
      </c>
      <c r="Q12" s="16" t="n">
        <v>2663.88</v>
      </c>
      <c r="R12" s="16" t="n">
        <v>2675.84</v>
      </c>
      <c r="S12" s="16" t="n">
        <v>2716.1</v>
      </c>
      <c r="T12" s="16" t="n">
        <v>2746.05</v>
      </c>
      <c r="U12" s="16" t="n">
        <v>2955.86</v>
      </c>
      <c r="AA12" s="16">
        <f>SUM(O12:U12)</f>
        <v/>
      </c>
      <c r="AB12" s="16">
        <f>SUM(O12:Z12)</f>
        <v/>
      </c>
      <c r="AC12" s="16" t="n">
        <v>2713</v>
      </c>
      <c r="AD12" s="16" t="n">
        <v>2713</v>
      </c>
      <c r="AE12" s="16" t="n">
        <v>2713</v>
      </c>
      <c r="AF12" s="16" t="n">
        <v>2713</v>
      </c>
      <c r="AG12" s="16" t="n">
        <v>2713</v>
      </c>
      <c r="AH12" s="16" t="n">
        <v>2713</v>
      </c>
      <c r="AI12" s="34">
        <f>SUM(AC12:AH12)</f>
        <v/>
      </c>
      <c r="AJ12" s="16">
        <f>SUM(AC12:AH12)+AI12</f>
        <v/>
      </c>
      <c r="AK12" s="11">
        <f>IF(N12&lt;&gt;0,(AB12-N12)/ABS(N12),0)</f>
        <v/>
      </c>
      <c r="AL12" s="11">
        <f>IF(AB12&lt;&gt;0,(AJ12-AB12)/ABS(AB12),0)</f>
        <v/>
      </c>
    </row>
    <row r="13" ht="13" customHeight="1">
      <c r="A13" s="15" t="inlineStr">
        <is>
          <t xml:space="preserve">    Nursery Pension</t>
        </is>
      </c>
      <c r="B13" s="16" t="n">
        <v>311.63</v>
      </c>
      <c r="C13" s="16" t="n">
        <v>367.72</v>
      </c>
      <c r="D13" s="16" t="n">
        <v>365.22</v>
      </c>
      <c r="E13" s="16" t="n">
        <v>382.57</v>
      </c>
      <c r="F13" s="16" t="n">
        <v>424.4</v>
      </c>
      <c r="G13" s="16" t="n">
        <v>305.58</v>
      </c>
      <c r="H13" s="16" t="n">
        <v>307.23</v>
      </c>
      <c r="I13" s="16" t="n">
        <v>283.62</v>
      </c>
      <c r="J13" s="16" t="n">
        <v>355.96</v>
      </c>
      <c r="K13" s="16" t="n">
        <v>382.65</v>
      </c>
      <c r="L13" s="16" t="n">
        <v>386.03</v>
      </c>
      <c r="M13" s="16" t="n">
        <v>392.32</v>
      </c>
      <c r="N13" s="16">
        <f>SUM(B13:M13)</f>
        <v/>
      </c>
      <c r="O13" s="16" t="n">
        <v>315.27</v>
      </c>
      <c r="P13" s="16" t="n">
        <v>466.06</v>
      </c>
      <c r="Q13" s="16" t="n">
        <v>442.88</v>
      </c>
      <c r="R13" s="16" t="n">
        <v>419.77</v>
      </c>
      <c r="S13" s="16" t="n">
        <v>440.94</v>
      </c>
      <c r="T13" s="16" t="n">
        <v>498.05</v>
      </c>
      <c r="U13" s="16" t="n">
        <v>494.63</v>
      </c>
      <c r="AA13" s="16">
        <f>SUM(O13:U13)</f>
        <v/>
      </c>
      <c r="AB13" s="16">
        <f>SUM(O13:Z13)</f>
        <v/>
      </c>
      <c r="AC13" s="16" t="n">
        <v>453</v>
      </c>
      <c r="AD13" s="16" t="n">
        <v>453</v>
      </c>
      <c r="AE13" s="16" t="n">
        <v>453</v>
      </c>
      <c r="AF13" s="16" t="n">
        <v>453</v>
      </c>
      <c r="AG13" s="16" t="n">
        <v>453</v>
      </c>
      <c r="AH13" s="16" t="n">
        <v>453</v>
      </c>
      <c r="AI13" s="34">
        <f>SUM(AC13:AH13)</f>
        <v/>
      </c>
      <c r="AJ13" s="16">
        <f>SUM(AC13:AH13)+AI13</f>
        <v/>
      </c>
      <c r="AK13" s="11">
        <f>IF(N13&lt;&gt;0,(AB13-N13)/ABS(N13),0)</f>
        <v/>
      </c>
      <c r="AL13" s="11">
        <f>IF(AB13&lt;&gt;0,(AJ13-AB13)/ABS(AB13),0)</f>
        <v/>
      </c>
    </row>
    <row r="14" ht="13" customHeight="1">
      <c r="A14" s="15" t="inlineStr">
        <is>
          <t xml:space="preserve">    Uniform</t>
        </is>
      </c>
      <c r="B14" s="16" t="n">
        <v>0</v>
      </c>
      <c r="C14" s="16" t="n">
        <v>0</v>
      </c>
      <c r="D14" s="16" t="n">
        <v>166.92</v>
      </c>
      <c r="E14" s="16" t="n">
        <v>0</v>
      </c>
      <c r="F14" s="16" t="n">
        <v>0</v>
      </c>
      <c r="G14" s="16" t="n">
        <v>155.16</v>
      </c>
      <c r="H14" s="16" t="n">
        <v>0</v>
      </c>
      <c r="I14" s="16" t="n">
        <v>0</v>
      </c>
      <c r="J14" s="16" t="n">
        <v>274.38</v>
      </c>
      <c r="K14" s="16" t="n">
        <v>0</v>
      </c>
      <c r="L14" s="16" t="n">
        <v>0</v>
      </c>
      <c r="M14" s="16" t="n">
        <v>0</v>
      </c>
      <c r="N14" s="16">
        <f>SUM(B14:M14)</f>
        <v/>
      </c>
      <c r="O14" s="16" t="n">
        <v>97.73999999999999</v>
      </c>
      <c r="P14" s="16" t="n">
        <v>0</v>
      </c>
      <c r="Q14" s="16" t="n">
        <v>0</v>
      </c>
      <c r="R14" s="16" t="n">
        <v>0</v>
      </c>
      <c r="S14" s="16" t="n">
        <v>55.43</v>
      </c>
      <c r="T14" s="16" t="n">
        <v>178.56</v>
      </c>
      <c r="U14" s="16" t="n">
        <v>79.68000000000001</v>
      </c>
      <c r="AA14" s="16">
        <f>SUM(O14:U14)</f>
        <v/>
      </c>
      <c r="AB14" s="16">
        <f>SUM(O14:Z14)</f>
        <v/>
      </c>
      <c r="AC14" s="16" t="n">
        <v>49</v>
      </c>
      <c r="AD14" s="16" t="n">
        <v>49</v>
      </c>
      <c r="AE14" s="16" t="n">
        <v>49</v>
      </c>
      <c r="AF14" s="16" t="n">
        <v>49</v>
      </c>
      <c r="AG14" s="16" t="n">
        <v>49</v>
      </c>
      <c r="AH14" s="16" t="n">
        <v>49</v>
      </c>
      <c r="AI14" s="34">
        <f>SUM(AC14:AH14)</f>
        <v/>
      </c>
      <c r="AJ14" s="16">
        <f>SUM(AC14:AH14)+AI14</f>
        <v/>
      </c>
      <c r="AK14" s="11">
        <f>IF(N14&lt;&gt;0,(AB14-N14)/ABS(N14),0)</f>
        <v/>
      </c>
      <c r="AL14" s="11">
        <f>IF(AB14&lt;&gt;0,(AJ14-AB14)/ABS(AB14),0)</f>
        <v/>
      </c>
    </row>
    <row r="15" ht="13" customHeight="1">
      <c r="A15" s="15" t="inlineStr">
        <is>
          <t xml:space="preserve">    Training</t>
        </is>
      </c>
      <c r="B15" s="16" t="n">
        <v>97.90000000000001</v>
      </c>
      <c r="C15" s="16" t="n">
        <v>24.95</v>
      </c>
      <c r="D15" s="16" t="n">
        <v>53.94</v>
      </c>
      <c r="E15" s="16" t="n">
        <v>109.2</v>
      </c>
      <c r="F15" s="16" t="n">
        <v>36</v>
      </c>
      <c r="G15" s="16" t="n">
        <v>29.94</v>
      </c>
      <c r="H15" s="16" t="n">
        <v>0</v>
      </c>
      <c r="I15" s="16" t="n">
        <v>74.40000000000001</v>
      </c>
      <c r="J15" s="16" t="n">
        <v>387.94</v>
      </c>
      <c r="K15" s="16" t="n">
        <v>115.2</v>
      </c>
      <c r="L15" s="16" t="n">
        <v>45</v>
      </c>
      <c r="M15" s="16" t="n">
        <v>636.5</v>
      </c>
      <c r="N15" s="16">
        <f>SUM(B15:M15)</f>
        <v/>
      </c>
      <c r="O15" s="16" t="n">
        <v>666.6700000000001</v>
      </c>
      <c r="P15" s="16" t="n">
        <v>78</v>
      </c>
      <c r="Q15" s="16" t="n">
        <v>0</v>
      </c>
      <c r="R15" s="16" t="n">
        <v>10</v>
      </c>
      <c r="S15" s="16" t="n">
        <v>78</v>
      </c>
      <c r="T15" s="16" t="n">
        <v>0</v>
      </c>
      <c r="U15" s="16" t="n">
        <v>0</v>
      </c>
      <c r="AA15" s="16">
        <f>SUM(O15:U15)</f>
        <v/>
      </c>
      <c r="AB15" s="16">
        <f>SUM(O15:Z15)</f>
        <v/>
      </c>
      <c r="AC15" s="16" t="n">
        <v>100</v>
      </c>
      <c r="AD15" s="16" t="n">
        <v>100</v>
      </c>
      <c r="AE15" s="16" t="n">
        <v>100</v>
      </c>
      <c r="AF15" s="16" t="n">
        <v>100</v>
      </c>
      <c r="AG15" s="16" t="n">
        <v>100</v>
      </c>
      <c r="AH15" s="16" t="n">
        <v>100</v>
      </c>
      <c r="AI15" s="34">
        <f>SUM(AC15:AH15)</f>
        <v/>
      </c>
      <c r="AJ15" s="16">
        <f>SUM(AC15:AH15)+AI15</f>
        <v/>
      </c>
      <c r="AK15" s="11">
        <f>IF(N15&lt;&gt;0,(AB15-N15)/ABS(N15),0)</f>
        <v/>
      </c>
      <c r="AL15" s="11">
        <f>IF(AB15&lt;&gt;0,(AJ15-AB15)/ABS(AB15),0)</f>
        <v/>
      </c>
    </row>
    <row r="16" ht="13" customHeight="1">
      <c r="A16" s="15" t="inlineStr">
        <is>
          <t xml:space="preserve">    Staff Welfare</t>
        </is>
      </c>
      <c r="B16" s="16" t="n">
        <v>6</v>
      </c>
      <c r="C16" s="16" t="n">
        <v>169.43</v>
      </c>
      <c r="D16" s="16" t="n">
        <v>78.2</v>
      </c>
      <c r="E16" s="16" t="n">
        <v>155.13</v>
      </c>
      <c r="F16" s="16" t="n">
        <v>174.31</v>
      </c>
      <c r="G16" s="16" t="n">
        <v>86.18000000000001</v>
      </c>
      <c r="H16" s="16" t="n">
        <v>68.59999999999999</v>
      </c>
      <c r="I16" s="16" t="n">
        <v>55.43</v>
      </c>
      <c r="J16" s="16" t="n">
        <v>96.39</v>
      </c>
      <c r="K16" s="16" t="n">
        <v>12.05</v>
      </c>
      <c r="L16" s="16" t="n">
        <v>77.67</v>
      </c>
      <c r="M16" s="16" t="n">
        <v>88.14</v>
      </c>
      <c r="N16" s="16">
        <f>SUM(B16:M16)</f>
        <v/>
      </c>
      <c r="O16" s="16" t="n">
        <v>73.11</v>
      </c>
      <c r="P16" s="16" t="n">
        <v>37.21</v>
      </c>
      <c r="Q16" s="16" t="n">
        <v>47.72</v>
      </c>
      <c r="R16" s="16" t="n">
        <v>77.59999999999999</v>
      </c>
      <c r="S16" s="16" t="n">
        <v>66.87</v>
      </c>
      <c r="T16" s="16" t="n">
        <v>100.93</v>
      </c>
      <c r="U16" s="16" t="n">
        <v>26.72</v>
      </c>
      <c r="AA16" s="16">
        <f>SUM(O16:U16)</f>
        <v/>
      </c>
      <c r="AB16" s="16">
        <f>SUM(O16:Z16)</f>
        <v/>
      </c>
      <c r="AC16" s="16" t="n">
        <v>100</v>
      </c>
      <c r="AD16" s="16" t="n">
        <v>100</v>
      </c>
      <c r="AE16" s="16" t="n">
        <v>100</v>
      </c>
      <c r="AF16" s="16" t="n">
        <v>100</v>
      </c>
      <c r="AG16" s="16" t="n">
        <v>100</v>
      </c>
      <c r="AH16" s="16" t="n">
        <v>100</v>
      </c>
      <c r="AI16" s="34">
        <f>SUM(AC16:AH16)</f>
        <v/>
      </c>
      <c r="AJ16" s="16">
        <f>SUM(AC16:AH16)+AI16</f>
        <v/>
      </c>
      <c r="AK16" s="11">
        <f>IF(N16&lt;&gt;0,(AB16-N16)/ABS(N16),0)</f>
        <v/>
      </c>
      <c r="AL16" s="11">
        <f>IF(AB16&lt;&gt;0,(AJ16-AB16)/ABS(AB16),0)</f>
        <v/>
      </c>
    </row>
    <row r="17" ht="13" customHeight="1">
      <c r="A17" s="15" t="inlineStr">
        <is>
          <t xml:space="preserve">    Recruitment</t>
        </is>
      </c>
      <c r="B17" s="16" t="n">
        <v>0</v>
      </c>
      <c r="C17" s="16" t="n">
        <v>0</v>
      </c>
      <c r="D17" s="16" t="n">
        <v>0</v>
      </c>
      <c r="E17" s="16" t="n">
        <v>0</v>
      </c>
      <c r="F17" s="16" t="n">
        <v>0</v>
      </c>
      <c r="G17" s="16" t="n">
        <v>0</v>
      </c>
      <c r="H17" s="16" t="n">
        <v>0</v>
      </c>
      <c r="I17" s="16" t="n">
        <v>0</v>
      </c>
      <c r="J17" s="16" t="n">
        <v>0</v>
      </c>
      <c r="K17" s="16" t="n">
        <v>0</v>
      </c>
      <c r="L17" s="16" t="n">
        <v>0</v>
      </c>
      <c r="M17" s="16" t="n">
        <v>0</v>
      </c>
      <c r="N17" s="16">
        <f>SUM(B17:M17)</f>
        <v/>
      </c>
      <c r="O17" s="16" t="n">
        <v>0</v>
      </c>
      <c r="P17" s="16" t="n">
        <v>0</v>
      </c>
      <c r="Q17" s="16" t="n">
        <v>0</v>
      </c>
      <c r="R17" s="16" t="n">
        <v>0</v>
      </c>
      <c r="S17" s="16" t="n">
        <v>0</v>
      </c>
      <c r="T17" s="16" t="n">
        <v>0</v>
      </c>
      <c r="U17" s="16" t="n">
        <v>0</v>
      </c>
      <c r="V17" s="16" t="n">
        <v>0</v>
      </c>
      <c r="W17" s="16" t="n">
        <v>0</v>
      </c>
      <c r="X17" s="16" t="n">
        <v>0</v>
      </c>
      <c r="Y17" s="16" t="n">
        <v>0</v>
      </c>
      <c r="Z17" s="16" t="n">
        <v>0</v>
      </c>
      <c r="AA17" s="16">
        <f>SUM(O17:U17)</f>
        <v/>
      </c>
      <c r="AB17" s="16">
        <f>SUM(O17:Z17)</f>
        <v/>
      </c>
      <c r="AC17" s="16" t="n">
        <v>0</v>
      </c>
      <c r="AD17" s="16" t="n">
        <v>0</v>
      </c>
      <c r="AE17" s="16" t="n">
        <v>0</v>
      </c>
      <c r="AF17" s="16" t="n">
        <v>0</v>
      </c>
      <c r="AG17" s="16" t="n">
        <v>0</v>
      </c>
      <c r="AH17" s="16" t="n">
        <v>0</v>
      </c>
      <c r="AI17" s="34">
        <f>SUM(AC17:AH17)</f>
        <v/>
      </c>
      <c r="AJ17" s="16">
        <f>SUM(AC17:AH17)+AI17</f>
        <v/>
      </c>
      <c r="AK17" s="11">
        <f>IF(N17&lt;&gt;0,(AB17-N17)/ABS(N17),0)</f>
        <v/>
      </c>
      <c r="AL17" s="11">
        <f>IF(AB17&lt;&gt;0,(AJ17-AB17)/ABS(AB17),0)</f>
        <v/>
      </c>
    </row>
    <row r="18" ht="13" customHeight="1">
      <c r="A18" s="15" t="inlineStr">
        <is>
          <t xml:space="preserve">    Rewards &amp; Recognition</t>
        </is>
      </c>
      <c r="B18" s="16" t="n">
        <v>0</v>
      </c>
      <c r="C18" s="16" t="n">
        <v>0</v>
      </c>
      <c r="D18" s="16" t="n">
        <v>0</v>
      </c>
      <c r="E18" s="16" t="n">
        <v>0</v>
      </c>
      <c r="F18" s="16" t="n">
        <v>0</v>
      </c>
      <c r="G18" s="16" t="n">
        <v>0</v>
      </c>
      <c r="H18" s="16" t="n">
        <v>45</v>
      </c>
      <c r="I18" s="16" t="n">
        <v>0</v>
      </c>
      <c r="J18" s="16" t="n">
        <v>62.98</v>
      </c>
      <c r="K18" s="16" t="n">
        <v>32.48</v>
      </c>
      <c r="L18" s="16" t="n">
        <v>14.88</v>
      </c>
      <c r="M18" s="16" t="n">
        <v>130.64</v>
      </c>
      <c r="N18" s="16">
        <f>SUM(B18:M18)</f>
        <v/>
      </c>
      <c r="O18" s="16" t="n">
        <v>18.95</v>
      </c>
      <c r="P18" s="16" t="n">
        <v>58.3</v>
      </c>
      <c r="Q18" s="16" t="n">
        <v>0</v>
      </c>
      <c r="R18" s="16" t="n">
        <v>0</v>
      </c>
      <c r="S18" s="16" t="n">
        <v>0</v>
      </c>
      <c r="T18" s="16" t="n">
        <v>0</v>
      </c>
      <c r="U18" s="16" t="n">
        <v>74.22</v>
      </c>
      <c r="AA18" s="16">
        <f>SUM(O18:U18)</f>
        <v/>
      </c>
      <c r="AB18" s="16">
        <f>SUM(O18:Z18)</f>
        <v/>
      </c>
      <c r="AC18" s="16" t="n">
        <v>42</v>
      </c>
      <c r="AD18" s="16" t="n">
        <v>42</v>
      </c>
      <c r="AE18" s="16" t="n">
        <v>42</v>
      </c>
      <c r="AF18" s="16" t="n">
        <v>42</v>
      </c>
      <c r="AG18" s="16" t="n">
        <v>42</v>
      </c>
      <c r="AH18" s="16" t="n">
        <v>42</v>
      </c>
      <c r="AI18" s="34">
        <f>SUM(AC18:AH18)</f>
        <v/>
      </c>
      <c r="AJ18" s="16">
        <f>SUM(AC18:AH18)+AI18</f>
        <v/>
      </c>
      <c r="AK18" s="11">
        <f>IF(N18&lt;&gt;0,(AB18-N18)/ABS(N18),0)</f>
        <v/>
      </c>
      <c r="AL18" s="11">
        <f>IF(AB18&lt;&gt;0,(AJ18-AB18)/ABS(AB18),0)</f>
        <v/>
      </c>
    </row>
    <row r="19" ht="13" customHeight="1">
      <c r="A19" s="15" t="inlineStr">
        <is>
          <t xml:space="preserve">    Temps</t>
        </is>
      </c>
      <c r="B19" s="16" t="n">
        <v>0</v>
      </c>
      <c r="C19" s="16" t="n">
        <v>0</v>
      </c>
      <c r="D19" s="16" t="n">
        <v>0</v>
      </c>
      <c r="E19" s="16" t="n">
        <v>0</v>
      </c>
      <c r="F19" s="16" t="n">
        <v>0</v>
      </c>
      <c r="G19" s="16" t="n">
        <v>0</v>
      </c>
      <c r="H19" s="16" t="n">
        <v>0</v>
      </c>
      <c r="I19" s="16" t="n">
        <v>0</v>
      </c>
      <c r="J19" s="16" t="n">
        <v>0</v>
      </c>
      <c r="K19" s="16" t="n">
        <v>0</v>
      </c>
      <c r="L19" s="16" t="n">
        <v>0</v>
      </c>
      <c r="M19" s="16" t="n">
        <v>0</v>
      </c>
      <c r="N19" s="16">
        <f>SUM(B19:M19)</f>
        <v/>
      </c>
      <c r="O19" s="16" t="n">
        <v>0</v>
      </c>
      <c r="P19" s="16" t="n">
        <v>0</v>
      </c>
      <c r="Q19" s="16" t="n">
        <v>0</v>
      </c>
      <c r="R19" s="16" t="n">
        <v>0</v>
      </c>
      <c r="S19" s="16" t="n">
        <v>0</v>
      </c>
      <c r="T19" s="16" t="n">
        <v>0</v>
      </c>
      <c r="U19" s="16" t="n">
        <v>0</v>
      </c>
      <c r="V19" s="16" t="n">
        <v>0</v>
      </c>
      <c r="W19" s="16" t="n">
        <v>0</v>
      </c>
      <c r="X19" s="16" t="n">
        <v>0</v>
      </c>
      <c r="Y19" s="16" t="n">
        <v>0</v>
      </c>
      <c r="Z19" s="16" t="n">
        <v>0</v>
      </c>
      <c r="AA19" s="16">
        <f>SUM(O19:U19)</f>
        <v/>
      </c>
      <c r="AB19" s="16">
        <f>SUM(O19:Z19)</f>
        <v/>
      </c>
      <c r="AC19" s="16" t="n">
        <v>0</v>
      </c>
      <c r="AD19" s="16" t="n">
        <v>0</v>
      </c>
      <c r="AE19" s="16" t="n">
        <v>0</v>
      </c>
      <c r="AF19" s="16" t="n">
        <v>0</v>
      </c>
      <c r="AG19" s="16" t="n">
        <v>0</v>
      </c>
      <c r="AH19" s="16" t="n">
        <v>0</v>
      </c>
      <c r="AI19" s="34">
        <f>SUM(AC19:AH19)</f>
        <v/>
      </c>
      <c r="AJ19" s="16">
        <f>SUM(AC19:AH19)+AI19</f>
        <v/>
      </c>
      <c r="AK19" s="11">
        <f>IF(N19&lt;&gt;0,(AB19-N19)/ABS(N19),0)</f>
        <v/>
      </c>
      <c r="AL19" s="11">
        <f>IF(AB19&lt;&gt;0,(AJ19-AB19)/ABS(AB19),0)</f>
        <v/>
      </c>
    </row>
    <row r="20" ht="13" customHeight="1">
      <c r="A20" s="17" t="inlineStr">
        <is>
          <t>Total Personnel</t>
        </is>
      </c>
      <c r="B20" s="18">
        <f>B11+B12+B13+B14+B15+B16+B17+B18+B19</f>
        <v/>
      </c>
      <c r="C20" s="18">
        <f>C11+C12+C13+C14+C15+C16+C17+C18+C19</f>
        <v/>
      </c>
      <c r="D20" s="18">
        <f>D11+D12+D13+D14+D15+D16+D17+D18+D19</f>
        <v/>
      </c>
      <c r="E20" s="18">
        <f>E11+E12+E13+E14+E15+E16+E17+E18+E19</f>
        <v/>
      </c>
      <c r="F20" s="18">
        <f>F11+F12+F13+F14+F15+F16+F17+F18+F19</f>
        <v/>
      </c>
      <c r="G20" s="18">
        <f>G11+G12+G13+G14+G15+G16+G17+G18+G19</f>
        <v/>
      </c>
      <c r="H20" s="18">
        <f>H11+H12+H13+H14+H15+H16+H17+H18+H19</f>
        <v/>
      </c>
      <c r="I20" s="18">
        <f>I11+I12+I13+I14+I15+I16+I17+I18+I19</f>
        <v/>
      </c>
      <c r="J20" s="18">
        <f>J11+J12+J13+J14+J15+J16+J17+J18+J19</f>
        <v/>
      </c>
      <c r="K20" s="18">
        <f>K11+K12+K13+K14+K15+K16+K17+K18+K19</f>
        <v/>
      </c>
      <c r="L20" s="18">
        <f>L11+L12+L13+L14+L15+L16+L17+L18+L19</f>
        <v/>
      </c>
      <c r="M20" s="18">
        <f>M11+M12+M13+M14+M15+M16+M17+M18+M19</f>
        <v/>
      </c>
      <c r="N20" s="18">
        <f>N11+N12+N13+N14+N15+N16+N17+N18+N19</f>
        <v/>
      </c>
      <c r="O20" s="18">
        <f>O11+O12+O13+O14+O15+O16+O17+O18+O19</f>
        <v/>
      </c>
      <c r="P20" s="18">
        <f>P11+P12+P13+P14+P15+P16+P17+P18+P19</f>
        <v/>
      </c>
      <c r="Q20" s="18">
        <f>Q11+Q12+Q13+Q14+Q15+Q16+Q17+Q18+Q19</f>
        <v/>
      </c>
      <c r="R20" s="18">
        <f>R11+R12+R13+R14+R15+R16+R17+R18+R19</f>
        <v/>
      </c>
      <c r="S20" s="18">
        <f>S11+S12+S13+S14+S15+S16+S17+S18+S19</f>
        <v/>
      </c>
      <c r="T20" s="18">
        <f>T11+T12+T13+T14+T15+T16+T17+T18+T19</f>
        <v/>
      </c>
      <c r="U20" s="18">
        <f>U11+U12+U13+U14+U15+U16+U17+U18+U19</f>
        <v/>
      </c>
      <c r="V20" s="18">
        <f>V11+V12+V13+V14+V15+V16+V17+V18+V19</f>
        <v/>
      </c>
      <c r="W20" s="18">
        <f>W11+W12+W13+W14+W15+W16+W17+W18+W19</f>
        <v/>
      </c>
      <c r="X20" s="18">
        <f>X11+X12+X13+X14+X15+X16+X17+X18+X19</f>
        <v/>
      </c>
      <c r="Y20" s="18">
        <f>Y11+Y12+Y13+Y14+Y15+Y16+Y17+Y18+Y19</f>
        <v/>
      </c>
      <c r="Z20" s="18">
        <f>Z11+Z12+Z13+Z14+Z15+Z16+Z17+Z18+Z19</f>
        <v/>
      </c>
      <c r="AA20" s="18">
        <f>AA11+AA12+AA13+AA14+AA15+AA16+AA17+AA18+AA19</f>
        <v/>
      </c>
      <c r="AB20" s="18">
        <f>AB11+AB12+AB13+AB14+AB15+AB16+AB17+AB18+AB19</f>
        <v/>
      </c>
      <c r="AC20" s="18">
        <f>AC11+AC12+AC13+AC14+AC15+AC16+AC17+AC18+AC19</f>
        <v/>
      </c>
      <c r="AD20" s="18">
        <f>AD11+AD12+AD13+AD14+AD15+AD16+AD17+AD18+AD19</f>
        <v/>
      </c>
      <c r="AE20" s="18">
        <f>AE11+AE12+AE13+AE14+AE15+AE16+AE17+AE18+AE19</f>
        <v/>
      </c>
      <c r="AF20" s="18">
        <f>AF11+AF12+AF13+AF14+AF15+AF16+AF17+AF18+AF19</f>
        <v/>
      </c>
      <c r="AG20" s="18">
        <f>AG11+AG12+AG13+AG14+AG15+AG16+AG17+AG18+AG19</f>
        <v/>
      </c>
      <c r="AH20" s="18">
        <f>AH11+AH12+AH13+AH14+AH15+AH16+AH17+AH18+AH19</f>
        <v/>
      </c>
      <c r="AI20" s="18">
        <f>AI11+AI12+AI13+AI14+AI15+AI16+AI17+AI18+AI19</f>
        <v/>
      </c>
      <c r="AJ20" s="18">
        <f>AJ11+AJ12+AJ13+AJ14+AJ15+AJ16+AJ17+AJ18+AJ19</f>
        <v/>
      </c>
      <c r="AK20" s="11">
        <f>IF(N20&lt;&gt;0,(AB20-N20)/ABS(N20),0)</f>
        <v/>
      </c>
      <c r="AL20" s="11">
        <f>IF(AB20&lt;&gt;0,(AJ20-AB20)/ABS(AB20),0)</f>
        <v/>
      </c>
    </row>
    <row r="21" ht="13" customHeight="1">
      <c r="A21" s="19" t="inlineStr">
        <is>
          <t xml:space="preserve">    Sal:Rev</t>
        </is>
      </c>
      <c r="B21" s="20">
        <f>IF(B7&gt;0,B20/B7,0)</f>
        <v/>
      </c>
      <c r="C21" s="20">
        <f>IF(C7&gt;0,C20/C7,0)</f>
        <v/>
      </c>
      <c r="D21" s="20">
        <f>IF(D7&gt;0,D20/D7,0)</f>
        <v/>
      </c>
      <c r="E21" s="20">
        <f>IF(E7&gt;0,E20/E7,0)</f>
        <v/>
      </c>
      <c r="F21" s="20">
        <f>IF(F7&gt;0,F20/F7,0)</f>
        <v/>
      </c>
      <c r="G21" s="20">
        <f>IF(G7&gt;0,G20/G7,0)</f>
        <v/>
      </c>
      <c r="H21" s="20">
        <f>IF(H7&gt;0,H20/H7,0)</f>
        <v/>
      </c>
      <c r="I21" s="20">
        <f>IF(I7&gt;0,I20/I7,0)</f>
        <v/>
      </c>
      <c r="J21" s="20">
        <f>IF(J7&gt;0,J20/J7,0)</f>
        <v/>
      </c>
      <c r="K21" s="20">
        <f>IF(K7&gt;0,K20/K7,0)</f>
        <v/>
      </c>
      <c r="L21" s="20">
        <f>IF(L7&gt;0,L20/L7,0)</f>
        <v/>
      </c>
      <c r="M21" s="20">
        <f>IF(M7&gt;0,M20/M7,0)</f>
        <v/>
      </c>
      <c r="N21" s="20">
        <f>IF(N7&gt;0,N20/N7,0)</f>
        <v/>
      </c>
      <c r="O21" s="20">
        <f>IF(O7&gt;0,O20/O7,0)</f>
        <v/>
      </c>
      <c r="P21" s="20">
        <f>IF(P7&gt;0,P20/P7,0)</f>
        <v/>
      </c>
      <c r="Q21" s="20">
        <f>IF(Q7&gt;0,Q20/Q7,0)</f>
        <v/>
      </c>
      <c r="R21" s="20">
        <f>IF(R7&gt;0,R20/R7,0)</f>
        <v/>
      </c>
      <c r="S21" s="20">
        <f>IF(S7&gt;0,S20/S7,0)</f>
        <v/>
      </c>
      <c r="T21" s="20">
        <f>IF(T7&gt;0,T20/T7,0)</f>
        <v/>
      </c>
      <c r="U21" s="20">
        <f>IF(U7&gt;0,U20/U7,0)</f>
        <v/>
      </c>
      <c r="V21" s="20">
        <f>IF(V7&gt;0,V20/V7,0)</f>
        <v/>
      </c>
      <c r="W21" s="20">
        <f>IF(W7&gt;0,W20/W7,0)</f>
        <v/>
      </c>
      <c r="X21" s="20">
        <f>IF(X7&gt;0,X20/X7,0)</f>
        <v/>
      </c>
      <c r="Y21" s="20">
        <f>IF(Y7&gt;0,Y20/Y7,0)</f>
        <v/>
      </c>
      <c r="Z21" s="20">
        <f>IF(Z7&gt;0,Z20/Z7,0)</f>
        <v/>
      </c>
      <c r="AA21" s="20">
        <f>IF(AA7&gt;0,AA20/AA7,0)</f>
        <v/>
      </c>
      <c r="AB21" s="20">
        <f>IF(AB7&gt;0,AB20/AB7,0)</f>
        <v/>
      </c>
      <c r="AC21" s="20">
        <f>IF(AC7&gt;0,AC20/AC7,0)</f>
        <v/>
      </c>
      <c r="AD21" s="20">
        <f>IF(AD7&gt;0,AD20/AD7,0)</f>
        <v/>
      </c>
      <c r="AE21" s="20">
        <f>IF(AE7&gt;0,AE20/AE7,0)</f>
        <v/>
      </c>
      <c r="AF21" s="20">
        <f>IF(AF7&gt;0,AF20/AF7,0)</f>
        <v/>
      </c>
      <c r="AG21" s="20">
        <f>IF(AG7&gt;0,AG20/AG7,0)</f>
        <v/>
      </c>
      <c r="AH21" s="20">
        <f>IF(AH7&gt;0,AH20/AH7,0)</f>
        <v/>
      </c>
      <c r="AI21" s="20">
        <f>IF(AI7&gt;0,AI20/AI7,0)</f>
        <v/>
      </c>
      <c r="AJ21" s="20">
        <f>IF(AJ7&gt;0,AJ20/AJ7,0)</f>
        <v/>
      </c>
    </row>
    <row r="22" ht="5" customHeight="1"/>
    <row r="23" ht="13" customHeight="1">
      <c r="A23" s="14" t="inlineStr">
        <is>
          <t>Childcare</t>
        </is>
      </c>
    </row>
    <row r="24" ht="13" customHeight="1">
      <c r="A24" s="21" t="inlineStr">
        <is>
          <t xml:space="preserve">    Catering Costs</t>
        </is>
      </c>
      <c r="N24" s="22">
        <f>SUM(B24:M24)</f>
        <v/>
      </c>
      <c r="O24" s="22" t="n">
        <v>968.6899999999999</v>
      </c>
      <c r="P24" s="22" t="n">
        <v>1153.13</v>
      </c>
      <c r="Q24" s="22" t="n">
        <v>1045.2</v>
      </c>
      <c r="R24" s="22" t="n">
        <v>1430.46</v>
      </c>
      <c r="S24" s="22" t="n">
        <v>861.84</v>
      </c>
      <c r="T24" s="22" t="n">
        <v>1051.83</v>
      </c>
      <c r="U24" s="22" t="n">
        <v>1395.99</v>
      </c>
      <c r="V24" s="22" t="n">
        <v>1046.925048</v>
      </c>
      <c r="W24" s="22" t="n">
        <v>1108.9416</v>
      </c>
      <c r="X24" s="22" t="n">
        <v>1213.1808</v>
      </c>
      <c r="Y24" s="22" t="n">
        <v>1195.116</v>
      </c>
      <c r="Z24" s="22" t="n">
        <v>1179.7344</v>
      </c>
      <c r="AA24" s="22">
        <f>SUM(O24:U24)</f>
        <v/>
      </c>
      <c r="AB24" s="22">
        <f>SUM(O24:Z24)</f>
        <v/>
      </c>
      <c r="AC24" s="22" t="n">
        <v>1188.9228</v>
      </c>
      <c r="AD24" s="22" t="n">
        <v>1118.594568</v>
      </c>
      <c r="AE24" s="22" t="n">
        <v>1355.045328</v>
      </c>
      <c r="AF24" s="22" t="n">
        <v>1009.60704</v>
      </c>
      <c r="AG24" s="22" t="n">
        <v>997.833408</v>
      </c>
      <c r="AH24" s="22" t="n">
        <v>1065.891216</v>
      </c>
      <c r="AI24" s="34">
        <f>SUM(AC24:AH24)</f>
        <v/>
      </c>
      <c r="AJ24" s="22">
        <f>SUM(AC24:AH24)+AI24</f>
        <v/>
      </c>
      <c r="AK24" s="11">
        <f>IF(N24&lt;&gt;0,(AB24-N24)/ABS(N24),0)</f>
        <v/>
      </c>
      <c r="AL24" s="11">
        <f>IF(AB24&lt;&gt;0,(AJ24-AB24)/ABS(AB24),0)</f>
        <v/>
      </c>
    </row>
    <row r="25" ht="13" customHeight="1">
      <c r="A25" s="21" t="inlineStr">
        <is>
          <t xml:space="preserve">    Toys and Games</t>
        </is>
      </c>
      <c r="B25" s="22" t="n">
        <v>683.49</v>
      </c>
      <c r="C25" s="22" t="n">
        <v>332.85</v>
      </c>
      <c r="D25" s="22" t="n">
        <v>213.47</v>
      </c>
      <c r="E25" s="22" t="n">
        <v>84.28999999999999</v>
      </c>
      <c r="F25" s="22" t="n">
        <v>1142.04</v>
      </c>
      <c r="G25" s="22" t="n">
        <v>347.81</v>
      </c>
      <c r="H25" s="22" t="n">
        <v>169.15</v>
      </c>
      <c r="I25" s="22" t="n">
        <v>231.52</v>
      </c>
      <c r="J25" s="22" t="n">
        <v>132.85</v>
      </c>
      <c r="K25" s="22" t="n">
        <v>444.81</v>
      </c>
      <c r="L25" s="22" t="n">
        <v>168.92</v>
      </c>
      <c r="M25" s="22" t="n">
        <v>104.22</v>
      </c>
      <c r="N25" s="22">
        <f>SUM(B25:M25)</f>
        <v/>
      </c>
      <c r="O25" s="22" t="n">
        <v>167.5</v>
      </c>
      <c r="P25" s="22" t="n">
        <v>207.32</v>
      </c>
      <c r="Q25" s="22" t="n">
        <v>354.51</v>
      </c>
      <c r="R25" s="22" t="n">
        <v>49.2</v>
      </c>
      <c r="S25" s="22" t="n">
        <v>165.54</v>
      </c>
      <c r="T25" s="22" t="n">
        <v>97.45</v>
      </c>
      <c r="U25" s="22" t="n">
        <v>79.11</v>
      </c>
      <c r="AA25" s="22">
        <f>SUM(O25:U25)</f>
        <v/>
      </c>
      <c r="AB25" s="22">
        <f>SUM(O25:Z25)</f>
        <v/>
      </c>
      <c r="AC25" s="22" t="n">
        <v>58</v>
      </c>
      <c r="AD25" s="22" t="n">
        <v>58</v>
      </c>
      <c r="AE25" s="22" t="n">
        <v>58</v>
      </c>
      <c r="AF25" s="22" t="n">
        <v>58</v>
      </c>
      <c r="AG25" s="22" t="n">
        <v>58</v>
      </c>
      <c r="AH25" s="22" t="n">
        <v>58</v>
      </c>
      <c r="AI25" s="34">
        <f>SUM(AC25:AH25)</f>
        <v/>
      </c>
      <c r="AJ25" s="22">
        <f>SUM(AC25:AH25)+AI25</f>
        <v/>
      </c>
      <c r="AK25" s="11">
        <f>IF(N25&lt;&gt;0,(AB25-N25)/ABS(N25),0)</f>
        <v/>
      </c>
      <c r="AL25" s="11">
        <f>IF(AB25&lt;&gt;0,(AJ25-AB25)/ABS(AB25),0)</f>
        <v/>
      </c>
    </row>
    <row r="26" ht="13" customHeight="1">
      <c r="A26" s="21" t="inlineStr">
        <is>
          <t xml:space="preserve">    Art Materials</t>
        </is>
      </c>
      <c r="N26" s="22">
        <f>SUM(B26:M26)</f>
        <v/>
      </c>
      <c r="O26" s="22" t="n">
        <v>84.06</v>
      </c>
      <c r="P26" s="22" t="n">
        <v>39.52</v>
      </c>
      <c r="Q26" s="22" t="n">
        <v>99.69</v>
      </c>
      <c r="R26" s="22" t="n">
        <v>40.39</v>
      </c>
      <c r="S26" s="22" t="n">
        <v>49.93</v>
      </c>
      <c r="T26" s="22" t="n">
        <v>94.53</v>
      </c>
      <c r="U26" s="22" t="n">
        <v>89.75</v>
      </c>
      <c r="V26" s="22" t="n">
        <v>104.6925048</v>
      </c>
      <c r="W26" s="22" t="n">
        <v>110.89416</v>
      </c>
      <c r="X26" s="22" t="n">
        <v>121.31808</v>
      </c>
      <c r="Y26" s="22" t="n">
        <v>119.5116</v>
      </c>
      <c r="Z26" s="22" t="n">
        <v>117.97344</v>
      </c>
      <c r="AA26" s="22">
        <f>SUM(O26:U26)</f>
        <v/>
      </c>
      <c r="AB26" s="22">
        <f>SUM(O26:Z26)</f>
        <v/>
      </c>
      <c r="AC26" s="22" t="n">
        <v>118.89228</v>
      </c>
      <c r="AD26" s="22" t="n">
        <v>111.8594568</v>
      </c>
      <c r="AE26" s="22" t="n">
        <v>135.5045328</v>
      </c>
      <c r="AF26" s="22" t="n">
        <v>100.960704</v>
      </c>
      <c r="AG26" s="22" t="n">
        <v>99.7833408</v>
      </c>
      <c r="AH26" s="22" t="n">
        <v>106.5891216</v>
      </c>
      <c r="AI26" s="34">
        <f>SUM(AC26:AH26)</f>
        <v/>
      </c>
      <c r="AJ26" s="22">
        <f>SUM(AC26:AH26)+AI26</f>
        <v/>
      </c>
      <c r="AK26" s="11">
        <f>IF(N26&lt;&gt;0,(AB26-N26)/ABS(N26),0)</f>
        <v/>
      </c>
      <c r="AL26" s="11">
        <f>IF(AB26&lt;&gt;0,(AJ26-AB26)/ABS(AB26),0)</f>
        <v/>
      </c>
    </row>
    <row r="27" ht="13" customHeight="1">
      <c r="A27" s="21" t="inlineStr">
        <is>
          <t xml:space="preserve">    Nursery Stationery</t>
        </is>
      </c>
      <c r="B27" s="22" t="n">
        <v>69.2</v>
      </c>
      <c r="C27" s="22" t="n">
        <v>20.73</v>
      </c>
      <c r="D27" s="22" t="n">
        <v>82.73</v>
      </c>
      <c r="E27" s="22" t="n">
        <v>16.99</v>
      </c>
      <c r="F27" s="22" t="n">
        <v>110.64</v>
      </c>
      <c r="G27" s="22" t="n">
        <v>52.16</v>
      </c>
      <c r="H27" s="22" t="n">
        <v>63.11</v>
      </c>
      <c r="I27" s="22" t="n">
        <v>0</v>
      </c>
      <c r="J27" s="22" t="n">
        <v>167.04</v>
      </c>
      <c r="K27" s="22" t="n">
        <v>39.54</v>
      </c>
      <c r="L27" s="22" t="n">
        <v>92.5</v>
      </c>
      <c r="M27" s="22" t="n">
        <v>7.71</v>
      </c>
      <c r="N27" s="22">
        <f>SUM(B27:M27)</f>
        <v/>
      </c>
      <c r="O27" s="22" t="n">
        <v>107.66</v>
      </c>
      <c r="P27" s="22" t="n">
        <v>12.79</v>
      </c>
      <c r="Q27" s="22" t="n">
        <v>19.05</v>
      </c>
      <c r="R27" s="22" t="n">
        <v>34.20999999999999</v>
      </c>
      <c r="S27" s="22" t="n">
        <v>42.26</v>
      </c>
      <c r="T27" s="22" t="n">
        <v>62.46</v>
      </c>
      <c r="U27" s="22" t="n">
        <v>43.83</v>
      </c>
      <c r="AA27" s="22">
        <f>SUM(O27:U27)</f>
        <v/>
      </c>
      <c r="AB27" s="22">
        <f>SUM(O27:Z27)</f>
        <v/>
      </c>
      <c r="AC27" s="22" t="n">
        <v>100</v>
      </c>
      <c r="AD27" s="22" t="n">
        <v>100</v>
      </c>
      <c r="AE27" s="22" t="n">
        <v>100</v>
      </c>
      <c r="AF27" s="22" t="n">
        <v>100</v>
      </c>
      <c r="AG27" s="22" t="n">
        <v>100</v>
      </c>
      <c r="AH27" s="22" t="n">
        <v>100</v>
      </c>
      <c r="AI27" s="34">
        <f>SUM(AC27:AH27)</f>
        <v/>
      </c>
      <c r="AJ27" s="22">
        <f>SUM(AC27:AH27)+AI27</f>
        <v/>
      </c>
      <c r="AK27" s="11">
        <f>IF(N27&lt;&gt;0,(AB27-N27)/ABS(N27),0)</f>
        <v/>
      </c>
      <c r="AL27" s="11">
        <f>IF(AB27&lt;&gt;0,(AJ27-AB27)/ABS(AB27),0)</f>
        <v/>
      </c>
    </row>
    <row r="28" ht="13" customHeight="1">
      <c r="A28" s="21" t="inlineStr">
        <is>
          <t xml:space="preserve">    Nursery Equipment</t>
        </is>
      </c>
      <c r="B28" s="22" t="n">
        <v>158.02</v>
      </c>
      <c r="C28" s="22" t="n">
        <v>184.27</v>
      </c>
      <c r="D28" s="22" t="n">
        <v>189.68</v>
      </c>
      <c r="E28" s="22" t="n">
        <v>63.74</v>
      </c>
      <c r="F28" s="22" t="n">
        <v>202.4</v>
      </c>
      <c r="G28" s="22" t="n">
        <v>267.82</v>
      </c>
      <c r="H28" s="22" t="n">
        <v>261.62</v>
      </c>
      <c r="I28" s="22" t="n">
        <v>42.89</v>
      </c>
      <c r="J28" s="22" t="n">
        <v>215.43</v>
      </c>
      <c r="K28" s="22" t="n">
        <v>821.3499999999999</v>
      </c>
      <c r="L28" s="22" t="n">
        <v>88.28</v>
      </c>
      <c r="M28" s="22" t="n">
        <v>254.5</v>
      </c>
      <c r="N28" s="22">
        <f>SUM(B28:M28)</f>
        <v/>
      </c>
      <c r="O28" s="22" t="n">
        <v>26.67</v>
      </c>
      <c r="P28" s="22" t="n">
        <v>16.99</v>
      </c>
      <c r="Q28" s="22" t="n">
        <v>99.65000000000001</v>
      </c>
      <c r="R28" s="22" t="n">
        <v>30.76</v>
      </c>
      <c r="S28" s="22" t="n">
        <v>48.77</v>
      </c>
      <c r="T28" s="22" t="n">
        <v>139.95</v>
      </c>
      <c r="U28" s="22" t="n">
        <v>191.54</v>
      </c>
      <c r="AA28" s="22">
        <f>SUM(O28:U28)</f>
        <v/>
      </c>
      <c r="AB28" s="22">
        <f>SUM(O28:Z28)</f>
        <v/>
      </c>
      <c r="AC28" s="22" t="n">
        <v>50</v>
      </c>
      <c r="AD28" s="22" t="n">
        <v>50</v>
      </c>
      <c r="AE28" s="22" t="n">
        <v>50</v>
      </c>
      <c r="AF28" s="22" t="n">
        <v>50</v>
      </c>
      <c r="AG28" s="22" t="n">
        <v>50</v>
      </c>
      <c r="AH28" s="22" t="n">
        <v>50</v>
      </c>
      <c r="AI28" s="34">
        <f>SUM(AC28:AH28)</f>
        <v/>
      </c>
      <c r="AJ28" s="22">
        <f>SUM(AC28:AH28)+AI28</f>
        <v/>
      </c>
      <c r="AK28" s="11">
        <f>IF(N28&lt;&gt;0,(AB28-N28)/ABS(N28),0)</f>
        <v/>
      </c>
      <c r="AL28" s="11">
        <f>IF(AB28&lt;&gt;0,(AJ28-AB28)/ABS(AB28),0)</f>
        <v/>
      </c>
    </row>
    <row r="29" ht="13" customHeight="1">
      <c r="A29" s="21" t="inlineStr">
        <is>
          <t xml:space="preserve">    Nursery Consumables</t>
        </is>
      </c>
      <c r="N29" s="22">
        <f>SUM(B29:M29)</f>
        <v/>
      </c>
      <c r="O29" s="22" t="n">
        <v>37.28</v>
      </c>
      <c r="P29" s="22" t="n">
        <v>173.28</v>
      </c>
      <c r="Q29" s="22" t="n">
        <v>69.61</v>
      </c>
      <c r="R29" s="22" t="n">
        <v>163.95</v>
      </c>
      <c r="S29" s="22" t="n">
        <v>223.29</v>
      </c>
      <c r="T29" s="22" t="n">
        <v>304.13</v>
      </c>
      <c r="U29" s="22" t="n">
        <v>104.9</v>
      </c>
      <c r="V29" s="22" t="n">
        <v>174.487508</v>
      </c>
      <c r="W29" s="22" t="n">
        <v>184.8236</v>
      </c>
      <c r="X29" s="22" t="n">
        <v>202.1968</v>
      </c>
      <c r="Y29" s="22" t="n">
        <v>199.186</v>
      </c>
      <c r="Z29" s="22" t="n">
        <v>196.6224</v>
      </c>
      <c r="AA29" s="22">
        <f>SUM(O29:U29)</f>
        <v/>
      </c>
      <c r="AB29" s="22">
        <f>SUM(O29:Z29)</f>
        <v/>
      </c>
      <c r="AC29" s="22" t="n">
        <v>198.1538</v>
      </c>
      <c r="AD29" s="22" t="n">
        <v>186.432428</v>
      </c>
      <c r="AE29" s="22" t="n">
        <v>225.840888</v>
      </c>
      <c r="AF29" s="22" t="n">
        <v>168.26784</v>
      </c>
      <c r="AG29" s="22" t="n">
        <v>166.305568</v>
      </c>
      <c r="AH29" s="22" t="n">
        <v>177.648536</v>
      </c>
      <c r="AI29" s="34">
        <f>SUM(AC29:AH29)</f>
        <v/>
      </c>
      <c r="AJ29" s="22">
        <f>SUM(AC29:AH29)+AI29</f>
        <v/>
      </c>
      <c r="AK29" s="11">
        <f>IF(N29&lt;&gt;0,(AB29-N29)/ABS(N29),0)</f>
        <v/>
      </c>
      <c r="AL29" s="11">
        <f>IF(AB29&lt;&gt;0,(AJ29-AB29)/ABS(AB29),0)</f>
        <v/>
      </c>
    </row>
    <row r="30" ht="13" customHeight="1">
      <c r="A30" s="23" t="inlineStr">
        <is>
          <t>Total Childcare Costs</t>
        </is>
      </c>
      <c r="B30" s="24">
        <f>B24+B25+B26+B27+B28+B29</f>
        <v/>
      </c>
      <c r="C30" s="24">
        <f>C24+C25+C26+C27+C28+C29</f>
        <v/>
      </c>
      <c r="D30" s="24">
        <f>D24+D25+D26+D27+D28+D29</f>
        <v/>
      </c>
      <c r="E30" s="24">
        <f>E24+E25+E26+E27+E28+E29</f>
        <v/>
      </c>
      <c r="F30" s="24">
        <f>F24+F25+F26+F27+F28+F29</f>
        <v/>
      </c>
      <c r="G30" s="24">
        <f>G24+G25+G26+G27+G28+G29</f>
        <v/>
      </c>
      <c r="H30" s="24">
        <f>H24+H25+H26+H27+H28+H29</f>
        <v/>
      </c>
      <c r="I30" s="24">
        <f>I24+I25+I26+I27+I28+I29</f>
        <v/>
      </c>
      <c r="J30" s="24">
        <f>J24+J25+J26+J27+J28+J29</f>
        <v/>
      </c>
      <c r="K30" s="24">
        <f>K24+K25+K26+K27+K28+K29</f>
        <v/>
      </c>
      <c r="L30" s="24">
        <f>L24+L25+L26+L27+L28+L29</f>
        <v/>
      </c>
      <c r="M30" s="24">
        <f>M24+M25+M26+M27+M28+M29</f>
        <v/>
      </c>
      <c r="N30" s="24">
        <f>N24+N25+N26+N27+N28+N29</f>
        <v/>
      </c>
      <c r="O30" s="24">
        <f>O24+O25+O26+O27+O28+O29</f>
        <v/>
      </c>
      <c r="P30" s="24">
        <f>P24+P25+P26+P27+P28+P29</f>
        <v/>
      </c>
      <c r="Q30" s="24">
        <f>Q24+Q25+Q26+Q27+Q28+Q29</f>
        <v/>
      </c>
      <c r="R30" s="24">
        <f>R24+R25+R26+R27+R28+R29</f>
        <v/>
      </c>
      <c r="S30" s="24">
        <f>S24+S25+S26+S27+S28+S29</f>
        <v/>
      </c>
      <c r="T30" s="24">
        <f>T24+T25+T26+T27+T28+T29</f>
        <v/>
      </c>
      <c r="U30" s="24">
        <f>U24+U25+U26+U27+U28+U29</f>
        <v/>
      </c>
      <c r="V30" s="24">
        <f>V24+V25+V26+V27+V28+V29</f>
        <v/>
      </c>
      <c r="W30" s="24">
        <f>W24+W25+W26+W27+W28+W29</f>
        <v/>
      </c>
      <c r="X30" s="24">
        <f>X24+X25+X26+X27+X28+X29</f>
        <v/>
      </c>
      <c r="Y30" s="24">
        <f>Y24+Y25+Y26+Y27+Y28+Y29</f>
        <v/>
      </c>
      <c r="Z30" s="24">
        <f>Z24+Z25+Z26+Z27+Z28+Z29</f>
        <v/>
      </c>
      <c r="AA30" s="24">
        <f>AA24+AA25+AA26+AA27+AA28+AA29</f>
        <v/>
      </c>
      <c r="AB30" s="24">
        <f>AB24+AB25+AB26+AB27+AB28+AB29</f>
        <v/>
      </c>
      <c r="AC30" s="24">
        <f>AC24+AC25+AC26+AC27+AC28+AC29</f>
        <v/>
      </c>
      <c r="AD30" s="24">
        <f>AD24+AD25+AD26+AD27+AD28+AD29</f>
        <v/>
      </c>
      <c r="AE30" s="24">
        <f>AE24+AE25+AE26+AE27+AE28+AE29</f>
        <v/>
      </c>
      <c r="AF30" s="24">
        <f>AF24+AF25+AF26+AF27+AF28+AF29</f>
        <v/>
      </c>
      <c r="AG30" s="24">
        <f>AG24+AG25+AG26+AG27+AG28+AG29</f>
        <v/>
      </c>
      <c r="AH30" s="24">
        <f>AH24+AH25+AH26+AH27+AH28+AH29</f>
        <v/>
      </c>
      <c r="AI30" s="24">
        <f>AI24+AI25+AI26+AI27+AI28+AI29</f>
        <v/>
      </c>
      <c r="AJ30" s="24">
        <f>AJ24+AJ25+AJ26+AJ27+AJ28+AJ29</f>
        <v/>
      </c>
      <c r="AK30" s="11">
        <f>IF(N30&lt;&gt;0,(AB30-N30)/ABS(N30),0)</f>
        <v/>
      </c>
      <c r="AL30" s="11">
        <f>IF(AB30&lt;&gt;0,(AJ30-AB30)/ABS(AB30),0)</f>
        <v/>
      </c>
    </row>
    <row r="31" ht="5" customHeight="1"/>
    <row r="32" ht="13" customHeight="1">
      <c r="A32" s="14" t="inlineStr">
        <is>
          <t>Premises &amp; Admin</t>
        </is>
      </c>
    </row>
    <row r="33" ht="13" customHeight="1">
      <c r="A33" s="25" t="inlineStr">
        <is>
          <t xml:space="preserve">    Rent</t>
        </is>
      </c>
      <c r="B33" s="26" t="n">
        <v>4000</v>
      </c>
      <c r="C33" s="26" t="n">
        <v>4000</v>
      </c>
      <c r="D33" s="26" t="n">
        <v>4000</v>
      </c>
      <c r="E33" s="26" t="n">
        <v>4000</v>
      </c>
      <c r="F33" s="26" t="n">
        <v>4000</v>
      </c>
      <c r="G33" s="26" t="n">
        <v>4000</v>
      </c>
      <c r="H33" s="26" t="n">
        <v>4000</v>
      </c>
      <c r="I33" s="26" t="n">
        <v>4000</v>
      </c>
      <c r="J33" s="26" t="n">
        <v>4000</v>
      </c>
      <c r="K33" s="26" t="n">
        <v>4000</v>
      </c>
      <c r="L33" s="26" t="n">
        <v>4000</v>
      </c>
      <c r="M33" s="26" t="n">
        <v>4000</v>
      </c>
      <c r="N33" s="26">
        <f>SUM(B33:M33)</f>
        <v/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  <c r="AA33" s="26">
        <f>SUM(O33:U33)</f>
        <v/>
      </c>
      <c r="AB33" s="26">
        <f>SUM(O33:Z33)</f>
        <v/>
      </c>
      <c r="AC33" s="26" t="n">
        <v>0</v>
      </c>
      <c r="AD33" s="26" t="n">
        <v>0</v>
      </c>
      <c r="AE33" s="26" t="n">
        <v>0</v>
      </c>
      <c r="AF33" s="26" t="n">
        <v>0</v>
      </c>
      <c r="AG33" s="26" t="n">
        <v>0</v>
      </c>
      <c r="AH33" s="26" t="n">
        <v>0</v>
      </c>
      <c r="AI33" s="34">
        <f>SUM(AC33:AH33)</f>
        <v/>
      </c>
      <c r="AJ33" s="26">
        <f>SUM(AC33:AH33)+AI33</f>
        <v/>
      </c>
      <c r="AK33" s="11">
        <f>IF(N33&lt;&gt;0,(AB33-N33)/ABS(N33),0)</f>
        <v/>
      </c>
      <c r="AL33" s="11">
        <f>IF(AB33&lt;&gt;0,(AJ33-AB33)/ABS(AB33),0)</f>
        <v/>
      </c>
    </row>
    <row r="34" ht="13" customHeight="1">
      <c r="A34" s="25" t="inlineStr">
        <is>
          <t xml:space="preserve">    Business Rates</t>
        </is>
      </c>
      <c r="B34" s="26" t="n">
        <v>288.13</v>
      </c>
      <c r="C34" s="26" t="n">
        <v>288.13</v>
      </c>
      <c r="D34" s="26" t="n">
        <v>288.13</v>
      </c>
      <c r="E34" s="26" t="n">
        <v>332.67</v>
      </c>
      <c r="F34" s="26" t="n">
        <v>332.66</v>
      </c>
      <c r="G34" s="26" t="n">
        <v>332.67</v>
      </c>
      <c r="H34" s="26" t="n">
        <v>332.67</v>
      </c>
      <c r="I34" s="26" t="n">
        <v>332.67</v>
      </c>
      <c r="J34" s="26" t="n">
        <v>332.67</v>
      </c>
      <c r="K34" s="26" t="n">
        <v>332.67</v>
      </c>
      <c r="L34" s="26" t="n">
        <v>332.67</v>
      </c>
      <c r="M34" s="26" t="n">
        <v>332.67</v>
      </c>
      <c r="N34" s="26">
        <f>SUM(B34:M34)</f>
        <v/>
      </c>
      <c r="O34" s="26" t="n">
        <v>332.66</v>
      </c>
      <c r="P34" s="26" t="n">
        <v>332.66</v>
      </c>
      <c r="Q34" s="26" t="n">
        <v>332.66</v>
      </c>
      <c r="R34" s="26" t="n">
        <v>349.3</v>
      </c>
      <c r="S34" s="26" t="n">
        <v>349.3</v>
      </c>
      <c r="T34" s="26" t="n">
        <v>1234.3</v>
      </c>
      <c r="U34" s="26" t="n">
        <v>349.3</v>
      </c>
      <c r="AA34" s="26">
        <f>SUM(O34:U34)</f>
        <v/>
      </c>
      <c r="AB34" s="26">
        <f>SUM(O34:Z34)</f>
        <v/>
      </c>
      <c r="AC34" s="26" t="n">
        <v>567</v>
      </c>
      <c r="AD34" s="26" t="n">
        <v>567</v>
      </c>
      <c r="AE34" s="26" t="n">
        <v>567</v>
      </c>
      <c r="AF34" s="26" t="n">
        <v>567</v>
      </c>
      <c r="AG34" s="26" t="n">
        <v>567</v>
      </c>
      <c r="AH34" s="26" t="n">
        <v>567</v>
      </c>
      <c r="AI34" s="34">
        <f>SUM(AC34:AH34)</f>
        <v/>
      </c>
      <c r="AJ34" s="26">
        <f>SUM(AC34:AH34)+AI34</f>
        <v/>
      </c>
      <c r="AK34" s="11">
        <f>IF(N34&lt;&gt;0,(AB34-N34)/ABS(N34),0)</f>
        <v/>
      </c>
      <c r="AL34" s="11">
        <f>IF(AB34&lt;&gt;0,(AJ34-AB34)/ABS(AB34),0)</f>
        <v/>
      </c>
    </row>
    <row r="35" ht="13" customHeight="1">
      <c r="A35" s="25" t="inlineStr">
        <is>
          <t xml:space="preserve">    Utilities</t>
        </is>
      </c>
      <c r="B35" s="26" t="n">
        <v>303.39</v>
      </c>
      <c r="C35" s="26" t="n">
        <v>600.05</v>
      </c>
      <c r="D35" s="26" t="n">
        <v>339.82</v>
      </c>
      <c r="E35" s="26" t="n">
        <v>1107.55</v>
      </c>
      <c r="F35" s="26" t="n">
        <v>191.41</v>
      </c>
      <c r="G35" s="26" t="n">
        <v>433.34</v>
      </c>
      <c r="H35" s="26" t="n">
        <v>13.48</v>
      </c>
      <c r="I35" s="26" t="n">
        <v>270.72</v>
      </c>
      <c r="J35" s="26" t="n">
        <v>252.23</v>
      </c>
      <c r="K35" s="26" t="n">
        <v>193.9</v>
      </c>
      <c r="L35" s="26" t="n">
        <v>265.24</v>
      </c>
      <c r="M35" s="26" t="n">
        <v>276.9</v>
      </c>
      <c r="N35" s="26">
        <f>SUM(B35:M35)</f>
        <v/>
      </c>
      <c r="O35" s="26" t="n">
        <v>1223.6</v>
      </c>
      <c r="P35" s="26" t="n">
        <v>629.46</v>
      </c>
      <c r="Q35" s="26" t="n">
        <v>822.72</v>
      </c>
      <c r="R35" s="26" t="n">
        <v>0</v>
      </c>
      <c r="S35" s="26" t="n">
        <v>235.27</v>
      </c>
      <c r="T35" s="26" t="n">
        <v>533.9</v>
      </c>
      <c r="U35" s="26" t="n">
        <v>592.62</v>
      </c>
      <c r="AA35" s="26">
        <f>SUM(O35:U35)</f>
        <v/>
      </c>
      <c r="AB35" s="26">
        <f>SUM(O35:Z35)</f>
        <v/>
      </c>
      <c r="AC35" s="26" t="n">
        <v>370</v>
      </c>
      <c r="AD35" s="26" t="n">
        <v>370</v>
      </c>
      <c r="AE35" s="26" t="n">
        <v>370</v>
      </c>
      <c r="AF35" s="26" t="n">
        <v>370</v>
      </c>
      <c r="AG35" s="26" t="n">
        <v>370</v>
      </c>
      <c r="AH35" s="26" t="n">
        <v>370</v>
      </c>
      <c r="AI35" s="34">
        <f>SUM(AC35:AH35)</f>
        <v/>
      </c>
      <c r="AJ35" s="26">
        <f>SUM(AC35:AH35)+AI35</f>
        <v/>
      </c>
      <c r="AK35" s="11">
        <f>IF(N35&lt;&gt;0,(AB35-N35)/ABS(N35),0)</f>
        <v/>
      </c>
      <c r="AL35" s="11">
        <f>IF(AB35&lt;&gt;0,(AJ35-AB35)/ABS(AB35),0)</f>
        <v/>
      </c>
    </row>
    <row r="36" ht="13" customHeight="1">
      <c r="A36" s="25" t="inlineStr">
        <is>
          <t xml:space="preserve">    Repairs &amp; Maintenance</t>
        </is>
      </c>
      <c r="B36" s="26" t="n">
        <v>14.75</v>
      </c>
      <c r="C36" s="26" t="n">
        <v>860.16</v>
      </c>
      <c r="D36" s="26" t="n">
        <v>301.16</v>
      </c>
      <c r="E36" s="26" t="n">
        <v>135.95</v>
      </c>
      <c r="F36" s="26" t="n">
        <v>458.8600000000001</v>
      </c>
      <c r="G36" s="26" t="n">
        <v>143.28</v>
      </c>
      <c r="H36" s="26" t="n">
        <v>52.85</v>
      </c>
      <c r="I36" s="26" t="n">
        <v>0</v>
      </c>
      <c r="J36" s="26" t="n">
        <v>837.0300000000001</v>
      </c>
      <c r="K36" s="26" t="n">
        <v>0</v>
      </c>
      <c r="L36" s="26" t="n">
        <v>0</v>
      </c>
      <c r="M36" s="26" t="n">
        <v>0</v>
      </c>
      <c r="N36" s="26">
        <f>SUM(B36:M36)</f>
        <v/>
      </c>
      <c r="O36" s="26" t="n">
        <v>0</v>
      </c>
      <c r="P36" s="26" t="n">
        <v>150</v>
      </c>
      <c r="Q36" s="26" t="n">
        <v>407.76</v>
      </c>
      <c r="R36" s="26" t="n">
        <v>21.45</v>
      </c>
      <c r="S36" s="26" t="n">
        <v>0</v>
      </c>
      <c r="T36" s="26" t="n">
        <v>0</v>
      </c>
      <c r="U36" s="26" t="n">
        <v>132.22</v>
      </c>
      <c r="AA36" s="26">
        <f>SUM(O36:U36)</f>
        <v/>
      </c>
      <c r="AB36" s="26">
        <f>SUM(O36:Z36)</f>
        <v/>
      </c>
      <c r="AC36" s="26" t="n">
        <v>0</v>
      </c>
      <c r="AD36" s="26" t="n">
        <v>0</v>
      </c>
      <c r="AE36" s="26" t="n">
        <v>0</v>
      </c>
      <c r="AF36" s="26" t="n">
        <v>0</v>
      </c>
      <c r="AG36" s="26" t="n">
        <v>0</v>
      </c>
      <c r="AH36" s="26" t="n">
        <v>0</v>
      </c>
      <c r="AI36" s="34">
        <f>SUM(AC36:AH36)</f>
        <v/>
      </c>
      <c r="AJ36" s="26">
        <f>SUM(AC36:AH36)+AI36</f>
        <v/>
      </c>
      <c r="AK36" s="11">
        <f>IF(N36&lt;&gt;0,(AB36-N36)/ABS(N36),0)</f>
        <v/>
      </c>
      <c r="AL36" s="11">
        <f>IF(AB36&lt;&gt;0,(AJ36-AB36)/ABS(AB36),0)</f>
        <v/>
      </c>
    </row>
    <row r="37" ht="13" customHeight="1">
      <c r="A37" s="25" t="inlineStr">
        <is>
          <t xml:space="preserve">    Cleaning</t>
        </is>
      </c>
      <c r="B37" s="26" t="n">
        <v>241.17</v>
      </c>
      <c r="C37" s="26" t="n">
        <v>155.6</v>
      </c>
      <c r="D37" s="26" t="n">
        <v>234.59</v>
      </c>
      <c r="E37" s="26" t="n">
        <v>34.56</v>
      </c>
      <c r="F37" s="26" t="n">
        <v>327.88</v>
      </c>
      <c r="G37" s="26" t="n">
        <v>324.71</v>
      </c>
      <c r="H37" s="26" t="n">
        <v>295.5700000000001</v>
      </c>
      <c r="I37" s="26" t="n">
        <v>176.07</v>
      </c>
      <c r="J37" s="26" t="n">
        <v>356.1900000000001</v>
      </c>
      <c r="K37" s="26" t="n">
        <v>263.93</v>
      </c>
      <c r="L37" s="26" t="n">
        <v>133.32</v>
      </c>
      <c r="M37" s="26" t="n">
        <v>172.64</v>
      </c>
      <c r="N37" s="26">
        <f>SUM(B37:M37)</f>
        <v/>
      </c>
      <c r="O37" s="26" t="n">
        <v>283.56</v>
      </c>
      <c r="P37" s="26" t="n">
        <v>93.11</v>
      </c>
      <c r="Q37" s="26" t="n">
        <v>375.91</v>
      </c>
      <c r="R37" s="26" t="n">
        <v>96.76000000000001</v>
      </c>
      <c r="S37" s="26" t="n">
        <v>261.6</v>
      </c>
      <c r="T37" s="26" t="n">
        <v>118.25</v>
      </c>
      <c r="U37" s="26" t="n">
        <v>366.0600000000001</v>
      </c>
      <c r="AA37" s="26">
        <f>SUM(O37:U37)</f>
        <v/>
      </c>
      <c r="AB37" s="26">
        <f>SUM(O37:Z37)</f>
        <v/>
      </c>
      <c r="AC37" s="26" t="n">
        <v>240</v>
      </c>
      <c r="AD37" s="26" t="n">
        <v>240</v>
      </c>
      <c r="AE37" s="26" t="n">
        <v>240</v>
      </c>
      <c r="AF37" s="26" t="n">
        <v>240</v>
      </c>
      <c r="AG37" s="26" t="n">
        <v>240</v>
      </c>
      <c r="AH37" s="26" t="n">
        <v>240</v>
      </c>
      <c r="AI37" s="34">
        <f>SUM(AC37:AH37)</f>
        <v/>
      </c>
      <c r="AJ37" s="26">
        <f>SUM(AC37:AH37)+AI37</f>
        <v/>
      </c>
      <c r="AK37" s="11">
        <f>IF(N37&lt;&gt;0,(AB37-N37)/ABS(N37),0)</f>
        <v/>
      </c>
      <c r="AL37" s="11">
        <f>IF(AB37&lt;&gt;0,(AJ37-AB37)/ABS(AB37),0)</f>
        <v/>
      </c>
    </row>
    <row r="38" ht="13" customHeight="1">
      <c r="A38" s="25" t="inlineStr">
        <is>
          <t xml:space="preserve">    Waste Disposal</t>
        </is>
      </c>
      <c r="B38" s="26" t="n">
        <v>174</v>
      </c>
      <c r="C38" s="26" t="n">
        <v>430.4</v>
      </c>
      <c r="D38" s="26" t="n">
        <v>327.59</v>
      </c>
      <c r="E38" s="26" t="n">
        <v>331.37</v>
      </c>
      <c r="F38" s="26" t="n">
        <v>431.6</v>
      </c>
      <c r="G38" s="26" t="n">
        <v>420.67</v>
      </c>
      <c r="H38" s="26" t="n">
        <v>375.23</v>
      </c>
      <c r="I38" s="26" t="n">
        <v>402.05</v>
      </c>
      <c r="J38" s="26" t="n">
        <v>655.86</v>
      </c>
      <c r="K38" s="26" t="n">
        <v>402.05</v>
      </c>
      <c r="L38" s="26" t="n">
        <v>307.15</v>
      </c>
      <c r="M38" s="26" t="n">
        <v>360.56</v>
      </c>
      <c r="N38" s="26">
        <f>SUM(B38:M38)</f>
        <v/>
      </c>
      <c r="O38" s="26" t="n">
        <v>307.15</v>
      </c>
      <c r="P38" s="26" t="n">
        <v>307.15</v>
      </c>
      <c r="Q38" s="26" t="n">
        <v>345.56</v>
      </c>
      <c r="R38" s="26" t="n">
        <v>415.2</v>
      </c>
      <c r="S38" s="26" t="n">
        <v>343.44</v>
      </c>
      <c r="T38" s="26" t="n">
        <v>208.38</v>
      </c>
      <c r="U38" s="26" t="n">
        <v>434.15</v>
      </c>
      <c r="AA38" s="26">
        <f>SUM(O38:U38)</f>
        <v/>
      </c>
      <c r="AB38" s="26">
        <f>SUM(O38:Z38)</f>
        <v/>
      </c>
      <c r="AC38" s="26" t="n">
        <v>395</v>
      </c>
      <c r="AD38" s="26" t="n">
        <v>395</v>
      </c>
      <c r="AE38" s="26" t="n">
        <v>395</v>
      </c>
      <c r="AF38" s="26" t="n">
        <v>395</v>
      </c>
      <c r="AG38" s="26" t="n">
        <v>395</v>
      </c>
      <c r="AH38" s="26" t="n">
        <v>395</v>
      </c>
      <c r="AI38" s="34">
        <f>SUM(AC38:AH38)</f>
        <v/>
      </c>
      <c r="AJ38" s="26">
        <f>SUM(AC38:AH38)+AI38</f>
        <v/>
      </c>
      <c r="AK38" s="11">
        <f>IF(N38&lt;&gt;0,(AB38-N38)/ABS(N38),0)</f>
        <v/>
      </c>
      <c r="AL38" s="11">
        <f>IF(AB38&lt;&gt;0,(AJ38-AB38)/ABS(AB38),0)</f>
        <v/>
      </c>
    </row>
    <row r="39" ht="13" customHeight="1">
      <c r="A39" s="25" t="inlineStr">
        <is>
          <t xml:space="preserve">    Postage/Printing/Stationery</t>
        </is>
      </c>
      <c r="B39" s="26" t="n">
        <v>57.7</v>
      </c>
      <c r="C39" s="26" t="n">
        <v>32.5</v>
      </c>
      <c r="D39" s="26" t="n">
        <v>46.08</v>
      </c>
      <c r="E39" s="26" t="n">
        <v>27.84</v>
      </c>
      <c r="F39" s="26" t="n">
        <v>46.06</v>
      </c>
      <c r="G39" s="26" t="n">
        <v>31.21</v>
      </c>
      <c r="H39" s="26" t="n">
        <v>278.14</v>
      </c>
      <c r="I39" s="26" t="n">
        <v>30.06</v>
      </c>
      <c r="J39" s="26" t="n">
        <v>26.83</v>
      </c>
      <c r="K39" s="26" t="n">
        <v>100.92</v>
      </c>
      <c r="L39" s="26" t="n">
        <v>34.91</v>
      </c>
      <c r="M39" s="26" t="n">
        <v>59.33000000000001</v>
      </c>
      <c r="N39" s="26">
        <f>SUM(B39:M39)</f>
        <v/>
      </c>
      <c r="O39" s="26" t="n">
        <v>256.04</v>
      </c>
      <c r="P39" s="26" t="n">
        <v>296.51</v>
      </c>
      <c r="Q39" s="26" t="n">
        <v>534</v>
      </c>
      <c r="R39" s="26" t="n">
        <v>639.8100000000001</v>
      </c>
      <c r="S39" s="26" t="n">
        <v>234.32</v>
      </c>
      <c r="T39" s="26" t="n">
        <v>166.74</v>
      </c>
      <c r="U39" s="26" t="n">
        <v>337.08</v>
      </c>
      <c r="AA39" s="26">
        <f>SUM(O39:U39)</f>
        <v/>
      </c>
      <c r="AB39" s="26">
        <f>SUM(O39:Z39)</f>
        <v/>
      </c>
      <c r="AC39" s="26" t="n">
        <v>0</v>
      </c>
      <c r="AD39" s="26" t="n">
        <v>0</v>
      </c>
      <c r="AE39" s="26" t="n">
        <v>0</v>
      </c>
      <c r="AF39" s="26" t="n">
        <v>0</v>
      </c>
      <c r="AG39" s="26" t="n">
        <v>0</v>
      </c>
      <c r="AH39" s="26" t="n">
        <v>0</v>
      </c>
      <c r="AI39" s="34">
        <f>SUM(AC39:AH39)</f>
        <v/>
      </c>
      <c r="AJ39" s="26">
        <f>SUM(AC39:AH39)+AI39</f>
        <v/>
      </c>
      <c r="AK39" s="11">
        <f>IF(N39&lt;&gt;0,(AB39-N39)/ABS(N39),0)</f>
        <v/>
      </c>
      <c r="AL39" s="11">
        <f>IF(AB39&lt;&gt;0,(AJ39-AB39)/ABS(AB39),0)</f>
        <v/>
      </c>
    </row>
    <row r="40" ht="13" customHeight="1">
      <c r="A40" s="25" t="inlineStr">
        <is>
          <t xml:space="preserve">    Telephone</t>
        </is>
      </c>
      <c r="B40" s="26" t="n">
        <v>99.91</v>
      </c>
      <c r="C40" s="26" t="n">
        <v>98.52</v>
      </c>
      <c r="D40" s="26" t="n">
        <v>98.52</v>
      </c>
      <c r="E40" s="26" t="n">
        <v>99.91</v>
      </c>
      <c r="F40" s="26" t="n">
        <v>99.91</v>
      </c>
      <c r="G40" s="26" t="n">
        <v>99.91</v>
      </c>
      <c r="H40" s="26" t="n">
        <v>99.91</v>
      </c>
      <c r="I40" s="26" t="n">
        <v>99.91</v>
      </c>
      <c r="J40" s="26" t="n">
        <v>110.53</v>
      </c>
      <c r="K40" s="26" t="n">
        <v>7.5</v>
      </c>
      <c r="L40" s="26" t="n">
        <v>0</v>
      </c>
      <c r="M40" s="26" t="n">
        <v>7.5</v>
      </c>
      <c r="N40" s="26">
        <f>SUM(B40:M40)</f>
        <v/>
      </c>
      <c r="O40" s="26" t="n">
        <v>72</v>
      </c>
      <c r="P40" s="26" t="n">
        <v>30</v>
      </c>
      <c r="Q40" s="26" t="n">
        <v>0</v>
      </c>
      <c r="R40" s="26" t="n">
        <v>110</v>
      </c>
      <c r="S40" s="26" t="n">
        <v>192</v>
      </c>
      <c r="T40" s="26" t="n">
        <v>335</v>
      </c>
      <c r="U40" s="26" t="n">
        <v>75</v>
      </c>
      <c r="AA40" s="26">
        <f>SUM(O40:U40)</f>
        <v/>
      </c>
      <c r="AB40" s="26">
        <f>SUM(O40:Z40)</f>
        <v/>
      </c>
      <c r="AC40" s="26" t="n">
        <v>0</v>
      </c>
      <c r="AD40" s="26" t="n">
        <v>0</v>
      </c>
      <c r="AE40" s="26" t="n">
        <v>0</v>
      </c>
      <c r="AF40" s="26" t="n">
        <v>0</v>
      </c>
      <c r="AG40" s="26" t="n">
        <v>0</v>
      </c>
      <c r="AH40" s="26" t="n">
        <v>0</v>
      </c>
      <c r="AI40" s="34">
        <f>SUM(AC40:AH40)</f>
        <v/>
      </c>
      <c r="AJ40" s="26">
        <f>SUM(AC40:AH40)+AI40</f>
        <v/>
      </c>
      <c r="AK40" s="11">
        <f>IF(N40&lt;&gt;0,(AB40-N40)/ABS(N40),0)</f>
        <v/>
      </c>
      <c r="AL40" s="11">
        <f>IF(AB40&lt;&gt;0,(AJ40-AB40)/ABS(AB40),0)</f>
        <v/>
      </c>
    </row>
    <row r="41" ht="13" customHeight="1">
      <c r="A41" s="25" t="inlineStr">
        <is>
          <t xml:space="preserve">    Marketing</t>
        </is>
      </c>
      <c r="B41" s="26" t="n">
        <v>0</v>
      </c>
      <c r="C41" s="26" t="n">
        <v>0</v>
      </c>
      <c r="D41" s="26" t="n">
        <v>0</v>
      </c>
      <c r="E41" s="26" t="n">
        <v>0</v>
      </c>
      <c r="F41" s="26" t="n">
        <v>0</v>
      </c>
      <c r="G41" s="26" t="n">
        <v>0</v>
      </c>
      <c r="H41" s="26" t="n">
        <v>0</v>
      </c>
      <c r="I41" s="26" t="n">
        <v>0</v>
      </c>
      <c r="J41" s="26" t="n">
        <v>0</v>
      </c>
      <c r="K41" s="26" t="n">
        <v>0</v>
      </c>
      <c r="L41" s="26" t="n">
        <v>0</v>
      </c>
      <c r="M41" s="26" t="n">
        <v>0</v>
      </c>
      <c r="N41" s="26">
        <f>SUM(B41:M41)</f>
        <v/>
      </c>
      <c r="O41" s="26" t="n">
        <v>0</v>
      </c>
      <c r="P41" s="26" t="n">
        <v>0</v>
      </c>
      <c r="Q41" s="26" t="n">
        <v>0</v>
      </c>
      <c r="R41" s="26" t="n">
        <v>0</v>
      </c>
      <c r="S41" s="26" t="n">
        <v>0</v>
      </c>
      <c r="T41" s="26" t="n">
        <v>0</v>
      </c>
      <c r="U41" s="26" t="n">
        <v>0</v>
      </c>
      <c r="V41" s="26" t="n">
        <v>0</v>
      </c>
      <c r="W41" s="26" t="n">
        <v>0</v>
      </c>
      <c r="X41" s="26" t="n">
        <v>0</v>
      </c>
      <c r="Y41" s="26" t="n">
        <v>0</v>
      </c>
      <c r="Z41" s="26" t="n">
        <v>0</v>
      </c>
      <c r="AA41" s="26">
        <f>SUM(O41:U41)</f>
        <v/>
      </c>
      <c r="AB41" s="26">
        <f>SUM(O41:Z41)</f>
        <v/>
      </c>
      <c r="AC41" s="26" t="n">
        <v>100</v>
      </c>
      <c r="AD41" s="26" t="n">
        <v>100</v>
      </c>
      <c r="AE41" s="26" t="n">
        <v>100</v>
      </c>
      <c r="AF41" s="26" t="n">
        <v>100</v>
      </c>
      <c r="AG41" s="26" t="n">
        <v>100</v>
      </c>
      <c r="AH41" s="26" t="n">
        <v>100</v>
      </c>
      <c r="AI41" s="34">
        <f>SUM(AC41:AH41)</f>
        <v/>
      </c>
      <c r="AJ41" s="26">
        <f>SUM(AC41:AH41)+AI41</f>
        <v/>
      </c>
      <c r="AK41" s="11">
        <f>IF(N41&lt;&gt;0,(AB41-N41)/ABS(N41),0)</f>
        <v/>
      </c>
      <c r="AL41" s="11">
        <f>IF(AB41&lt;&gt;0,(AJ41-AB41)/ABS(AB41),0)</f>
        <v/>
      </c>
    </row>
    <row r="42" ht="13" customHeight="1">
      <c r="A42" s="27" t="inlineStr">
        <is>
          <t>Total Premises &amp; Admin</t>
        </is>
      </c>
      <c r="B42" s="28">
        <f>B33+B34+B35+B36+B37+B38+B39+B40+B41</f>
        <v/>
      </c>
      <c r="C42" s="28">
        <f>C33+C34+C35+C36+C37+C38+C39+C40+C41</f>
        <v/>
      </c>
      <c r="D42" s="28">
        <f>D33+D34+D35+D36+D37+D38+D39+D40+D41</f>
        <v/>
      </c>
      <c r="E42" s="28">
        <f>E33+E34+E35+E36+E37+E38+E39+E40+E41</f>
        <v/>
      </c>
      <c r="F42" s="28">
        <f>F33+F34+F35+F36+F37+F38+F39+F40+F41</f>
        <v/>
      </c>
      <c r="G42" s="28">
        <f>G33+G34+G35+G36+G37+G38+G39+G40+G41</f>
        <v/>
      </c>
      <c r="H42" s="28">
        <f>H33+H34+H35+H36+H37+H38+H39+H40+H41</f>
        <v/>
      </c>
      <c r="I42" s="28">
        <f>I33+I34+I35+I36+I37+I38+I39+I40+I41</f>
        <v/>
      </c>
      <c r="J42" s="28">
        <f>J33+J34+J35+J36+J37+J38+J39+J40+J41</f>
        <v/>
      </c>
      <c r="K42" s="28">
        <f>K33+K34+K35+K36+K37+K38+K39+K40+K41</f>
        <v/>
      </c>
      <c r="L42" s="28">
        <f>L33+L34+L35+L36+L37+L38+L39+L40+L41</f>
        <v/>
      </c>
      <c r="M42" s="28">
        <f>M33+M34+M35+M36+M37+M38+M39+M40+M41</f>
        <v/>
      </c>
      <c r="N42" s="28">
        <f>N33+N34+N35+N36+N37+N38+N39+N40+N41</f>
        <v/>
      </c>
      <c r="O42" s="28">
        <f>O33+O34+O35+O36+O37+O38+O39+O40+O41</f>
        <v/>
      </c>
      <c r="P42" s="28">
        <f>P33+P34+P35+P36+P37+P38+P39+P40+P41</f>
        <v/>
      </c>
      <c r="Q42" s="28">
        <f>Q33+Q34+Q35+Q36+Q37+Q38+Q39+Q40+Q41</f>
        <v/>
      </c>
      <c r="R42" s="28">
        <f>R33+R34+R35+R36+R37+R38+R39+R40+R41</f>
        <v/>
      </c>
      <c r="S42" s="28">
        <f>S33+S34+S35+S36+S37+S38+S39+S40+S41</f>
        <v/>
      </c>
      <c r="T42" s="28">
        <f>T33+T34+T35+T36+T37+T38+T39+T40+T41</f>
        <v/>
      </c>
      <c r="U42" s="28">
        <f>U33+U34+U35+U36+U37+U38+U39+U40+U41</f>
        <v/>
      </c>
      <c r="V42" s="28">
        <f>V33+V34+V35+V36+V37+V38+V39+V40+V41</f>
        <v/>
      </c>
      <c r="W42" s="28">
        <f>W33+W34+W35+W36+W37+W38+W39+W40+W41</f>
        <v/>
      </c>
      <c r="X42" s="28">
        <f>X33+X34+X35+X36+X37+X38+X39+X40+X41</f>
        <v/>
      </c>
      <c r="Y42" s="28">
        <f>Y33+Y34+Y35+Y36+Y37+Y38+Y39+Y40+Y41</f>
        <v/>
      </c>
      <c r="Z42" s="28">
        <f>Z33+Z34+Z35+Z36+Z37+Z38+Z39+Z40+Z41</f>
        <v/>
      </c>
      <c r="AA42" s="28">
        <f>AA33+AA34+AA35+AA36+AA37+AA38+AA39+AA40+AA41</f>
        <v/>
      </c>
      <c r="AB42" s="28">
        <f>AB33+AB34+AB35+AB36+AB37+AB38+AB39+AB40+AB41</f>
        <v/>
      </c>
      <c r="AC42" s="28">
        <f>AC33+AC34+AC35+AC36+AC37+AC38+AC39+AC40+AC41</f>
        <v/>
      </c>
      <c r="AD42" s="28">
        <f>AD33+AD34+AD35+AD36+AD37+AD38+AD39+AD40+AD41</f>
        <v/>
      </c>
      <c r="AE42" s="28">
        <f>AE33+AE34+AE35+AE36+AE37+AE38+AE39+AE40+AE41</f>
        <v/>
      </c>
      <c r="AF42" s="28">
        <f>AF33+AF34+AF35+AF36+AF37+AF38+AF39+AF40+AF41</f>
        <v/>
      </c>
      <c r="AG42" s="28">
        <f>AG33+AG34+AG35+AG36+AG37+AG38+AG39+AG40+AG41</f>
        <v/>
      </c>
      <c r="AH42" s="28">
        <f>AH33+AH34+AH35+AH36+AH37+AH38+AH39+AH40+AH41</f>
        <v/>
      </c>
      <c r="AI42" s="28">
        <f>AI33+AI34+AI35+AI36+AI37+AI38+AI39+AI40+AI41</f>
        <v/>
      </c>
      <c r="AJ42" s="28">
        <f>AJ33+AJ34+AJ35+AJ36+AJ37+AJ38+AJ39+AJ40+AJ41</f>
        <v/>
      </c>
      <c r="AK42" s="11">
        <f>IF(N42&lt;&gt;0,(AB42-N42)/ABS(N42),0)</f>
        <v/>
      </c>
      <c r="AL42" s="11">
        <f>IF(AB42&lt;&gt;0,(AJ42-AB42)/ABS(AB42),0)</f>
        <v/>
      </c>
    </row>
    <row r="43" ht="5" customHeight="1"/>
    <row r="44" ht="13" customHeight="1">
      <c r="A44" s="29" t="inlineStr">
        <is>
          <t>Total Direct Costs</t>
        </is>
      </c>
      <c r="AK44" s="11">
        <f>IF(N44&lt;&gt;0,(AB44-N44)/ABS(N44),0)</f>
        <v/>
      </c>
      <c r="AL44" s="11">
        <f>IF(AB44&lt;&gt;0,(AJ44-AB44)/ABS(AB44),0)</f>
        <v/>
      </c>
    </row>
    <row r="45" ht="5" customHeight="1"/>
    <row r="46" ht="15" customHeight="1">
      <c r="A46" s="30" t="inlineStr">
        <is>
          <t>CONTRIBUTION</t>
        </is>
      </c>
      <c r="B46" s="31">
        <f>B7-B44</f>
        <v/>
      </c>
      <c r="C46" s="31">
        <f>C7-C44</f>
        <v/>
      </c>
      <c r="D46" s="31">
        <f>D7-D44</f>
        <v/>
      </c>
      <c r="E46" s="31">
        <f>E7-E44</f>
        <v/>
      </c>
      <c r="F46" s="31">
        <f>F7-F44</f>
        <v/>
      </c>
      <c r="G46" s="31">
        <f>G7-G44</f>
        <v/>
      </c>
      <c r="H46" s="31">
        <f>H7-H44</f>
        <v/>
      </c>
      <c r="I46" s="31">
        <f>I7-I44</f>
        <v/>
      </c>
      <c r="J46" s="31">
        <f>J7-J44</f>
        <v/>
      </c>
      <c r="K46" s="31">
        <f>K7-K44</f>
        <v/>
      </c>
      <c r="L46" s="31">
        <f>L7-L44</f>
        <v/>
      </c>
      <c r="M46" s="31">
        <f>M7-M44</f>
        <v/>
      </c>
      <c r="N46" s="31">
        <f>N7-N44</f>
        <v/>
      </c>
      <c r="O46" s="31">
        <f>O7-O44</f>
        <v/>
      </c>
      <c r="P46" s="31">
        <f>P7-P44</f>
        <v/>
      </c>
      <c r="Q46" s="31">
        <f>Q7-Q44</f>
        <v/>
      </c>
      <c r="R46" s="31">
        <f>R7-R44</f>
        <v/>
      </c>
      <c r="S46" s="31">
        <f>S7-S44</f>
        <v/>
      </c>
      <c r="T46" s="31">
        <f>T7-T44</f>
        <v/>
      </c>
      <c r="U46" s="31">
        <f>U7-U44</f>
        <v/>
      </c>
      <c r="V46" s="31">
        <f>V7-V44</f>
        <v/>
      </c>
      <c r="W46" s="31">
        <f>W7-W44</f>
        <v/>
      </c>
      <c r="X46" s="31">
        <f>X7-X44</f>
        <v/>
      </c>
      <c r="Y46" s="31">
        <f>Y7-Y44</f>
        <v/>
      </c>
      <c r="Z46" s="31">
        <f>Z7-Z44</f>
        <v/>
      </c>
      <c r="AA46" s="31">
        <f>AA7-AA44</f>
        <v/>
      </c>
      <c r="AB46" s="31">
        <f>AB7-AB44</f>
        <v/>
      </c>
      <c r="AC46" s="31">
        <f>AC7-AC44</f>
        <v/>
      </c>
      <c r="AD46" s="31">
        <f>AD7-AD44</f>
        <v/>
      </c>
      <c r="AE46" s="31">
        <f>AE7-AE44</f>
        <v/>
      </c>
      <c r="AF46" s="31">
        <f>AF7-AF44</f>
        <v/>
      </c>
      <c r="AG46" s="31">
        <f>AG7-AG44</f>
        <v/>
      </c>
      <c r="AH46" s="31">
        <f>AH7-AH44</f>
        <v/>
      </c>
      <c r="AI46" s="31">
        <f>AI7-AI44</f>
        <v/>
      </c>
      <c r="AJ46" s="31">
        <f>AJ7-AJ44</f>
        <v/>
      </c>
      <c r="AK46" s="11">
        <f>IF(N46&lt;&gt;0,(AB46-N46)/ABS(N46),0)</f>
        <v/>
      </c>
      <c r="AL46" s="11">
        <f>IF(AB46&lt;&gt;0,(AJ46-AB46)/ABS(AB46),0)</f>
        <v/>
      </c>
    </row>
  </sheetData>
  <mergeCells count="8">
    <mergeCell ref="A10:AL10"/>
    <mergeCell ref="B1:N1"/>
    <mergeCell ref="A23:AL23"/>
    <mergeCell ref="A32:AL32"/>
    <mergeCell ref="AC1:AJ1"/>
    <mergeCell ref="A9:AL9"/>
    <mergeCell ref="A3:AL3"/>
    <mergeCell ref="O1:AB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L4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9.5" customWidth="1" min="27" max="27"/>
    <col width="9.5" customWidth="1" min="28" max="28"/>
    <col width="9.5" customWidth="1" min="29" max="29"/>
    <col width="9.5" customWidth="1" min="30" max="30"/>
    <col width="9.5" customWidth="1" min="31" max="31"/>
    <col width="9.5" customWidth="1" min="32" max="32"/>
    <col width="9.5" customWidth="1" min="33" max="33"/>
    <col width="9.5" customWidth="1" min="34" max="34"/>
    <col width="9.5" customWidth="1" min="35" max="35"/>
    <col width="11" customWidth="1" min="36" max="36"/>
    <col width="10" customWidth="1" min="37" max="37"/>
    <col width="10" customWidth="1" min="38" max="38"/>
  </cols>
  <sheetData>
    <row r="1" ht="18" customHeight="1">
      <c r="A1" s="1" t="inlineStr">
        <is>
          <t>Hazebrouck</t>
        </is>
      </c>
      <c r="B1" s="2" t="inlineStr">
        <is>
          <t>Actuals 2025</t>
        </is>
      </c>
      <c r="O1" s="2" t="inlineStr">
        <is>
          <t>2026 Actual / Forecast</t>
        </is>
      </c>
      <c r="AC1" s="32" t="inlineStr">
        <is>
          <t>2027 Plan</t>
        </is>
      </c>
      <c r="AK1" s="3" t="inlineStr">
        <is>
          <t>YoY</t>
        </is>
      </c>
      <c r="AL1" s="3" t="inlineStr">
        <is>
          <t>YoY</t>
        </is>
      </c>
    </row>
    <row r="2" ht="22" customHeight="1">
      <c r="B2" s="4" t="inlineStr">
        <is>
          <t>Jan</t>
        </is>
      </c>
      <c r="C2" s="4" t="inlineStr">
        <is>
          <t>Feb</t>
        </is>
      </c>
      <c r="D2" s="4" t="inlineStr">
        <is>
          <t>Mar</t>
        </is>
      </c>
      <c r="E2" s="4" t="inlineStr">
        <is>
          <t>Apr</t>
        </is>
      </c>
      <c r="F2" s="4" t="inlineStr">
        <is>
          <t>May</t>
        </is>
      </c>
      <c r="G2" s="4" t="inlineStr">
        <is>
          <t>Jun</t>
        </is>
      </c>
      <c r="H2" s="4" t="inlineStr">
        <is>
          <t>Jul</t>
        </is>
      </c>
      <c r="I2" s="4" t="inlineStr">
        <is>
          <t>Aug</t>
        </is>
      </c>
      <c r="J2" s="4" t="inlineStr">
        <is>
          <t>Sep</t>
        </is>
      </c>
      <c r="K2" s="4" t="inlineStr">
        <is>
          <t>Oct</t>
        </is>
      </c>
      <c r="L2" s="4" t="inlineStr">
        <is>
          <t>Nov</t>
        </is>
      </c>
      <c r="M2" s="4" t="inlineStr">
        <is>
          <t>Dec</t>
        </is>
      </c>
      <c r="N2" s="5" t="inlineStr">
        <is>
          <t>FY2025
Total</t>
        </is>
      </c>
      <c r="O2" s="4" t="inlineStr">
        <is>
          <t>Jan</t>
        </is>
      </c>
      <c r="P2" s="4" t="inlineStr">
        <is>
          <t>Feb</t>
        </is>
      </c>
      <c r="Q2" s="4" t="inlineStr">
        <is>
          <t>Mar</t>
        </is>
      </c>
      <c r="R2" s="4" t="inlineStr">
        <is>
          <t>Apr</t>
        </is>
      </c>
      <c r="S2" s="4" t="inlineStr">
        <is>
          <t>May</t>
        </is>
      </c>
      <c r="T2" s="4" t="inlineStr">
        <is>
          <t>Jun</t>
        </is>
      </c>
      <c r="U2" s="4" t="inlineStr">
        <is>
          <t>Jul</t>
        </is>
      </c>
      <c r="V2" s="4" t="inlineStr">
        <is>
          <t>Aug</t>
        </is>
      </c>
      <c r="W2" s="4" t="inlineStr">
        <is>
          <t>Sep</t>
        </is>
      </c>
      <c r="X2" s="4" t="inlineStr">
        <is>
          <t>Oct</t>
        </is>
      </c>
      <c r="Y2" s="4" t="inlineStr">
        <is>
          <t>Nov</t>
        </is>
      </c>
      <c r="Z2" s="4" t="inlineStr">
        <is>
          <t>Dec</t>
        </is>
      </c>
      <c r="AA2" s="4" t="inlineStr">
        <is>
          <t>YTD</t>
        </is>
      </c>
      <c r="AB2" s="5" t="inlineStr">
        <is>
          <t>FY2026
Outlook</t>
        </is>
      </c>
      <c r="AC2" s="4" t="inlineStr">
        <is>
          <t>Jan</t>
        </is>
      </c>
      <c r="AD2" s="4" t="inlineStr">
        <is>
          <t>Feb</t>
        </is>
      </c>
      <c r="AE2" s="4" t="inlineStr">
        <is>
          <t>Mar</t>
        </is>
      </c>
      <c r="AF2" s="4" t="inlineStr">
        <is>
          <t>Apr</t>
        </is>
      </c>
      <c r="AG2" s="4" t="inlineStr">
        <is>
          <t>May</t>
        </is>
      </c>
      <c r="AH2" s="4" t="inlineStr">
        <is>
          <t>Jun</t>
        </is>
      </c>
      <c r="AI2" s="33" t="inlineStr">
        <is>
          <t>Jul-Dec
Plan</t>
        </is>
      </c>
      <c r="AJ2" s="4" t="inlineStr">
        <is>
          <t>FY2027</t>
        </is>
      </c>
      <c r="AK2" s="6" t="inlineStr">
        <is>
          <t>25→26
%</t>
        </is>
      </c>
      <c r="AL2" s="6" t="inlineStr">
        <is>
          <t>26→27
%</t>
        </is>
      </c>
    </row>
    <row r="3" ht="15" customHeight="1">
      <c r="A3" s="7" t="inlineStr">
        <is>
          <t>INCOME</t>
        </is>
      </c>
    </row>
    <row r="4" ht="13" customHeight="1">
      <c r="A4" s="8" t="inlineStr">
        <is>
          <t xml:space="preserve">    Fee Income Regular</t>
        </is>
      </c>
      <c r="B4" s="9" t="n">
        <v>44526.36</v>
      </c>
      <c r="C4" s="9" t="n">
        <v>42668.15</v>
      </c>
      <c r="D4" s="9" t="n">
        <v>49356.27</v>
      </c>
      <c r="E4" s="9" t="n">
        <v>55745.42</v>
      </c>
      <c r="F4" s="9" t="n">
        <v>50381.74</v>
      </c>
      <c r="G4" s="9" t="n">
        <v>50496.26</v>
      </c>
      <c r="H4" s="9" t="n">
        <v>61970.37</v>
      </c>
      <c r="I4" s="9" t="n">
        <v>50217.38</v>
      </c>
      <c r="J4" s="9" t="n">
        <v>36754.18</v>
      </c>
      <c r="K4" s="9" t="n">
        <v>35941.95</v>
      </c>
      <c r="L4" s="9" t="n">
        <v>31455.98</v>
      </c>
      <c r="M4" s="9" t="n">
        <v>43997.17</v>
      </c>
      <c r="N4" s="9">
        <f>SUM(B4:M4)</f>
        <v/>
      </c>
      <c r="O4" s="9" t="n">
        <v>40552.59</v>
      </c>
      <c r="P4" s="9" t="n">
        <v>36292.38999999999</v>
      </c>
      <c r="Q4" s="9" t="n">
        <v>41164.89999999999</v>
      </c>
      <c r="R4" s="9" t="n">
        <v>42853.82999999999</v>
      </c>
      <c r="S4" s="9" t="n">
        <v>34239.50999999999</v>
      </c>
      <c r="T4" s="9" t="n">
        <v>35527.34</v>
      </c>
      <c r="U4" s="9" t="n">
        <v>44114.17999999999</v>
      </c>
      <c r="AA4" s="9">
        <f>SUM(O4:U4)</f>
        <v/>
      </c>
      <c r="AB4" s="9">
        <f>SUM(O4:Z4)</f>
        <v/>
      </c>
      <c r="AC4" s="9" t="n">
        <v>59616.39</v>
      </c>
      <c r="AD4" s="9" t="n">
        <v>56865.4</v>
      </c>
      <c r="AE4" s="9" t="n">
        <v>68454.33</v>
      </c>
      <c r="AF4" s="9" t="n">
        <v>58114.53</v>
      </c>
      <c r="AG4" s="9" t="n">
        <v>45217.21</v>
      </c>
      <c r="AH4" s="9" t="n">
        <v>47158.84</v>
      </c>
      <c r="AI4" s="34">
        <f>SUM(AC4:AH4)</f>
        <v/>
      </c>
      <c r="AJ4" s="9">
        <f>SUM(AC4:AH4)+AI4</f>
        <v/>
      </c>
      <c r="AK4" s="11">
        <f>IF(N4&lt;&gt;0,(AB4-N4)/ABS(N4),0)</f>
        <v/>
      </c>
      <c r="AL4" s="11">
        <f>IF(AB4&lt;&gt;0,(AJ4-AB4)/ABS(AB4),0)</f>
        <v/>
      </c>
    </row>
    <row r="5" ht="13" customHeight="1">
      <c r="A5" s="8" t="inlineStr">
        <is>
          <t xml:space="preserve">    EEEF Embedded</t>
        </is>
      </c>
      <c r="B5" s="9" t="n">
        <v>16877.61</v>
      </c>
      <c r="C5" s="9" t="n">
        <v>16877.61</v>
      </c>
      <c r="D5" s="9" t="n">
        <v>17395.39</v>
      </c>
      <c r="E5" s="9" t="n">
        <v>12211.58</v>
      </c>
      <c r="F5" s="9" t="n">
        <v>12211.58</v>
      </c>
      <c r="G5" s="9" t="n">
        <v>12211.58</v>
      </c>
      <c r="H5" s="9" t="n">
        <v>35264.02</v>
      </c>
      <c r="I5" s="9" t="n">
        <v>0</v>
      </c>
      <c r="J5" s="9" t="n">
        <v>14082.29</v>
      </c>
      <c r="K5" s="9" t="n">
        <v>14082.29</v>
      </c>
      <c r="L5" s="9" t="n">
        <v>33950.17</v>
      </c>
      <c r="M5" s="9" t="n">
        <v>34388.31</v>
      </c>
      <c r="N5" s="9">
        <f>SUM(B5:M5)</f>
        <v/>
      </c>
      <c r="O5" s="9" t="n">
        <v>24341.41</v>
      </c>
      <c r="P5" s="9" t="n">
        <v>24341.41</v>
      </c>
      <c r="Q5" s="9" t="n">
        <v>31208.03</v>
      </c>
      <c r="R5" s="9" t="n">
        <v>23609.06</v>
      </c>
      <c r="S5" s="9" t="n">
        <v>23609.06</v>
      </c>
      <c r="T5" s="9" t="n">
        <v>26879.66</v>
      </c>
      <c r="U5" s="9" t="n">
        <v>24032.53</v>
      </c>
      <c r="AA5" s="9">
        <f>SUM(O5:U5)</f>
        <v/>
      </c>
      <c r="AB5" s="9">
        <f>SUM(O5:Z5)</f>
        <v/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34">
        <f>SUM(AC5:AH5)</f>
        <v/>
      </c>
      <c r="AJ5" s="9">
        <f>SUM(AC5:AH5)+AI5</f>
        <v/>
      </c>
      <c r="AK5" s="11">
        <f>IF(N5&lt;&gt;0,(AB5-N5)/ABS(N5),0)</f>
        <v/>
      </c>
      <c r="AL5" s="11">
        <f>IF(AB5&lt;&gt;0,(AJ5-AB5)/ABS(AB5),0)</f>
        <v/>
      </c>
    </row>
    <row r="6" ht="13" customHeight="1">
      <c r="A6" s="8" t="inlineStr">
        <is>
          <t xml:space="preserve">    Other Income</t>
        </is>
      </c>
      <c r="B6" s="9" t="n">
        <v>100</v>
      </c>
      <c r="C6" s="9" t="n">
        <v>100</v>
      </c>
      <c r="D6" s="9" t="n">
        <v>150</v>
      </c>
      <c r="E6" s="9" t="n">
        <v>150</v>
      </c>
      <c r="F6" s="9" t="n">
        <v>150</v>
      </c>
      <c r="G6" s="9" t="n">
        <v>150</v>
      </c>
      <c r="H6" s="9" t="n">
        <v>150</v>
      </c>
      <c r="I6" s="9" t="n">
        <v>3333.04</v>
      </c>
      <c r="J6" s="9" t="n">
        <v>150</v>
      </c>
      <c r="K6" s="9" t="n">
        <v>150</v>
      </c>
      <c r="L6" s="9" t="n">
        <v>150</v>
      </c>
      <c r="M6" s="9" t="n">
        <v>150</v>
      </c>
      <c r="N6" s="9">
        <f>SUM(B6:M6)</f>
        <v/>
      </c>
      <c r="O6" s="9" t="n">
        <v>150</v>
      </c>
      <c r="P6" s="9" t="n">
        <v>150</v>
      </c>
      <c r="Q6" s="9" t="n">
        <v>150</v>
      </c>
      <c r="R6" s="9" t="n">
        <v>150</v>
      </c>
      <c r="S6" s="9" t="n">
        <v>150</v>
      </c>
      <c r="T6" s="9" t="n">
        <v>150</v>
      </c>
      <c r="U6" s="9" t="n">
        <v>150</v>
      </c>
      <c r="AA6" s="9">
        <f>SUM(O6:U6)</f>
        <v/>
      </c>
      <c r="AB6" s="9">
        <f>SUM(O6:Z6)</f>
        <v/>
      </c>
      <c r="AC6" s="9" t="n">
        <v>0</v>
      </c>
      <c r="AD6" s="9" t="n">
        <v>0</v>
      </c>
      <c r="AE6" s="9" t="n">
        <v>0</v>
      </c>
      <c r="AF6" s="9" t="n">
        <v>0</v>
      </c>
      <c r="AG6" s="9" t="n">
        <v>0</v>
      </c>
      <c r="AH6" s="9" t="n">
        <v>0</v>
      </c>
      <c r="AI6" s="34">
        <f>SUM(AC6:AH6)</f>
        <v/>
      </c>
      <c r="AJ6" s="9">
        <f>SUM(AC6:AH6)+AI6</f>
        <v/>
      </c>
      <c r="AK6" s="11">
        <f>IF(N6&lt;&gt;0,(AB6-N6)/ABS(N6),0)</f>
        <v/>
      </c>
      <c r="AL6" s="11">
        <f>IF(AB6&lt;&gt;0,(AJ6-AB6)/ABS(AB6),0)</f>
        <v/>
      </c>
    </row>
    <row r="7" ht="13" customHeight="1">
      <c r="A7" s="12" t="inlineStr">
        <is>
          <t>Total Income</t>
        </is>
      </c>
      <c r="B7" s="13">
        <f>B4+B5+B6</f>
        <v/>
      </c>
      <c r="C7" s="13">
        <f>C4+C5+C6</f>
        <v/>
      </c>
      <c r="D7" s="13">
        <f>D4+D5+D6</f>
        <v/>
      </c>
      <c r="E7" s="13">
        <f>E4+E5+E6</f>
        <v/>
      </c>
      <c r="F7" s="13">
        <f>F4+F5+F6</f>
        <v/>
      </c>
      <c r="G7" s="13">
        <f>G4+G5+G6</f>
        <v/>
      </c>
      <c r="H7" s="13">
        <f>H4+H5+H6</f>
        <v/>
      </c>
      <c r="I7" s="13">
        <f>I4+I5+I6</f>
        <v/>
      </c>
      <c r="J7" s="13">
        <f>J4+J5+J6</f>
        <v/>
      </c>
      <c r="K7" s="13">
        <f>K4+K5+K6</f>
        <v/>
      </c>
      <c r="L7" s="13">
        <f>L4+L5+L6</f>
        <v/>
      </c>
      <c r="M7" s="13">
        <f>M4+M5+M6</f>
        <v/>
      </c>
      <c r="N7" s="13">
        <f>N4+N5+N6</f>
        <v/>
      </c>
      <c r="O7" s="13">
        <f>O4+O5+O6</f>
        <v/>
      </c>
      <c r="P7" s="13">
        <f>P4+P5+P6</f>
        <v/>
      </c>
      <c r="Q7" s="13">
        <f>Q4+Q5+Q6</f>
        <v/>
      </c>
      <c r="R7" s="13">
        <f>R4+R5+R6</f>
        <v/>
      </c>
      <c r="S7" s="13">
        <f>S4+S5+S6</f>
        <v/>
      </c>
      <c r="T7" s="13">
        <f>T4+T5+T6</f>
        <v/>
      </c>
      <c r="U7" s="13">
        <f>U4+U5+U6</f>
        <v/>
      </c>
      <c r="V7" s="13">
        <f>V4+V5+V6</f>
        <v/>
      </c>
      <c r="W7" s="13">
        <f>W4+W5+W6</f>
        <v/>
      </c>
      <c r="X7" s="13">
        <f>X4+X5+X6</f>
        <v/>
      </c>
      <c r="Y7" s="13">
        <f>Y4+Y5+Y6</f>
        <v/>
      </c>
      <c r="Z7" s="13">
        <f>Z4+Z5+Z6</f>
        <v/>
      </c>
      <c r="AA7" s="13">
        <f>AA4+AA5+AA6</f>
        <v/>
      </c>
      <c r="AB7" s="13">
        <f>AB4+AB5+AB6</f>
        <v/>
      </c>
      <c r="AC7" s="13">
        <f>AC4+AC5+AC6</f>
        <v/>
      </c>
      <c r="AD7" s="13">
        <f>AD4+AD5+AD6</f>
        <v/>
      </c>
      <c r="AE7" s="13">
        <f>AE4+AE5+AE6</f>
        <v/>
      </c>
      <c r="AF7" s="13">
        <f>AF4+AF5+AF6</f>
        <v/>
      </c>
      <c r="AG7" s="13">
        <f>AG4+AG5+AG6</f>
        <v/>
      </c>
      <c r="AH7" s="13">
        <f>AH4+AH5+AH6</f>
        <v/>
      </c>
      <c r="AI7" s="13">
        <f>AI4+AI5+AI6</f>
        <v/>
      </c>
      <c r="AJ7" s="13">
        <f>AJ4+AJ5+AJ6</f>
        <v/>
      </c>
      <c r="AK7" s="11">
        <f>IF(N7&lt;&gt;0,(AB7-N7)/ABS(N7),0)</f>
        <v/>
      </c>
      <c r="AL7" s="11">
        <f>IF(AB7&lt;&gt;0,(AJ7-AB7)/ABS(AB7),0)</f>
        <v/>
      </c>
    </row>
    <row r="8" ht="5" customHeight="1"/>
    <row r="9" ht="15" customHeight="1">
      <c r="A9" s="7" t="inlineStr">
        <is>
          <t>DIRECT COSTS</t>
        </is>
      </c>
    </row>
    <row r="10" ht="13" customHeight="1">
      <c r="A10" s="14" t="inlineStr">
        <is>
          <t>Personnel</t>
        </is>
      </c>
    </row>
    <row r="11" ht="13" customHeight="1">
      <c r="A11" s="15" t="inlineStr">
        <is>
          <t xml:space="preserve">    Nursery Salaries</t>
        </is>
      </c>
      <c r="B11" s="16" t="n">
        <v>24899.66</v>
      </c>
      <c r="C11" s="16" t="n">
        <v>26577.82</v>
      </c>
      <c r="D11" s="16" t="n">
        <v>26925.91</v>
      </c>
      <c r="E11" s="16" t="n">
        <v>29092.65</v>
      </c>
      <c r="F11" s="16" t="n">
        <v>30703.98</v>
      </c>
      <c r="G11" s="16" t="n">
        <v>32699.41</v>
      </c>
      <c r="H11" s="16" t="n">
        <v>32041.49</v>
      </c>
      <c r="I11" s="16" t="n">
        <v>30033.99</v>
      </c>
      <c r="J11" s="16" t="n">
        <v>30047.01</v>
      </c>
      <c r="K11" s="16" t="n">
        <v>23930.87</v>
      </c>
      <c r="L11" s="16" t="n">
        <v>23821.02</v>
      </c>
      <c r="M11" s="16" t="n">
        <v>27265.52</v>
      </c>
      <c r="N11" s="16">
        <f>SUM(B11:M11)</f>
        <v/>
      </c>
      <c r="O11" s="16" t="n">
        <v>28276.3</v>
      </c>
      <c r="P11" s="16" t="n">
        <v>26802.27</v>
      </c>
      <c r="Q11" s="16" t="n">
        <v>25382.96</v>
      </c>
      <c r="R11" s="16" t="n">
        <v>25595.28</v>
      </c>
      <c r="S11" s="16" t="n">
        <v>24639.07</v>
      </c>
      <c r="T11" s="16" t="n">
        <v>24164.19</v>
      </c>
      <c r="U11" s="16" t="n">
        <v>25386.13</v>
      </c>
      <c r="AA11" s="16">
        <f>SUM(O11:U11)</f>
        <v/>
      </c>
      <c r="AB11" s="16">
        <f>SUM(O11:Z11)</f>
        <v/>
      </c>
      <c r="AC11" s="16" t="n">
        <v>25386.13</v>
      </c>
      <c r="AD11" s="16" t="n">
        <v>25386.13</v>
      </c>
      <c r="AE11" s="16" t="n">
        <v>25386.13</v>
      </c>
      <c r="AF11" s="16" t="n">
        <v>25386.13</v>
      </c>
      <c r="AG11" s="16" t="n">
        <v>25386.13</v>
      </c>
      <c r="AH11" s="16" t="n">
        <v>25386.13</v>
      </c>
      <c r="AI11" s="34">
        <f>SUM(AC11:AH11)</f>
        <v/>
      </c>
      <c r="AJ11" s="16">
        <f>SUM(AC11:AH11)+AI11</f>
        <v/>
      </c>
      <c r="AK11" s="11">
        <f>IF(N11&lt;&gt;0,(AB11-N11)/ABS(N11),0)</f>
        <v/>
      </c>
      <c r="AL11" s="11">
        <f>IF(AB11&lt;&gt;0,(AJ11-AB11)/ABS(AB11),0)</f>
        <v/>
      </c>
    </row>
    <row r="12" ht="13" customHeight="1">
      <c r="A12" s="15" t="inlineStr">
        <is>
          <t xml:space="preserve">    Nursery NI</t>
        </is>
      </c>
      <c r="B12" s="16" t="n">
        <v>2002.62</v>
      </c>
      <c r="C12" s="16" t="n">
        <v>2207.05</v>
      </c>
      <c r="D12" s="16" t="n">
        <v>2189.18</v>
      </c>
      <c r="E12" s="16" t="n">
        <v>3403.25</v>
      </c>
      <c r="F12" s="16" t="n">
        <v>3660.67</v>
      </c>
      <c r="G12" s="16" t="n">
        <v>3726.55</v>
      </c>
      <c r="H12" s="16" t="n">
        <v>3675.17</v>
      </c>
      <c r="I12" s="16" t="n">
        <v>3450.1</v>
      </c>
      <c r="J12" s="16" t="n">
        <v>3516.17</v>
      </c>
      <c r="K12" s="16" t="n">
        <v>2723.85</v>
      </c>
      <c r="L12" s="16" t="n">
        <v>2722.83</v>
      </c>
      <c r="M12" s="16" t="n">
        <v>2951.52</v>
      </c>
      <c r="N12" s="16">
        <f>SUM(B12:M12)</f>
        <v/>
      </c>
      <c r="O12" s="16" t="n">
        <v>3122.38</v>
      </c>
      <c r="P12" s="16" t="n">
        <v>2859.56</v>
      </c>
      <c r="Q12" s="16" t="n">
        <v>2641.72</v>
      </c>
      <c r="R12" s="16" t="n">
        <v>2695.94</v>
      </c>
      <c r="S12" s="16" t="n">
        <v>2587.54</v>
      </c>
      <c r="T12" s="16" t="n">
        <v>2503.45</v>
      </c>
      <c r="U12" s="16" t="n">
        <v>2708.66</v>
      </c>
      <c r="AA12" s="16">
        <f>SUM(O12:U12)</f>
        <v/>
      </c>
      <c r="AB12" s="16">
        <f>SUM(O12:Z12)</f>
        <v/>
      </c>
      <c r="AC12" s="16" t="n">
        <v>2708.66</v>
      </c>
      <c r="AD12" s="16" t="n">
        <v>2708.66</v>
      </c>
      <c r="AE12" s="16" t="n">
        <v>2708.66</v>
      </c>
      <c r="AF12" s="16" t="n">
        <v>2708.66</v>
      </c>
      <c r="AG12" s="16" t="n">
        <v>2708.66</v>
      </c>
      <c r="AH12" s="16" t="n">
        <v>2708.66</v>
      </c>
      <c r="AI12" s="34">
        <f>SUM(AC12:AH12)</f>
        <v/>
      </c>
      <c r="AJ12" s="16">
        <f>SUM(AC12:AH12)+AI12</f>
        <v/>
      </c>
      <c r="AK12" s="11">
        <f>IF(N12&lt;&gt;0,(AB12-N12)/ABS(N12),0)</f>
        <v/>
      </c>
      <c r="AL12" s="11">
        <f>IF(AB12&lt;&gt;0,(AJ12-AB12)/ABS(AB12),0)</f>
        <v/>
      </c>
    </row>
    <row r="13" ht="13" customHeight="1">
      <c r="A13" s="15" t="inlineStr">
        <is>
          <t xml:space="preserve">    Nursery Pension</t>
        </is>
      </c>
      <c r="B13" s="16" t="n">
        <v>498.73</v>
      </c>
      <c r="C13" s="16" t="n">
        <v>506.68</v>
      </c>
      <c r="D13" s="16" t="n">
        <v>526.7</v>
      </c>
      <c r="E13" s="16" t="n">
        <v>643.53</v>
      </c>
      <c r="F13" s="16" t="n">
        <v>694.99</v>
      </c>
      <c r="G13" s="16" t="n">
        <v>708.16</v>
      </c>
      <c r="H13" s="16" t="n">
        <v>700.99</v>
      </c>
      <c r="I13" s="16" t="n">
        <v>652.88</v>
      </c>
      <c r="J13" s="16" t="n">
        <v>662.3</v>
      </c>
      <c r="K13" s="16" t="n">
        <v>516.9299999999999</v>
      </c>
      <c r="L13" s="16" t="n">
        <v>516.73</v>
      </c>
      <c r="M13" s="16" t="n">
        <v>527.27</v>
      </c>
      <c r="N13" s="16">
        <f>SUM(B13:M13)</f>
        <v/>
      </c>
      <c r="O13" s="16" t="n">
        <v>546.7</v>
      </c>
      <c r="P13" s="16" t="n">
        <v>540.97</v>
      </c>
      <c r="Q13" s="16" t="n">
        <v>497.41</v>
      </c>
      <c r="R13" s="16" t="n">
        <v>511.34</v>
      </c>
      <c r="S13" s="16" t="n">
        <v>489.65</v>
      </c>
      <c r="T13" s="16" t="n">
        <v>472.83</v>
      </c>
      <c r="U13" s="16" t="n">
        <v>513.88</v>
      </c>
      <c r="AA13" s="16">
        <f>SUM(O13:U13)</f>
        <v/>
      </c>
      <c r="AB13" s="16">
        <f>SUM(O13:Z13)</f>
        <v/>
      </c>
      <c r="AC13" s="16" t="n">
        <v>513.88</v>
      </c>
      <c r="AD13" s="16" t="n">
        <v>513.88</v>
      </c>
      <c r="AE13" s="16" t="n">
        <v>513.88</v>
      </c>
      <c r="AF13" s="16" t="n">
        <v>513.88</v>
      </c>
      <c r="AG13" s="16" t="n">
        <v>513.88</v>
      </c>
      <c r="AH13" s="16" t="n">
        <v>513.88</v>
      </c>
      <c r="AI13" s="34">
        <f>SUM(AC13:AH13)</f>
        <v/>
      </c>
      <c r="AJ13" s="16">
        <f>SUM(AC13:AH13)+AI13</f>
        <v/>
      </c>
      <c r="AK13" s="11">
        <f>IF(N13&lt;&gt;0,(AB13-N13)/ABS(N13),0)</f>
        <v/>
      </c>
      <c r="AL13" s="11">
        <f>IF(AB13&lt;&gt;0,(AJ13-AB13)/ABS(AB13),0)</f>
        <v/>
      </c>
    </row>
    <row r="14" ht="13" customHeight="1">
      <c r="A14" s="15" t="inlineStr">
        <is>
          <t xml:space="preserve">    Uniform</t>
        </is>
      </c>
      <c r="B14" s="16" t="n">
        <v>70.56</v>
      </c>
      <c r="C14" s="16" t="n">
        <v>56.16</v>
      </c>
      <c r="D14" s="16" t="n">
        <v>171.23</v>
      </c>
      <c r="E14" s="16" t="n">
        <v>0</v>
      </c>
      <c r="F14" s="16" t="n">
        <v>119.96</v>
      </c>
      <c r="G14" s="16" t="n">
        <v>78.48</v>
      </c>
      <c r="H14" s="16" t="n">
        <v>0</v>
      </c>
      <c r="I14" s="16" t="n">
        <v>0</v>
      </c>
      <c r="J14" s="16" t="n">
        <v>0</v>
      </c>
      <c r="K14" s="16" t="n">
        <v>136.44</v>
      </c>
      <c r="L14" s="16" t="n">
        <v>0</v>
      </c>
      <c r="M14" s="16" t="n">
        <v>0</v>
      </c>
      <c r="N14" s="16">
        <f>SUM(B14:M14)</f>
        <v/>
      </c>
      <c r="O14" s="16" t="n">
        <v>135.3</v>
      </c>
      <c r="P14" s="16" t="n">
        <v>0</v>
      </c>
      <c r="Q14" s="16" t="n">
        <v>0</v>
      </c>
      <c r="R14" s="16" t="n">
        <v>0</v>
      </c>
      <c r="S14" s="16" t="n">
        <v>0</v>
      </c>
      <c r="T14" s="16" t="n">
        <v>59.28</v>
      </c>
      <c r="U14" s="16" t="n">
        <v>29.94</v>
      </c>
      <c r="AA14" s="16">
        <f>SUM(O14:U14)</f>
        <v/>
      </c>
      <c r="AB14" s="16">
        <f>SUM(O14:Z14)</f>
        <v/>
      </c>
      <c r="AC14" s="16" t="n">
        <v>50</v>
      </c>
      <c r="AD14" s="16" t="n">
        <v>50</v>
      </c>
      <c r="AE14" s="16" t="n">
        <v>50</v>
      </c>
      <c r="AF14" s="16" t="n">
        <v>50</v>
      </c>
      <c r="AG14" s="16" t="n">
        <v>50</v>
      </c>
      <c r="AH14" s="16" t="n">
        <v>50</v>
      </c>
      <c r="AI14" s="34">
        <f>SUM(AC14:AH14)</f>
        <v/>
      </c>
      <c r="AJ14" s="16">
        <f>SUM(AC14:AH14)+AI14</f>
        <v/>
      </c>
      <c r="AK14" s="11">
        <f>IF(N14&lt;&gt;0,(AB14-N14)/ABS(N14),0)</f>
        <v/>
      </c>
      <c r="AL14" s="11">
        <f>IF(AB14&lt;&gt;0,(AJ14-AB14)/ABS(AB14),0)</f>
        <v/>
      </c>
    </row>
    <row r="15" ht="13" customHeight="1">
      <c r="A15" s="15" t="inlineStr">
        <is>
          <t xml:space="preserve">    Training</t>
        </is>
      </c>
      <c r="B15" s="16" t="n">
        <v>96</v>
      </c>
      <c r="C15" s="16" t="n">
        <v>0</v>
      </c>
      <c r="D15" s="16" t="n">
        <v>48</v>
      </c>
      <c r="E15" s="16" t="n">
        <v>156</v>
      </c>
      <c r="F15" s="16" t="n">
        <v>98.40000000000001</v>
      </c>
      <c r="G15" s="16" t="n">
        <v>0</v>
      </c>
      <c r="H15" s="16" t="n">
        <v>270</v>
      </c>
      <c r="I15" s="16" t="n">
        <v>0</v>
      </c>
      <c r="J15" s="16" t="n">
        <v>0</v>
      </c>
      <c r="K15" s="16" t="n">
        <v>193.2</v>
      </c>
      <c r="L15" s="16" t="n">
        <v>594</v>
      </c>
      <c r="M15" s="16" t="n">
        <v>37.2</v>
      </c>
      <c r="N15" s="16">
        <f>SUM(B15:M15)</f>
        <v/>
      </c>
      <c r="O15" s="16" t="n">
        <v>0</v>
      </c>
      <c r="P15" s="16" t="n">
        <v>58</v>
      </c>
      <c r="Q15" s="16" t="n">
        <v>0</v>
      </c>
      <c r="R15" s="16" t="n">
        <v>24</v>
      </c>
      <c r="S15" s="16" t="n">
        <v>0</v>
      </c>
      <c r="T15" s="16" t="n">
        <v>-500</v>
      </c>
      <c r="U15" s="16" t="n">
        <v>331.63</v>
      </c>
      <c r="AA15" s="16">
        <f>SUM(O15:U15)</f>
        <v/>
      </c>
      <c r="AB15" s="16">
        <f>SUM(O15:Z15)</f>
        <v/>
      </c>
      <c r="AC15" s="16" t="n">
        <v>0</v>
      </c>
      <c r="AD15" s="16" t="n">
        <v>0</v>
      </c>
      <c r="AE15" s="16" t="n">
        <v>0</v>
      </c>
      <c r="AF15" s="16" t="n">
        <v>0</v>
      </c>
      <c r="AG15" s="16" t="n">
        <v>0</v>
      </c>
      <c r="AH15" s="16" t="n">
        <v>0</v>
      </c>
      <c r="AI15" s="34">
        <f>SUM(AC15:AH15)</f>
        <v/>
      </c>
      <c r="AJ15" s="16">
        <f>SUM(AC15:AH15)+AI15</f>
        <v/>
      </c>
      <c r="AK15" s="11">
        <f>IF(N15&lt;&gt;0,(AB15-N15)/ABS(N15),0)</f>
        <v/>
      </c>
      <c r="AL15" s="11">
        <f>IF(AB15&lt;&gt;0,(AJ15-AB15)/ABS(AB15),0)</f>
        <v/>
      </c>
    </row>
    <row r="16" ht="13" customHeight="1">
      <c r="A16" s="15" t="inlineStr">
        <is>
          <t xml:space="preserve">    Staff Welfare</t>
        </is>
      </c>
      <c r="B16" s="16" t="n">
        <v>133.75</v>
      </c>
      <c r="C16" s="16" t="n">
        <v>119.98</v>
      </c>
      <c r="D16" s="16" t="n">
        <v>168.98</v>
      </c>
      <c r="E16" s="16" t="n">
        <v>151.14</v>
      </c>
      <c r="F16" s="16" t="n">
        <v>162.64</v>
      </c>
      <c r="G16" s="16" t="n">
        <v>156.4</v>
      </c>
      <c r="H16" s="16" t="n">
        <v>78.23999999999999</v>
      </c>
      <c r="I16" s="16" t="n">
        <v>238.74</v>
      </c>
      <c r="J16" s="16" t="n">
        <v>0</v>
      </c>
      <c r="K16" s="16" t="n">
        <v>154.24</v>
      </c>
      <c r="L16" s="16" t="n">
        <v>73.00999999999999</v>
      </c>
      <c r="M16" s="16" t="n">
        <v>375.95</v>
      </c>
      <c r="N16" s="16">
        <f>SUM(B16:M16)</f>
        <v/>
      </c>
      <c r="O16" s="16" t="n">
        <v>132.69</v>
      </c>
      <c r="P16" s="16" t="n">
        <v>153.97</v>
      </c>
      <c r="Q16" s="16" t="n">
        <v>157.6</v>
      </c>
      <c r="R16" s="16" t="n">
        <v>163.93</v>
      </c>
      <c r="S16" s="16" t="n">
        <v>163.71</v>
      </c>
      <c r="T16" s="16" t="n">
        <v>48.41</v>
      </c>
      <c r="U16" s="16" t="n">
        <v>199.54</v>
      </c>
      <c r="AA16" s="16">
        <f>SUM(O16:U16)</f>
        <v/>
      </c>
      <c r="AB16" s="16">
        <f>SUM(O16:Z16)</f>
        <v/>
      </c>
      <c r="AC16" s="16" t="n">
        <v>132.69</v>
      </c>
      <c r="AD16" s="16" t="n">
        <v>132.69</v>
      </c>
      <c r="AE16" s="16" t="n">
        <v>132.69</v>
      </c>
      <c r="AF16" s="16" t="n">
        <v>132.69</v>
      </c>
      <c r="AG16" s="16" t="n">
        <v>132.69</v>
      </c>
      <c r="AH16" s="16" t="n">
        <v>132.69</v>
      </c>
      <c r="AI16" s="34">
        <f>SUM(AC16:AH16)</f>
        <v/>
      </c>
      <c r="AJ16" s="16">
        <f>SUM(AC16:AH16)+AI16</f>
        <v/>
      </c>
      <c r="AK16" s="11">
        <f>IF(N16&lt;&gt;0,(AB16-N16)/ABS(N16),0)</f>
        <v/>
      </c>
      <c r="AL16" s="11">
        <f>IF(AB16&lt;&gt;0,(AJ16-AB16)/ABS(AB16),0)</f>
        <v/>
      </c>
    </row>
    <row r="17" ht="13" customHeight="1">
      <c r="A17" s="15" t="inlineStr">
        <is>
          <t xml:space="preserve">    Recruitment</t>
        </is>
      </c>
      <c r="B17" s="16" t="n">
        <v>0</v>
      </c>
      <c r="C17" s="16" t="n">
        <v>0</v>
      </c>
      <c r="D17" s="16" t="n">
        <v>0</v>
      </c>
      <c r="E17" s="16" t="n">
        <v>0</v>
      </c>
      <c r="F17" s="16" t="n">
        <v>0</v>
      </c>
      <c r="G17" s="16" t="n">
        <v>0</v>
      </c>
      <c r="H17" s="16" t="n">
        <v>0</v>
      </c>
      <c r="I17" s="16" t="n">
        <v>0</v>
      </c>
      <c r="J17" s="16" t="n">
        <v>0</v>
      </c>
      <c r="K17" s="16" t="n">
        <v>0</v>
      </c>
      <c r="L17" s="16" t="n">
        <v>0</v>
      </c>
      <c r="M17" s="16" t="n">
        <v>0</v>
      </c>
      <c r="N17" s="16">
        <f>SUM(B17:M17)</f>
        <v/>
      </c>
      <c r="O17" s="16" t="n">
        <v>0</v>
      </c>
      <c r="P17" s="16" t="n">
        <v>0</v>
      </c>
      <c r="Q17" s="16" t="n">
        <v>0</v>
      </c>
      <c r="R17" s="16" t="n">
        <v>0</v>
      </c>
      <c r="S17" s="16" t="n">
        <v>0</v>
      </c>
      <c r="T17" s="16" t="n">
        <v>0</v>
      </c>
      <c r="U17" s="16" t="n">
        <v>0</v>
      </c>
      <c r="V17" s="16" t="n">
        <v>0</v>
      </c>
      <c r="W17" s="16" t="n">
        <v>0</v>
      </c>
      <c r="X17" s="16" t="n">
        <v>0</v>
      </c>
      <c r="Y17" s="16" t="n">
        <v>0</v>
      </c>
      <c r="Z17" s="16" t="n">
        <v>0</v>
      </c>
      <c r="AA17" s="16">
        <f>SUM(O17:U17)</f>
        <v/>
      </c>
      <c r="AB17" s="16">
        <f>SUM(O17:Z17)</f>
        <v/>
      </c>
      <c r="AC17" s="16" t="n">
        <v>0</v>
      </c>
      <c r="AD17" s="16" t="n">
        <v>0</v>
      </c>
      <c r="AE17" s="16" t="n">
        <v>0</v>
      </c>
      <c r="AF17" s="16" t="n">
        <v>0</v>
      </c>
      <c r="AG17" s="16" t="n">
        <v>0</v>
      </c>
      <c r="AH17" s="16" t="n">
        <v>0</v>
      </c>
      <c r="AI17" s="34">
        <f>SUM(AC17:AH17)</f>
        <v/>
      </c>
      <c r="AJ17" s="16">
        <f>SUM(AC17:AH17)+AI17</f>
        <v/>
      </c>
      <c r="AK17" s="11">
        <f>IF(N17&lt;&gt;0,(AB17-N17)/ABS(N17),0)</f>
        <v/>
      </c>
      <c r="AL17" s="11">
        <f>IF(AB17&lt;&gt;0,(AJ17-AB17)/ABS(AB17),0)</f>
        <v/>
      </c>
    </row>
    <row r="18" ht="13" customHeight="1">
      <c r="A18" s="15" t="inlineStr">
        <is>
          <t xml:space="preserve">    Rewards &amp; Recognition</t>
        </is>
      </c>
      <c r="B18" s="16" t="n">
        <v>0</v>
      </c>
      <c r="C18" s="16" t="n">
        <v>0</v>
      </c>
      <c r="D18" s="16" t="n">
        <v>0</v>
      </c>
      <c r="E18" s="16" t="n">
        <v>0</v>
      </c>
      <c r="F18" s="16" t="n">
        <v>0</v>
      </c>
      <c r="G18" s="16" t="n">
        <v>0</v>
      </c>
      <c r="H18" s="16" t="n">
        <v>30</v>
      </c>
      <c r="I18" s="16" t="n">
        <v>9.49</v>
      </c>
      <c r="J18" s="16" t="n">
        <v>21</v>
      </c>
      <c r="K18" s="16" t="n">
        <v>26.97</v>
      </c>
      <c r="L18" s="16" t="n">
        <v>0</v>
      </c>
      <c r="M18" s="16" t="n">
        <v>10.05</v>
      </c>
      <c r="N18" s="16">
        <f>SUM(B18:M18)</f>
        <v/>
      </c>
      <c r="O18" s="16" t="n">
        <v>30</v>
      </c>
      <c r="P18" s="16" t="n">
        <v>50.75</v>
      </c>
      <c r="Q18" s="16" t="n">
        <v>27.55</v>
      </c>
      <c r="R18" s="16" t="n">
        <v>0</v>
      </c>
      <c r="S18" s="16" t="n">
        <v>0</v>
      </c>
      <c r="T18" s="16" t="n">
        <v>0</v>
      </c>
      <c r="U18" s="16" t="n">
        <v>0</v>
      </c>
      <c r="AA18" s="16">
        <f>SUM(O18:U18)</f>
        <v/>
      </c>
      <c r="AB18" s="16">
        <f>SUM(O18:Z18)</f>
        <v/>
      </c>
      <c r="AC18" s="16" t="n">
        <v>42</v>
      </c>
      <c r="AD18" s="16" t="n">
        <v>42</v>
      </c>
      <c r="AE18" s="16" t="n">
        <v>42</v>
      </c>
      <c r="AF18" s="16" t="n">
        <v>42</v>
      </c>
      <c r="AG18" s="16" t="n">
        <v>42</v>
      </c>
      <c r="AH18" s="16" t="n">
        <v>42</v>
      </c>
      <c r="AI18" s="34">
        <f>SUM(AC18:AH18)</f>
        <v/>
      </c>
      <c r="AJ18" s="16">
        <f>SUM(AC18:AH18)+AI18</f>
        <v/>
      </c>
      <c r="AK18" s="11">
        <f>IF(N18&lt;&gt;0,(AB18-N18)/ABS(N18),0)</f>
        <v/>
      </c>
      <c r="AL18" s="11">
        <f>IF(AB18&lt;&gt;0,(AJ18-AB18)/ABS(AB18),0)</f>
        <v/>
      </c>
    </row>
    <row r="19" ht="13" customHeight="1">
      <c r="A19" s="15" t="inlineStr">
        <is>
          <t xml:space="preserve">    Temps</t>
        </is>
      </c>
      <c r="B19" s="16" t="n">
        <v>0</v>
      </c>
      <c r="C19" s="16" t="n">
        <v>0</v>
      </c>
      <c r="D19" s="16" t="n">
        <v>0</v>
      </c>
      <c r="E19" s="16" t="n">
        <v>0</v>
      </c>
      <c r="F19" s="16" t="n">
        <v>0</v>
      </c>
      <c r="G19" s="16" t="n">
        <v>0</v>
      </c>
      <c r="H19" s="16" t="n">
        <v>0</v>
      </c>
      <c r="I19" s="16" t="n">
        <v>0</v>
      </c>
      <c r="J19" s="16" t="n">
        <v>0</v>
      </c>
      <c r="K19" s="16" t="n">
        <v>0</v>
      </c>
      <c r="L19" s="16" t="n">
        <v>0</v>
      </c>
      <c r="M19" s="16" t="n">
        <v>0</v>
      </c>
      <c r="N19" s="16">
        <f>SUM(B19:M19)</f>
        <v/>
      </c>
      <c r="O19" s="16" t="n">
        <v>0</v>
      </c>
      <c r="P19" s="16" t="n">
        <v>0</v>
      </c>
      <c r="Q19" s="16" t="n">
        <v>0</v>
      </c>
      <c r="R19" s="16" t="n">
        <v>0</v>
      </c>
      <c r="S19" s="16" t="n">
        <v>0</v>
      </c>
      <c r="T19" s="16" t="n">
        <v>0</v>
      </c>
      <c r="U19" s="16" t="n">
        <v>0</v>
      </c>
      <c r="V19" s="16" t="n">
        <v>0</v>
      </c>
      <c r="W19" s="16" t="n">
        <v>0</v>
      </c>
      <c r="X19" s="16" t="n">
        <v>0</v>
      </c>
      <c r="Y19" s="16" t="n">
        <v>0</v>
      </c>
      <c r="Z19" s="16" t="n">
        <v>0</v>
      </c>
      <c r="AA19" s="16">
        <f>SUM(O19:U19)</f>
        <v/>
      </c>
      <c r="AB19" s="16">
        <f>SUM(O19:Z19)</f>
        <v/>
      </c>
      <c r="AC19" s="16" t="n">
        <v>0</v>
      </c>
      <c r="AD19" s="16" t="n">
        <v>0</v>
      </c>
      <c r="AE19" s="16" t="n">
        <v>0</v>
      </c>
      <c r="AF19" s="16" t="n">
        <v>0</v>
      </c>
      <c r="AG19" s="16" t="n">
        <v>0</v>
      </c>
      <c r="AH19" s="16" t="n">
        <v>0</v>
      </c>
      <c r="AI19" s="34">
        <f>SUM(AC19:AH19)</f>
        <v/>
      </c>
      <c r="AJ19" s="16">
        <f>SUM(AC19:AH19)+AI19</f>
        <v/>
      </c>
      <c r="AK19" s="11">
        <f>IF(N19&lt;&gt;0,(AB19-N19)/ABS(N19),0)</f>
        <v/>
      </c>
      <c r="AL19" s="11">
        <f>IF(AB19&lt;&gt;0,(AJ19-AB19)/ABS(AB19),0)</f>
        <v/>
      </c>
    </row>
    <row r="20" ht="13" customHeight="1">
      <c r="A20" s="17" t="inlineStr">
        <is>
          <t>Total Personnel</t>
        </is>
      </c>
      <c r="B20" s="18">
        <f>B11+B12+B13+B14+B15+B16+B17+B18+B19</f>
        <v/>
      </c>
      <c r="C20" s="18">
        <f>C11+C12+C13+C14+C15+C16+C17+C18+C19</f>
        <v/>
      </c>
      <c r="D20" s="18">
        <f>D11+D12+D13+D14+D15+D16+D17+D18+D19</f>
        <v/>
      </c>
      <c r="E20" s="18">
        <f>E11+E12+E13+E14+E15+E16+E17+E18+E19</f>
        <v/>
      </c>
      <c r="F20" s="18">
        <f>F11+F12+F13+F14+F15+F16+F17+F18+F19</f>
        <v/>
      </c>
      <c r="G20" s="18">
        <f>G11+G12+G13+G14+G15+G16+G17+G18+G19</f>
        <v/>
      </c>
      <c r="H20" s="18">
        <f>H11+H12+H13+H14+H15+H16+H17+H18+H19</f>
        <v/>
      </c>
      <c r="I20" s="18">
        <f>I11+I12+I13+I14+I15+I16+I17+I18+I19</f>
        <v/>
      </c>
      <c r="J20" s="18">
        <f>J11+J12+J13+J14+J15+J16+J17+J18+J19</f>
        <v/>
      </c>
      <c r="K20" s="18">
        <f>K11+K12+K13+K14+K15+K16+K17+K18+K19</f>
        <v/>
      </c>
      <c r="L20" s="18">
        <f>L11+L12+L13+L14+L15+L16+L17+L18+L19</f>
        <v/>
      </c>
      <c r="M20" s="18">
        <f>M11+M12+M13+M14+M15+M16+M17+M18+M19</f>
        <v/>
      </c>
      <c r="N20" s="18">
        <f>N11+N12+N13+N14+N15+N16+N17+N18+N19</f>
        <v/>
      </c>
      <c r="O20" s="18">
        <f>O11+O12+O13+O14+O15+O16+O17+O18+O19</f>
        <v/>
      </c>
      <c r="P20" s="18">
        <f>P11+P12+P13+P14+P15+P16+P17+P18+P19</f>
        <v/>
      </c>
      <c r="Q20" s="18">
        <f>Q11+Q12+Q13+Q14+Q15+Q16+Q17+Q18+Q19</f>
        <v/>
      </c>
      <c r="R20" s="18">
        <f>R11+R12+R13+R14+R15+R16+R17+R18+R19</f>
        <v/>
      </c>
      <c r="S20" s="18">
        <f>S11+S12+S13+S14+S15+S16+S17+S18+S19</f>
        <v/>
      </c>
      <c r="T20" s="18">
        <f>T11+T12+T13+T14+T15+T16+T17+T18+T19</f>
        <v/>
      </c>
      <c r="U20" s="18">
        <f>U11+U12+U13+U14+U15+U16+U17+U18+U19</f>
        <v/>
      </c>
      <c r="V20" s="18">
        <f>V11+V12+V13+V14+V15+V16+V17+V18+V19</f>
        <v/>
      </c>
      <c r="W20" s="18">
        <f>W11+W12+W13+W14+W15+W16+W17+W18+W19</f>
        <v/>
      </c>
      <c r="X20" s="18">
        <f>X11+X12+X13+X14+X15+X16+X17+X18+X19</f>
        <v/>
      </c>
      <c r="Y20" s="18">
        <f>Y11+Y12+Y13+Y14+Y15+Y16+Y17+Y18+Y19</f>
        <v/>
      </c>
      <c r="Z20" s="18">
        <f>Z11+Z12+Z13+Z14+Z15+Z16+Z17+Z18+Z19</f>
        <v/>
      </c>
      <c r="AA20" s="18">
        <f>AA11+AA12+AA13+AA14+AA15+AA16+AA17+AA18+AA19</f>
        <v/>
      </c>
      <c r="AB20" s="18">
        <f>AB11+AB12+AB13+AB14+AB15+AB16+AB17+AB18+AB19</f>
        <v/>
      </c>
      <c r="AC20" s="18">
        <f>AC11+AC12+AC13+AC14+AC15+AC16+AC17+AC18+AC19</f>
        <v/>
      </c>
      <c r="AD20" s="18">
        <f>AD11+AD12+AD13+AD14+AD15+AD16+AD17+AD18+AD19</f>
        <v/>
      </c>
      <c r="AE20" s="18">
        <f>AE11+AE12+AE13+AE14+AE15+AE16+AE17+AE18+AE19</f>
        <v/>
      </c>
      <c r="AF20" s="18">
        <f>AF11+AF12+AF13+AF14+AF15+AF16+AF17+AF18+AF19</f>
        <v/>
      </c>
      <c r="AG20" s="18">
        <f>AG11+AG12+AG13+AG14+AG15+AG16+AG17+AG18+AG19</f>
        <v/>
      </c>
      <c r="AH20" s="18">
        <f>AH11+AH12+AH13+AH14+AH15+AH16+AH17+AH18+AH19</f>
        <v/>
      </c>
      <c r="AI20" s="18">
        <f>AI11+AI12+AI13+AI14+AI15+AI16+AI17+AI18+AI19</f>
        <v/>
      </c>
      <c r="AJ20" s="18">
        <f>AJ11+AJ12+AJ13+AJ14+AJ15+AJ16+AJ17+AJ18+AJ19</f>
        <v/>
      </c>
      <c r="AK20" s="11">
        <f>IF(N20&lt;&gt;0,(AB20-N20)/ABS(N20),0)</f>
        <v/>
      </c>
      <c r="AL20" s="11">
        <f>IF(AB20&lt;&gt;0,(AJ20-AB20)/ABS(AB20),0)</f>
        <v/>
      </c>
    </row>
    <row r="21" ht="13" customHeight="1">
      <c r="A21" s="19" t="inlineStr">
        <is>
          <t xml:space="preserve">    Sal:Rev</t>
        </is>
      </c>
      <c r="B21" s="20">
        <f>IF(B7&gt;0,B20/B7,0)</f>
        <v/>
      </c>
      <c r="C21" s="20">
        <f>IF(C7&gt;0,C20/C7,0)</f>
        <v/>
      </c>
      <c r="D21" s="20">
        <f>IF(D7&gt;0,D20/D7,0)</f>
        <v/>
      </c>
      <c r="E21" s="20">
        <f>IF(E7&gt;0,E20/E7,0)</f>
        <v/>
      </c>
      <c r="F21" s="20">
        <f>IF(F7&gt;0,F20/F7,0)</f>
        <v/>
      </c>
      <c r="G21" s="20">
        <f>IF(G7&gt;0,G20/G7,0)</f>
        <v/>
      </c>
      <c r="H21" s="20">
        <f>IF(H7&gt;0,H20/H7,0)</f>
        <v/>
      </c>
      <c r="I21" s="20">
        <f>IF(I7&gt;0,I20/I7,0)</f>
        <v/>
      </c>
      <c r="J21" s="20">
        <f>IF(J7&gt;0,J20/J7,0)</f>
        <v/>
      </c>
      <c r="K21" s="20">
        <f>IF(K7&gt;0,K20/K7,0)</f>
        <v/>
      </c>
      <c r="L21" s="20">
        <f>IF(L7&gt;0,L20/L7,0)</f>
        <v/>
      </c>
      <c r="M21" s="20">
        <f>IF(M7&gt;0,M20/M7,0)</f>
        <v/>
      </c>
      <c r="N21" s="20">
        <f>IF(N7&gt;0,N20/N7,0)</f>
        <v/>
      </c>
      <c r="O21" s="20">
        <f>IF(O7&gt;0,O20/O7,0)</f>
        <v/>
      </c>
      <c r="P21" s="20">
        <f>IF(P7&gt;0,P20/P7,0)</f>
        <v/>
      </c>
      <c r="Q21" s="20">
        <f>IF(Q7&gt;0,Q20/Q7,0)</f>
        <v/>
      </c>
      <c r="R21" s="20">
        <f>IF(R7&gt;0,R20/R7,0)</f>
        <v/>
      </c>
      <c r="S21" s="20">
        <f>IF(S7&gt;0,S20/S7,0)</f>
        <v/>
      </c>
      <c r="T21" s="20">
        <f>IF(T7&gt;0,T20/T7,0)</f>
        <v/>
      </c>
      <c r="U21" s="20">
        <f>IF(U7&gt;0,U20/U7,0)</f>
        <v/>
      </c>
      <c r="V21" s="20">
        <f>IF(V7&gt;0,V20/V7,0)</f>
        <v/>
      </c>
      <c r="W21" s="20">
        <f>IF(W7&gt;0,W20/W7,0)</f>
        <v/>
      </c>
      <c r="X21" s="20">
        <f>IF(X7&gt;0,X20/X7,0)</f>
        <v/>
      </c>
      <c r="Y21" s="20">
        <f>IF(Y7&gt;0,Y20/Y7,0)</f>
        <v/>
      </c>
      <c r="Z21" s="20">
        <f>IF(Z7&gt;0,Z20/Z7,0)</f>
        <v/>
      </c>
      <c r="AA21" s="20">
        <f>IF(AA7&gt;0,AA20/AA7,0)</f>
        <v/>
      </c>
      <c r="AB21" s="20">
        <f>IF(AB7&gt;0,AB20/AB7,0)</f>
        <v/>
      </c>
      <c r="AC21" s="20">
        <f>IF(AC7&gt;0,AC20/AC7,0)</f>
        <v/>
      </c>
      <c r="AD21" s="20">
        <f>IF(AD7&gt;0,AD20/AD7,0)</f>
        <v/>
      </c>
      <c r="AE21" s="20">
        <f>IF(AE7&gt;0,AE20/AE7,0)</f>
        <v/>
      </c>
      <c r="AF21" s="20">
        <f>IF(AF7&gt;0,AF20/AF7,0)</f>
        <v/>
      </c>
      <c r="AG21" s="20">
        <f>IF(AG7&gt;0,AG20/AG7,0)</f>
        <v/>
      </c>
      <c r="AH21" s="20">
        <f>IF(AH7&gt;0,AH20/AH7,0)</f>
        <v/>
      </c>
      <c r="AI21" s="20">
        <f>IF(AI7&gt;0,AI20/AI7,0)</f>
        <v/>
      </c>
      <c r="AJ21" s="20">
        <f>IF(AJ7&gt;0,AJ20/AJ7,0)</f>
        <v/>
      </c>
    </row>
    <row r="22" ht="5" customHeight="1"/>
    <row r="23" ht="13" customHeight="1">
      <c r="A23" s="14" t="inlineStr">
        <is>
          <t>Childcare</t>
        </is>
      </c>
    </row>
    <row r="24" ht="13" customHeight="1">
      <c r="A24" s="21" t="inlineStr">
        <is>
          <t xml:space="preserve">    Catering Costs</t>
        </is>
      </c>
      <c r="N24" s="22">
        <f>SUM(B24:M24)</f>
        <v/>
      </c>
      <c r="O24" s="22" t="n">
        <v>1913.69</v>
      </c>
      <c r="P24" s="22" t="n">
        <v>2339.36</v>
      </c>
      <c r="Q24" s="22" t="n">
        <v>2227.04</v>
      </c>
      <c r="R24" s="22" t="n">
        <v>1978.58</v>
      </c>
      <c r="S24" s="22" t="n">
        <v>1723.72</v>
      </c>
      <c r="T24" s="22" t="n">
        <v>2074.85</v>
      </c>
      <c r="U24" s="22" t="n">
        <v>2481.22</v>
      </c>
      <c r="V24" s="22" t="n">
        <v>1146.27</v>
      </c>
      <c r="W24" s="22" t="n">
        <v>1532.3724</v>
      </c>
      <c r="X24" s="22" t="n">
        <v>1791.27</v>
      </c>
      <c r="Y24" s="22" t="n">
        <v>1764.99</v>
      </c>
      <c r="Z24" s="22" t="n">
        <v>1495.74</v>
      </c>
      <c r="AA24" s="22">
        <f>SUM(O24:U24)</f>
        <v/>
      </c>
      <c r="AB24" s="22">
        <f>SUM(O24:Z24)</f>
        <v/>
      </c>
      <c r="AC24" s="22" t="n">
        <v>1788.4917</v>
      </c>
      <c r="AD24" s="22" t="n">
        <v>1705.962</v>
      </c>
      <c r="AE24" s="22" t="n">
        <v>2053.6299</v>
      </c>
      <c r="AF24" s="22" t="n">
        <v>1743.4359</v>
      </c>
      <c r="AG24" s="22" t="n">
        <v>1356.5163</v>
      </c>
      <c r="AH24" s="22" t="n">
        <v>1414.7652</v>
      </c>
      <c r="AI24" s="34">
        <f>SUM(AC24:AH24)</f>
        <v/>
      </c>
      <c r="AJ24" s="22">
        <f>SUM(AC24:AH24)+AI24</f>
        <v/>
      </c>
      <c r="AK24" s="11">
        <f>IF(N24&lt;&gt;0,(AB24-N24)/ABS(N24),0)</f>
        <v/>
      </c>
      <c r="AL24" s="11">
        <f>IF(AB24&lt;&gt;0,(AJ24-AB24)/ABS(AB24),0)</f>
        <v/>
      </c>
    </row>
    <row r="25" ht="13" customHeight="1">
      <c r="A25" s="21" t="inlineStr">
        <is>
          <t xml:space="preserve">    Toys and Games</t>
        </is>
      </c>
      <c r="B25" s="22" t="n">
        <v>345.51</v>
      </c>
      <c r="C25" s="22" t="n">
        <v>751.0200000000001</v>
      </c>
      <c r="D25" s="22" t="n">
        <v>178.36</v>
      </c>
      <c r="E25" s="22" t="n">
        <v>150.78</v>
      </c>
      <c r="F25" s="22" t="n">
        <v>488.33</v>
      </c>
      <c r="G25" s="22" t="n">
        <v>322.31</v>
      </c>
      <c r="H25" s="22" t="n">
        <v>82.25999999999999</v>
      </c>
      <c r="I25" s="22" t="n">
        <v>311.59</v>
      </c>
      <c r="J25" s="22" t="n">
        <v>65.91</v>
      </c>
      <c r="K25" s="22" t="n">
        <v>455.4800000000001</v>
      </c>
      <c r="L25" s="22" t="n">
        <v>445.5099999999999</v>
      </c>
      <c r="M25" s="22" t="n">
        <v>229.46</v>
      </c>
      <c r="N25" s="22">
        <f>SUM(B25:M25)</f>
        <v/>
      </c>
      <c r="O25" s="22" t="n">
        <v>272.87</v>
      </c>
      <c r="P25" s="22" t="n">
        <v>16.47</v>
      </c>
      <c r="Q25" s="22" t="n">
        <v>417.58</v>
      </c>
      <c r="R25" s="22" t="n">
        <v>44.43</v>
      </c>
      <c r="S25" s="22" t="n">
        <v>553.8199999999999</v>
      </c>
      <c r="T25" s="22" t="n">
        <v>372.91</v>
      </c>
      <c r="U25" s="22" t="n">
        <v>274.15</v>
      </c>
      <c r="AA25" s="22">
        <f>SUM(O25:U25)</f>
        <v/>
      </c>
      <c r="AB25" s="22">
        <f>SUM(O25:Z25)</f>
        <v/>
      </c>
      <c r="AC25" s="22" t="n">
        <v>53</v>
      </c>
      <c r="AD25" s="22" t="n">
        <v>53</v>
      </c>
      <c r="AE25" s="22" t="n">
        <v>53</v>
      </c>
      <c r="AF25" s="22" t="n">
        <v>53</v>
      </c>
      <c r="AG25" s="22" t="n">
        <v>53</v>
      </c>
      <c r="AH25" s="22" t="n">
        <v>53</v>
      </c>
      <c r="AI25" s="34">
        <f>SUM(AC25:AH25)</f>
        <v/>
      </c>
      <c r="AJ25" s="22">
        <f>SUM(AC25:AH25)+AI25</f>
        <v/>
      </c>
      <c r="AK25" s="11">
        <f>IF(N25&lt;&gt;0,(AB25-N25)/ABS(N25),0)</f>
        <v/>
      </c>
      <c r="AL25" s="11">
        <f>IF(AB25&lt;&gt;0,(AJ25-AB25)/ABS(AB25),0)</f>
        <v/>
      </c>
    </row>
    <row r="26" ht="13" customHeight="1">
      <c r="A26" s="21" t="inlineStr">
        <is>
          <t xml:space="preserve">    Art Materials</t>
        </is>
      </c>
      <c r="N26" s="22">
        <f>SUM(B26:M26)</f>
        <v/>
      </c>
      <c r="O26" s="22" t="n">
        <v>68</v>
      </c>
      <c r="P26" s="22" t="n">
        <v>106.03</v>
      </c>
      <c r="Q26" s="22" t="n">
        <v>139.34</v>
      </c>
      <c r="R26" s="22" t="n">
        <v>75.17</v>
      </c>
      <c r="S26" s="22" t="n">
        <v>133.3</v>
      </c>
      <c r="T26" s="22" t="n">
        <v>104.5</v>
      </c>
      <c r="U26" s="22" t="n">
        <v>50.74</v>
      </c>
      <c r="V26" s="22" t="n">
        <v>76.41800000000001</v>
      </c>
      <c r="W26" s="22" t="n">
        <v>102.15816</v>
      </c>
      <c r="X26" s="22" t="n">
        <v>119.418</v>
      </c>
      <c r="Y26" s="22" t="n">
        <v>117.666</v>
      </c>
      <c r="Z26" s="22" t="n">
        <v>99.71600000000001</v>
      </c>
      <c r="AA26" s="22">
        <f>SUM(O26:U26)</f>
        <v/>
      </c>
      <c r="AB26" s="22">
        <f>SUM(O26:Z26)</f>
        <v/>
      </c>
      <c r="AC26" s="22" t="n">
        <v>119.23278</v>
      </c>
      <c r="AD26" s="22" t="n">
        <v>113.7308</v>
      </c>
      <c r="AE26" s="22" t="n">
        <v>136.90866</v>
      </c>
      <c r="AF26" s="22" t="n">
        <v>116.22906</v>
      </c>
      <c r="AG26" s="22" t="n">
        <v>90.43442</v>
      </c>
      <c r="AH26" s="22" t="n">
        <v>94.31768</v>
      </c>
      <c r="AI26" s="34">
        <f>SUM(AC26:AH26)</f>
        <v/>
      </c>
      <c r="AJ26" s="22">
        <f>SUM(AC26:AH26)+AI26</f>
        <v/>
      </c>
      <c r="AK26" s="11">
        <f>IF(N26&lt;&gt;0,(AB26-N26)/ABS(N26),0)</f>
        <v/>
      </c>
      <c r="AL26" s="11">
        <f>IF(AB26&lt;&gt;0,(AJ26-AB26)/ABS(AB26),0)</f>
        <v/>
      </c>
    </row>
    <row r="27" ht="13" customHeight="1">
      <c r="A27" s="21" t="inlineStr">
        <is>
          <t xml:space="preserve">    Nursery Stationery</t>
        </is>
      </c>
      <c r="B27" s="22" t="n">
        <v>65.61999999999999</v>
      </c>
      <c r="C27" s="22" t="n">
        <v>0</v>
      </c>
      <c r="D27" s="22" t="n">
        <v>34.48999999999999</v>
      </c>
      <c r="E27" s="22" t="n">
        <v>0</v>
      </c>
      <c r="F27" s="22" t="n">
        <v>10.98</v>
      </c>
      <c r="G27" s="22" t="n">
        <v>60.12</v>
      </c>
      <c r="H27" s="22" t="n">
        <v>75.83</v>
      </c>
      <c r="I27" s="22" t="n">
        <v>75.47</v>
      </c>
      <c r="J27" s="22" t="n">
        <v>37.5</v>
      </c>
      <c r="K27" s="22" t="n">
        <v>39.66</v>
      </c>
      <c r="L27" s="22" t="n">
        <v>17.99</v>
      </c>
      <c r="M27" s="22" t="n">
        <v>26.23</v>
      </c>
      <c r="N27" s="22">
        <f>SUM(B27:M27)</f>
        <v/>
      </c>
      <c r="O27" s="22" t="n">
        <v>34.47</v>
      </c>
      <c r="P27" s="22" t="n">
        <v>5.99</v>
      </c>
      <c r="Q27" s="22" t="n">
        <v>35.57</v>
      </c>
      <c r="R27" s="22" t="n">
        <v>10.58</v>
      </c>
      <c r="S27" s="22" t="n">
        <v>32.1</v>
      </c>
      <c r="T27" s="22" t="n">
        <v>12.04</v>
      </c>
      <c r="U27" s="22" t="n">
        <v>5.04</v>
      </c>
      <c r="AA27" s="22">
        <f>SUM(O27:U27)</f>
        <v/>
      </c>
      <c r="AB27" s="22">
        <f>SUM(O27:Z27)</f>
        <v/>
      </c>
      <c r="AC27" s="22" t="n">
        <v>98</v>
      </c>
      <c r="AD27" s="22" t="n">
        <v>98</v>
      </c>
      <c r="AE27" s="22" t="n">
        <v>98</v>
      </c>
      <c r="AF27" s="22" t="n">
        <v>98</v>
      </c>
      <c r="AG27" s="22" t="n">
        <v>98</v>
      </c>
      <c r="AH27" s="22" t="n">
        <v>98</v>
      </c>
      <c r="AI27" s="34">
        <f>SUM(AC27:AH27)</f>
        <v/>
      </c>
      <c r="AJ27" s="22">
        <f>SUM(AC27:AH27)+AI27</f>
        <v/>
      </c>
      <c r="AK27" s="11">
        <f>IF(N27&lt;&gt;0,(AB27-N27)/ABS(N27),0)</f>
        <v/>
      </c>
      <c r="AL27" s="11">
        <f>IF(AB27&lt;&gt;0,(AJ27-AB27)/ABS(AB27),0)</f>
        <v/>
      </c>
    </row>
    <row r="28" ht="13" customHeight="1">
      <c r="A28" s="21" t="inlineStr">
        <is>
          <t xml:space="preserve">    Nursery Equipment</t>
        </is>
      </c>
      <c r="B28" s="22" t="n">
        <v>46.92999999999999</v>
      </c>
      <c r="C28" s="22" t="n">
        <v>379.43</v>
      </c>
      <c r="D28" s="22" t="n">
        <v>0</v>
      </c>
      <c r="E28" s="22" t="n">
        <v>296.79</v>
      </c>
      <c r="F28" s="22" t="n">
        <v>5.49</v>
      </c>
      <c r="G28" s="22" t="n">
        <v>42.48</v>
      </c>
      <c r="H28" s="22" t="n">
        <v>146.76</v>
      </c>
      <c r="I28" s="22" t="n">
        <v>139.82</v>
      </c>
      <c r="J28" s="22" t="n">
        <v>78.06999999999999</v>
      </c>
      <c r="K28" s="22" t="n">
        <v>255.55</v>
      </c>
      <c r="L28" s="22" t="n">
        <v>279.7</v>
      </c>
      <c r="M28" s="22" t="n">
        <v>94.52999999999999</v>
      </c>
      <c r="N28" s="22">
        <f>SUM(B28:M28)</f>
        <v/>
      </c>
      <c r="O28" s="22" t="n">
        <v>18.6</v>
      </c>
      <c r="P28" s="22" t="n">
        <v>0</v>
      </c>
      <c r="Q28" s="22" t="n">
        <v>17.49</v>
      </c>
      <c r="R28" s="22" t="n">
        <v>91.95999999999999</v>
      </c>
      <c r="S28" s="22" t="n">
        <v>-77.97</v>
      </c>
      <c r="T28" s="22" t="n">
        <v>0</v>
      </c>
      <c r="U28" s="22" t="n">
        <v>7.94</v>
      </c>
      <c r="AA28" s="22">
        <f>SUM(O28:U28)</f>
        <v/>
      </c>
      <c r="AB28" s="22">
        <f>SUM(O28:Z28)</f>
        <v/>
      </c>
      <c r="AC28" s="22" t="n">
        <v>53</v>
      </c>
      <c r="AD28" s="22" t="n">
        <v>53</v>
      </c>
      <c r="AE28" s="22" t="n">
        <v>53</v>
      </c>
      <c r="AF28" s="22" t="n">
        <v>53</v>
      </c>
      <c r="AG28" s="22" t="n">
        <v>53</v>
      </c>
      <c r="AH28" s="22" t="n">
        <v>53</v>
      </c>
      <c r="AI28" s="34">
        <f>SUM(AC28:AH28)</f>
        <v/>
      </c>
      <c r="AJ28" s="22">
        <f>SUM(AC28:AH28)+AI28</f>
        <v/>
      </c>
      <c r="AK28" s="11">
        <f>IF(N28&lt;&gt;0,(AB28-N28)/ABS(N28),0)</f>
        <v/>
      </c>
      <c r="AL28" s="11">
        <f>IF(AB28&lt;&gt;0,(AJ28-AB28)/ABS(AB28),0)</f>
        <v/>
      </c>
    </row>
    <row r="29" ht="13" customHeight="1">
      <c r="A29" s="21" t="inlineStr">
        <is>
          <t xml:space="preserve">    Nursery Consumables</t>
        </is>
      </c>
      <c r="N29" s="22">
        <f>SUM(B29:M29)</f>
        <v/>
      </c>
      <c r="O29" s="22" t="n">
        <v>284.34</v>
      </c>
      <c r="P29" s="22" t="n">
        <v>440.32</v>
      </c>
      <c r="Q29" s="22" t="n">
        <v>438.53</v>
      </c>
      <c r="R29" s="22" t="n">
        <v>394.8199999999999</v>
      </c>
      <c r="S29" s="22" t="n">
        <v>302.87</v>
      </c>
      <c r="T29" s="22" t="n">
        <v>208.43</v>
      </c>
      <c r="U29" s="22" t="n">
        <v>87.88</v>
      </c>
      <c r="V29" s="22" t="n">
        <v>152.836</v>
      </c>
      <c r="W29" s="22" t="n">
        <v>204.31632</v>
      </c>
      <c r="X29" s="22" t="n">
        <v>238.836</v>
      </c>
      <c r="Y29" s="22" t="n">
        <v>235.332</v>
      </c>
      <c r="Z29" s="22" t="n">
        <v>199.432</v>
      </c>
      <c r="AA29" s="22">
        <f>SUM(O29:U29)</f>
        <v/>
      </c>
      <c r="AB29" s="22">
        <f>SUM(O29:Z29)</f>
        <v/>
      </c>
      <c r="AC29" s="22" t="n">
        <v>238.46556</v>
      </c>
      <c r="AD29" s="22" t="n">
        <v>227.4616</v>
      </c>
      <c r="AE29" s="22" t="n">
        <v>273.81732</v>
      </c>
      <c r="AF29" s="22" t="n">
        <v>232.45812</v>
      </c>
      <c r="AG29" s="22" t="n">
        <v>180.86884</v>
      </c>
      <c r="AH29" s="22" t="n">
        <v>188.63536</v>
      </c>
      <c r="AI29" s="34">
        <f>SUM(AC29:AH29)</f>
        <v/>
      </c>
      <c r="AJ29" s="22">
        <f>SUM(AC29:AH29)+AI29</f>
        <v/>
      </c>
      <c r="AK29" s="11">
        <f>IF(N29&lt;&gt;0,(AB29-N29)/ABS(N29),0)</f>
        <v/>
      </c>
      <c r="AL29" s="11">
        <f>IF(AB29&lt;&gt;0,(AJ29-AB29)/ABS(AB29),0)</f>
        <v/>
      </c>
    </row>
    <row r="30" ht="13" customHeight="1">
      <c r="A30" s="23" t="inlineStr">
        <is>
          <t>Total Childcare Costs</t>
        </is>
      </c>
      <c r="B30" s="24">
        <f>B24+B25+B26+B27+B28+B29</f>
        <v/>
      </c>
      <c r="C30" s="24">
        <f>C24+C25+C26+C27+C28+C29</f>
        <v/>
      </c>
      <c r="D30" s="24">
        <f>D24+D25+D26+D27+D28+D29</f>
        <v/>
      </c>
      <c r="E30" s="24">
        <f>E24+E25+E26+E27+E28+E29</f>
        <v/>
      </c>
      <c r="F30" s="24">
        <f>F24+F25+F26+F27+F28+F29</f>
        <v/>
      </c>
      <c r="G30" s="24">
        <f>G24+G25+G26+G27+G28+G29</f>
        <v/>
      </c>
      <c r="H30" s="24">
        <f>H24+H25+H26+H27+H28+H29</f>
        <v/>
      </c>
      <c r="I30" s="24">
        <f>I24+I25+I26+I27+I28+I29</f>
        <v/>
      </c>
      <c r="J30" s="24">
        <f>J24+J25+J26+J27+J28+J29</f>
        <v/>
      </c>
      <c r="K30" s="24">
        <f>K24+K25+K26+K27+K28+K29</f>
        <v/>
      </c>
      <c r="L30" s="24">
        <f>L24+L25+L26+L27+L28+L29</f>
        <v/>
      </c>
      <c r="M30" s="24">
        <f>M24+M25+M26+M27+M28+M29</f>
        <v/>
      </c>
      <c r="N30" s="24">
        <f>N24+N25+N26+N27+N28+N29</f>
        <v/>
      </c>
      <c r="O30" s="24">
        <f>O24+O25+O26+O27+O28+O29</f>
        <v/>
      </c>
      <c r="P30" s="24">
        <f>P24+P25+P26+P27+P28+P29</f>
        <v/>
      </c>
      <c r="Q30" s="24">
        <f>Q24+Q25+Q26+Q27+Q28+Q29</f>
        <v/>
      </c>
      <c r="R30" s="24">
        <f>R24+R25+R26+R27+R28+R29</f>
        <v/>
      </c>
      <c r="S30" s="24">
        <f>S24+S25+S26+S27+S28+S29</f>
        <v/>
      </c>
      <c r="T30" s="24">
        <f>T24+T25+T26+T27+T28+T29</f>
        <v/>
      </c>
      <c r="U30" s="24">
        <f>U24+U25+U26+U27+U28+U29</f>
        <v/>
      </c>
      <c r="V30" s="24">
        <f>V24+V25+V26+V27+V28+V29</f>
        <v/>
      </c>
      <c r="W30" s="24">
        <f>W24+W25+W26+W27+W28+W29</f>
        <v/>
      </c>
      <c r="X30" s="24">
        <f>X24+X25+X26+X27+X28+X29</f>
        <v/>
      </c>
      <c r="Y30" s="24">
        <f>Y24+Y25+Y26+Y27+Y28+Y29</f>
        <v/>
      </c>
      <c r="Z30" s="24">
        <f>Z24+Z25+Z26+Z27+Z28+Z29</f>
        <v/>
      </c>
      <c r="AA30" s="24">
        <f>AA24+AA25+AA26+AA27+AA28+AA29</f>
        <v/>
      </c>
      <c r="AB30" s="24">
        <f>AB24+AB25+AB26+AB27+AB28+AB29</f>
        <v/>
      </c>
      <c r="AC30" s="24">
        <f>AC24+AC25+AC26+AC27+AC28+AC29</f>
        <v/>
      </c>
      <c r="AD30" s="24">
        <f>AD24+AD25+AD26+AD27+AD28+AD29</f>
        <v/>
      </c>
      <c r="AE30" s="24">
        <f>AE24+AE25+AE26+AE27+AE28+AE29</f>
        <v/>
      </c>
      <c r="AF30" s="24">
        <f>AF24+AF25+AF26+AF27+AF28+AF29</f>
        <v/>
      </c>
      <c r="AG30" s="24">
        <f>AG24+AG25+AG26+AG27+AG28+AG29</f>
        <v/>
      </c>
      <c r="AH30" s="24">
        <f>AH24+AH25+AH26+AH27+AH28+AH29</f>
        <v/>
      </c>
      <c r="AI30" s="24">
        <f>AI24+AI25+AI26+AI27+AI28+AI29</f>
        <v/>
      </c>
      <c r="AJ30" s="24">
        <f>AJ24+AJ25+AJ26+AJ27+AJ28+AJ29</f>
        <v/>
      </c>
      <c r="AK30" s="11">
        <f>IF(N30&lt;&gt;0,(AB30-N30)/ABS(N30),0)</f>
        <v/>
      </c>
      <c r="AL30" s="11">
        <f>IF(AB30&lt;&gt;0,(AJ30-AB30)/ABS(AB30),0)</f>
        <v/>
      </c>
    </row>
    <row r="31" ht="5" customHeight="1"/>
    <row r="32" ht="13" customHeight="1">
      <c r="A32" s="14" t="inlineStr">
        <is>
          <t>Premises &amp; Admin</t>
        </is>
      </c>
    </row>
    <row r="33" ht="13" customHeight="1">
      <c r="A33" s="25" t="inlineStr">
        <is>
          <t xml:space="preserve">    Rent</t>
        </is>
      </c>
      <c r="B33" s="26" t="n">
        <v>4645.83</v>
      </c>
      <c r="C33" s="26" t="n">
        <v>4645.83</v>
      </c>
      <c r="D33" s="26" t="n">
        <v>4645.83</v>
      </c>
      <c r="E33" s="26" t="n">
        <v>4645.83</v>
      </c>
      <c r="F33" s="26" t="n">
        <v>4645.83</v>
      </c>
      <c r="G33" s="26" t="n">
        <v>4645.83</v>
      </c>
      <c r="H33" s="26" t="n">
        <v>4645.84</v>
      </c>
      <c r="I33" s="26" t="n">
        <v>4645.83</v>
      </c>
      <c r="J33" s="26" t="n">
        <v>4645.84</v>
      </c>
      <c r="K33" s="26" t="n">
        <v>4645.83</v>
      </c>
      <c r="L33" s="26" t="n">
        <v>4645.83</v>
      </c>
      <c r="M33" s="26" t="n">
        <v>4645.83</v>
      </c>
      <c r="N33" s="26">
        <f>SUM(B33:M33)</f>
        <v/>
      </c>
      <c r="O33" s="26" t="n">
        <v>4645.84</v>
      </c>
      <c r="P33" s="26" t="n">
        <v>4645.83</v>
      </c>
      <c r="Q33" s="26" t="n">
        <v>4645.83</v>
      </c>
      <c r="R33" s="26" t="n">
        <v>4645.83</v>
      </c>
      <c r="S33" s="26" t="n">
        <v>4645.83</v>
      </c>
      <c r="T33" s="26" t="n">
        <v>4645.84</v>
      </c>
      <c r="U33" s="26" t="n">
        <v>4645.83</v>
      </c>
      <c r="AA33" s="26">
        <f>SUM(O33:U33)</f>
        <v/>
      </c>
      <c r="AB33" s="26">
        <f>SUM(O33:Z33)</f>
        <v/>
      </c>
      <c r="AC33" s="26" t="n">
        <v>0</v>
      </c>
      <c r="AD33" s="26" t="n">
        <v>0</v>
      </c>
      <c r="AE33" s="26" t="n">
        <v>0</v>
      </c>
      <c r="AF33" s="26" t="n">
        <v>0</v>
      </c>
      <c r="AG33" s="26" t="n">
        <v>0</v>
      </c>
      <c r="AH33" s="26" t="n">
        <v>0</v>
      </c>
      <c r="AI33" s="34">
        <f>SUM(AC33:AH33)</f>
        <v/>
      </c>
      <c r="AJ33" s="26">
        <f>SUM(AC33:AH33)+AI33</f>
        <v/>
      </c>
      <c r="AK33" s="11">
        <f>IF(N33&lt;&gt;0,(AB33-N33)/ABS(N33),0)</f>
        <v/>
      </c>
      <c r="AL33" s="11">
        <f>IF(AB33&lt;&gt;0,(AJ33-AB33)/ABS(AB33),0)</f>
        <v/>
      </c>
    </row>
    <row r="34" ht="13" customHeight="1">
      <c r="A34" s="25" t="inlineStr">
        <is>
          <t xml:space="preserve">    Business Rates</t>
        </is>
      </c>
      <c r="B34" s="26" t="n">
        <v>3844.75</v>
      </c>
      <c r="C34" s="26" t="n">
        <v>3844.75</v>
      </c>
      <c r="D34" s="26" t="n">
        <v>3844.75</v>
      </c>
      <c r="E34" s="26" t="n">
        <v>3908.13</v>
      </c>
      <c r="F34" s="26" t="n">
        <v>3908.13</v>
      </c>
      <c r="G34" s="26" t="n">
        <v>3908.13</v>
      </c>
      <c r="H34" s="26" t="n">
        <v>3908.13</v>
      </c>
      <c r="I34" s="26" t="n">
        <v>3908.13</v>
      </c>
      <c r="J34" s="26" t="n">
        <v>3908.13</v>
      </c>
      <c r="K34" s="26" t="n">
        <v>3908.13</v>
      </c>
      <c r="L34" s="26" t="n">
        <v>3908.13</v>
      </c>
      <c r="M34" s="26" t="n">
        <v>3908.13</v>
      </c>
      <c r="N34" s="26">
        <f>SUM(B34:M34)</f>
        <v/>
      </c>
      <c r="O34" s="26" t="n">
        <v>3908.11</v>
      </c>
      <c r="P34" s="26" t="n">
        <v>3908.11</v>
      </c>
      <c r="Q34" s="26" t="n">
        <v>3908.11</v>
      </c>
      <c r="R34" s="26" t="n">
        <v>3082.92</v>
      </c>
      <c r="S34" s="26" t="n">
        <v>3082.92</v>
      </c>
      <c r="T34" s="26" t="n">
        <v>3082.92</v>
      </c>
      <c r="U34" s="26" t="n">
        <v>3082.92</v>
      </c>
      <c r="AA34" s="26">
        <f>SUM(O34:U34)</f>
        <v/>
      </c>
      <c r="AB34" s="26">
        <f>SUM(O34:Z34)</f>
        <v/>
      </c>
      <c r="AC34" s="26" t="n">
        <v>3082.92</v>
      </c>
      <c r="AD34" s="26" t="n">
        <v>3082.92</v>
      </c>
      <c r="AE34" s="26" t="n">
        <v>3082.92</v>
      </c>
      <c r="AF34" s="26" t="n">
        <v>3082.92</v>
      </c>
      <c r="AG34" s="26" t="n">
        <v>3082.92</v>
      </c>
      <c r="AH34" s="26" t="n">
        <v>3082.92</v>
      </c>
      <c r="AI34" s="34">
        <f>SUM(AC34:AH34)</f>
        <v/>
      </c>
      <c r="AJ34" s="26">
        <f>SUM(AC34:AH34)+AI34</f>
        <v/>
      </c>
      <c r="AK34" s="11">
        <f>IF(N34&lt;&gt;0,(AB34-N34)/ABS(N34),0)</f>
        <v/>
      </c>
      <c r="AL34" s="11">
        <f>IF(AB34&lt;&gt;0,(AJ34-AB34)/ABS(AB34),0)</f>
        <v/>
      </c>
    </row>
    <row r="35" ht="13" customHeight="1">
      <c r="A35" s="25" t="inlineStr">
        <is>
          <t xml:space="preserve">    Utilities</t>
        </is>
      </c>
      <c r="B35" s="26" t="n">
        <v>300</v>
      </c>
      <c r="C35" s="26" t="n">
        <v>300</v>
      </c>
      <c r="D35" s="26" t="n">
        <v>300</v>
      </c>
      <c r="E35" s="26" t="n">
        <v>300</v>
      </c>
      <c r="F35" s="26" t="n">
        <v>300</v>
      </c>
      <c r="G35" s="26" t="n">
        <v>300</v>
      </c>
      <c r="H35" s="26" t="n">
        <v>300</v>
      </c>
      <c r="I35" s="26" t="n">
        <v>300</v>
      </c>
      <c r="J35" s="26" t="n">
        <v>300</v>
      </c>
      <c r="K35" s="26" t="n">
        <v>300</v>
      </c>
      <c r="L35" s="26" t="n">
        <v>300</v>
      </c>
      <c r="M35" s="26" t="n">
        <v>300</v>
      </c>
      <c r="N35" s="26">
        <f>SUM(B35:M35)</f>
        <v/>
      </c>
      <c r="O35" s="26" t="n">
        <v>300</v>
      </c>
      <c r="P35" s="26" t="n">
        <v>300</v>
      </c>
      <c r="Q35" s="26" t="n">
        <v>300</v>
      </c>
      <c r="R35" s="26" t="n">
        <v>300</v>
      </c>
      <c r="S35" s="26" t="n">
        <v>300</v>
      </c>
      <c r="T35" s="26" t="n">
        <v>300</v>
      </c>
      <c r="U35" s="26" t="n">
        <v>300</v>
      </c>
      <c r="AA35" s="26">
        <f>SUM(O35:U35)</f>
        <v/>
      </c>
      <c r="AB35" s="26">
        <f>SUM(O35:Z35)</f>
        <v/>
      </c>
      <c r="AC35" s="26" t="n">
        <v>300</v>
      </c>
      <c r="AD35" s="26" t="n">
        <v>300</v>
      </c>
      <c r="AE35" s="26" t="n">
        <v>300</v>
      </c>
      <c r="AF35" s="26" t="n">
        <v>300</v>
      </c>
      <c r="AG35" s="26" t="n">
        <v>300</v>
      </c>
      <c r="AH35" s="26" t="n">
        <v>300</v>
      </c>
      <c r="AI35" s="34">
        <f>SUM(AC35:AH35)</f>
        <v/>
      </c>
      <c r="AJ35" s="26">
        <f>SUM(AC35:AH35)+AI35</f>
        <v/>
      </c>
      <c r="AK35" s="11">
        <f>IF(N35&lt;&gt;0,(AB35-N35)/ABS(N35),0)</f>
        <v/>
      </c>
      <c r="AL35" s="11">
        <f>IF(AB35&lt;&gt;0,(AJ35-AB35)/ABS(AB35),0)</f>
        <v/>
      </c>
    </row>
    <row r="36" ht="13" customHeight="1">
      <c r="A36" s="25" t="inlineStr">
        <is>
          <t xml:space="preserve">    Repairs &amp; Maintenance</t>
        </is>
      </c>
      <c r="B36" s="26" t="n">
        <v>29.52</v>
      </c>
      <c r="C36" s="26" t="n">
        <v>4464.59</v>
      </c>
      <c r="D36" s="26" t="n">
        <v>0</v>
      </c>
      <c r="E36" s="26" t="n">
        <v>0</v>
      </c>
      <c r="F36" s="26" t="n">
        <v>48.2</v>
      </c>
      <c r="G36" s="26" t="n">
        <v>0</v>
      </c>
      <c r="H36" s="26" t="n">
        <v>0</v>
      </c>
      <c r="I36" s="26" t="n">
        <v>36.18</v>
      </c>
      <c r="J36" s="26" t="n">
        <v>48.39</v>
      </c>
      <c r="K36" s="26" t="n">
        <v>21.13</v>
      </c>
      <c r="L36" s="26" t="n">
        <v>40</v>
      </c>
      <c r="M36" s="26" t="n">
        <v>0</v>
      </c>
      <c r="N36" s="26">
        <f>SUM(B36:M36)</f>
        <v/>
      </c>
      <c r="O36" s="26" t="n">
        <v>0</v>
      </c>
      <c r="P36" s="26" t="n">
        <v>80.40000000000001</v>
      </c>
      <c r="Q36" s="26" t="n">
        <v>0</v>
      </c>
      <c r="R36" s="26" t="n">
        <v>0</v>
      </c>
      <c r="S36" s="26" t="n">
        <v>0</v>
      </c>
      <c r="T36" s="26" t="n">
        <v>0</v>
      </c>
      <c r="U36" s="26" t="n">
        <v>313.1</v>
      </c>
      <c r="AA36" s="26">
        <f>SUM(O36:U36)</f>
        <v/>
      </c>
      <c r="AB36" s="26">
        <f>SUM(O36:Z36)</f>
        <v/>
      </c>
      <c r="AC36" s="26" t="n">
        <v>0</v>
      </c>
      <c r="AD36" s="26" t="n">
        <v>0</v>
      </c>
      <c r="AE36" s="26" t="n">
        <v>0</v>
      </c>
      <c r="AF36" s="26" t="n">
        <v>0</v>
      </c>
      <c r="AG36" s="26" t="n">
        <v>0</v>
      </c>
      <c r="AH36" s="26" t="n">
        <v>0</v>
      </c>
      <c r="AI36" s="34">
        <f>SUM(AC36:AH36)</f>
        <v/>
      </c>
      <c r="AJ36" s="26">
        <f>SUM(AC36:AH36)+AI36</f>
        <v/>
      </c>
      <c r="AK36" s="11">
        <f>IF(N36&lt;&gt;0,(AB36-N36)/ABS(N36),0)</f>
        <v/>
      </c>
      <c r="AL36" s="11">
        <f>IF(AB36&lt;&gt;0,(AJ36-AB36)/ABS(AB36),0)</f>
        <v/>
      </c>
    </row>
    <row r="37" ht="13" customHeight="1">
      <c r="A37" s="25" t="inlineStr">
        <is>
          <t xml:space="preserve">    Cleaning</t>
        </is>
      </c>
      <c r="B37" s="26" t="n">
        <v>1025.16</v>
      </c>
      <c r="C37" s="26" t="n">
        <v>994.6700000000001</v>
      </c>
      <c r="D37" s="26" t="n">
        <v>1230.5</v>
      </c>
      <c r="E37" s="26" t="n">
        <v>952.4300000000001</v>
      </c>
      <c r="F37" s="26" t="n">
        <v>1083.43</v>
      </c>
      <c r="G37" s="26" t="n">
        <v>1263.91</v>
      </c>
      <c r="H37" s="26" t="n">
        <v>1279.37</v>
      </c>
      <c r="I37" s="26" t="n">
        <v>880.76</v>
      </c>
      <c r="J37" s="26" t="n">
        <v>903.78</v>
      </c>
      <c r="K37" s="26" t="n">
        <v>1337.18</v>
      </c>
      <c r="L37" s="26" t="n">
        <v>906.53</v>
      </c>
      <c r="M37" s="26" t="n">
        <v>956.1900000000001</v>
      </c>
      <c r="N37" s="26">
        <f>SUM(B37:M37)</f>
        <v/>
      </c>
      <c r="O37" s="26" t="n">
        <v>1070.49</v>
      </c>
      <c r="P37" s="26" t="n">
        <v>1130.83</v>
      </c>
      <c r="Q37" s="26" t="n">
        <v>1703.53</v>
      </c>
      <c r="R37" s="26" t="n">
        <v>260.51</v>
      </c>
      <c r="S37" s="26" t="n">
        <v>862.84</v>
      </c>
      <c r="T37" s="26" t="n">
        <v>1019.03</v>
      </c>
      <c r="U37" s="26" t="n">
        <v>2198.64</v>
      </c>
      <c r="AA37" s="26">
        <f>SUM(O37:U37)</f>
        <v/>
      </c>
      <c r="AB37" s="26">
        <f>SUM(O37:Z37)</f>
        <v/>
      </c>
      <c r="AC37" s="26" t="n">
        <v>1107</v>
      </c>
      <c r="AD37" s="26" t="n">
        <v>1107</v>
      </c>
      <c r="AE37" s="26" t="n">
        <v>1107</v>
      </c>
      <c r="AF37" s="26" t="n">
        <v>1107</v>
      </c>
      <c r="AG37" s="26" t="n">
        <v>1107</v>
      </c>
      <c r="AH37" s="26" t="n">
        <v>1107</v>
      </c>
      <c r="AI37" s="34">
        <f>SUM(AC37:AH37)</f>
        <v/>
      </c>
      <c r="AJ37" s="26">
        <f>SUM(AC37:AH37)+AI37</f>
        <v/>
      </c>
      <c r="AK37" s="11">
        <f>IF(N37&lt;&gt;0,(AB37-N37)/ABS(N37),0)</f>
        <v/>
      </c>
      <c r="AL37" s="11">
        <f>IF(AB37&lt;&gt;0,(AJ37-AB37)/ABS(AB37),0)</f>
        <v/>
      </c>
    </row>
    <row r="38" ht="13" customHeight="1">
      <c r="A38" s="25" t="inlineStr">
        <is>
          <t xml:space="preserve">    Waste Disposal</t>
        </is>
      </c>
      <c r="B38" s="26" t="n">
        <v>335.27</v>
      </c>
      <c r="C38" s="26" t="n">
        <v>416.27</v>
      </c>
      <c r="D38" s="26" t="n">
        <v>437.9400000000001</v>
      </c>
      <c r="E38" s="26" t="n">
        <v>344.92</v>
      </c>
      <c r="F38" s="26" t="n">
        <v>406.1900000000001</v>
      </c>
      <c r="G38" s="26" t="n">
        <v>426.02</v>
      </c>
      <c r="H38" s="26" t="n">
        <v>372.62</v>
      </c>
      <c r="I38" s="26" t="n">
        <v>437.31</v>
      </c>
      <c r="J38" s="26" t="n">
        <v>655.72</v>
      </c>
      <c r="K38" s="26" t="n">
        <v>386.92</v>
      </c>
      <c r="L38" s="26" t="n">
        <v>388.32</v>
      </c>
      <c r="M38" s="26" t="n">
        <v>441.73</v>
      </c>
      <c r="N38" s="26">
        <f>SUM(B38:M38)</f>
        <v/>
      </c>
      <c r="O38" s="26" t="n">
        <v>427.01</v>
      </c>
      <c r="P38" s="26" t="n">
        <v>402.51</v>
      </c>
      <c r="Q38" s="26" t="n">
        <v>455.91</v>
      </c>
      <c r="R38" s="26" t="n">
        <v>510.55</v>
      </c>
      <c r="S38" s="26" t="n">
        <v>429.51</v>
      </c>
      <c r="T38" s="26" t="n">
        <v>320.85</v>
      </c>
      <c r="U38" s="26" t="n">
        <v>493.58</v>
      </c>
      <c r="AA38" s="26">
        <f>SUM(O38:U38)</f>
        <v/>
      </c>
      <c r="AB38" s="26">
        <f>SUM(O38:Z38)</f>
        <v/>
      </c>
      <c r="AC38" s="26" t="n">
        <v>423</v>
      </c>
      <c r="AD38" s="26" t="n">
        <v>423</v>
      </c>
      <c r="AE38" s="26" t="n">
        <v>423</v>
      </c>
      <c r="AF38" s="26" t="n">
        <v>423</v>
      </c>
      <c r="AG38" s="26" t="n">
        <v>423</v>
      </c>
      <c r="AH38" s="26" t="n">
        <v>423</v>
      </c>
      <c r="AI38" s="34">
        <f>SUM(AC38:AH38)</f>
        <v/>
      </c>
      <c r="AJ38" s="26">
        <f>SUM(AC38:AH38)+AI38</f>
        <v/>
      </c>
      <c r="AK38" s="11">
        <f>IF(N38&lt;&gt;0,(AB38-N38)/ABS(N38),0)</f>
        <v/>
      </c>
      <c r="AL38" s="11">
        <f>IF(AB38&lt;&gt;0,(AJ38-AB38)/ABS(AB38),0)</f>
        <v/>
      </c>
    </row>
    <row r="39" ht="13" customHeight="1">
      <c r="A39" s="25" t="inlineStr">
        <is>
          <t xml:space="preserve">    Postage/Printing/Stationery</t>
        </is>
      </c>
      <c r="B39" s="26" t="n">
        <v>108.05</v>
      </c>
      <c r="C39" s="26" t="n">
        <v>44.34</v>
      </c>
      <c r="D39" s="26" t="n">
        <v>32.23</v>
      </c>
      <c r="E39" s="26" t="n">
        <v>12</v>
      </c>
      <c r="F39" s="26" t="n">
        <v>40.39</v>
      </c>
      <c r="G39" s="26" t="n">
        <v>34.34</v>
      </c>
      <c r="H39" s="26" t="n">
        <v>140.57</v>
      </c>
      <c r="I39" s="26" t="n">
        <v>47.51</v>
      </c>
      <c r="J39" s="26" t="n">
        <v>80.84999999999999</v>
      </c>
      <c r="K39" s="26" t="n">
        <v>63.14</v>
      </c>
      <c r="L39" s="26" t="n">
        <v>51.95</v>
      </c>
      <c r="M39" s="26" t="n">
        <v>154.14</v>
      </c>
      <c r="N39" s="26">
        <f>SUM(B39:M39)</f>
        <v/>
      </c>
      <c r="O39" s="26" t="n">
        <v>19.19</v>
      </c>
      <c r="P39" s="26" t="n">
        <v>48.62</v>
      </c>
      <c r="Q39" s="26" t="n">
        <v>59.29</v>
      </c>
      <c r="R39" s="26" t="n">
        <v>44.34</v>
      </c>
      <c r="S39" s="26" t="n">
        <v>41.65</v>
      </c>
      <c r="T39" s="26" t="n">
        <v>62.16</v>
      </c>
      <c r="U39" s="26" t="n">
        <v>73.75999999999999</v>
      </c>
      <c r="AA39" s="26">
        <f>SUM(O39:U39)</f>
        <v/>
      </c>
      <c r="AB39" s="26">
        <f>SUM(O39:Z39)</f>
        <v/>
      </c>
      <c r="AC39" s="26" t="n">
        <v>0</v>
      </c>
      <c r="AD39" s="26" t="n">
        <v>0</v>
      </c>
      <c r="AE39" s="26" t="n">
        <v>0</v>
      </c>
      <c r="AF39" s="26" t="n">
        <v>0</v>
      </c>
      <c r="AG39" s="26" t="n">
        <v>0</v>
      </c>
      <c r="AH39" s="26" t="n">
        <v>0</v>
      </c>
      <c r="AI39" s="34">
        <f>SUM(AC39:AH39)</f>
        <v/>
      </c>
      <c r="AJ39" s="26">
        <f>SUM(AC39:AH39)+AI39</f>
        <v/>
      </c>
      <c r="AK39" s="11">
        <f>IF(N39&lt;&gt;0,(AB39-N39)/ABS(N39),0)</f>
        <v/>
      </c>
      <c r="AL39" s="11">
        <f>IF(AB39&lt;&gt;0,(AJ39-AB39)/ABS(AB39),0)</f>
        <v/>
      </c>
    </row>
    <row r="40" ht="13" customHeight="1">
      <c r="A40" s="25" t="inlineStr">
        <is>
          <t xml:space="preserve">    Telephone</t>
        </is>
      </c>
      <c r="B40" s="26" t="n">
        <v>0</v>
      </c>
      <c r="C40" s="26" t="n">
        <v>0</v>
      </c>
      <c r="D40" s="26" t="n">
        <v>0</v>
      </c>
      <c r="E40" s="26" t="n">
        <v>0</v>
      </c>
      <c r="F40" s="26" t="n">
        <v>0</v>
      </c>
      <c r="G40" s="26" t="n">
        <v>0</v>
      </c>
      <c r="H40" s="26" t="n">
        <v>0</v>
      </c>
      <c r="I40" s="26" t="n">
        <v>0</v>
      </c>
      <c r="J40" s="26" t="n">
        <v>0</v>
      </c>
      <c r="K40" s="26" t="n">
        <v>0</v>
      </c>
      <c r="L40" s="26" t="n">
        <v>0</v>
      </c>
      <c r="M40" s="26" t="n">
        <v>0</v>
      </c>
      <c r="N40" s="26">
        <f>SUM(B40:M40)</f>
        <v/>
      </c>
      <c r="O40" s="26" t="n">
        <v>0</v>
      </c>
      <c r="P40" s="26" t="n">
        <v>0</v>
      </c>
      <c r="Q40" s="26" t="n">
        <v>74</v>
      </c>
      <c r="R40" s="26" t="n">
        <v>50</v>
      </c>
      <c r="S40" s="26" t="n">
        <v>0</v>
      </c>
      <c r="T40" s="26" t="n">
        <v>0</v>
      </c>
      <c r="U40" s="26" t="n">
        <v>0</v>
      </c>
      <c r="AA40" s="26">
        <f>SUM(O40:U40)</f>
        <v/>
      </c>
      <c r="AB40" s="26">
        <f>SUM(O40:Z40)</f>
        <v/>
      </c>
      <c r="AC40" s="26" t="n">
        <v>0</v>
      </c>
      <c r="AD40" s="26" t="n">
        <v>0</v>
      </c>
      <c r="AE40" s="26" t="n">
        <v>0</v>
      </c>
      <c r="AF40" s="26" t="n">
        <v>0</v>
      </c>
      <c r="AG40" s="26" t="n">
        <v>0</v>
      </c>
      <c r="AH40" s="26" t="n">
        <v>0</v>
      </c>
      <c r="AI40" s="34">
        <f>SUM(AC40:AH40)</f>
        <v/>
      </c>
      <c r="AJ40" s="26">
        <f>SUM(AC40:AH40)+AI40</f>
        <v/>
      </c>
      <c r="AK40" s="11">
        <f>IF(N40&lt;&gt;0,(AB40-N40)/ABS(N40),0)</f>
        <v/>
      </c>
      <c r="AL40" s="11">
        <f>IF(AB40&lt;&gt;0,(AJ40-AB40)/ABS(AB40),0)</f>
        <v/>
      </c>
    </row>
    <row r="41" ht="13" customHeight="1">
      <c r="A41" s="25" t="inlineStr">
        <is>
          <t xml:space="preserve">    Marketing</t>
        </is>
      </c>
      <c r="B41" s="26" t="n">
        <v>0</v>
      </c>
      <c r="C41" s="26" t="n">
        <v>0</v>
      </c>
      <c r="D41" s="26" t="n">
        <v>0</v>
      </c>
      <c r="E41" s="26" t="n">
        <v>0</v>
      </c>
      <c r="F41" s="26" t="n">
        <v>220</v>
      </c>
      <c r="G41" s="26" t="n">
        <v>45</v>
      </c>
      <c r="H41" s="26" t="n">
        <v>0</v>
      </c>
      <c r="I41" s="26" t="n">
        <v>90</v>
      </c>
      <c r="J41" s="26" t="n">
        <v>0</v>
      </c>
      <c r="K41" s="26" t="n">
        <v>137.5</v>
      </c>
      <c r="L41" s="26" t="n">
        <v>137.5</v>
      </c>
      <c r="M41" s="26" t="n">
        <v>137.5</v>
      </c>
      <c r="N41" s="26">
        <f>SUM(B41:M41)</f>
        <v/>
      </c>
      <c r="O41" s="26" t="n">
        <v>236.5</v>
      </c>
      <c r="P41" s="26" t="n">
        <v>137.5</v>
      </c>
      <c r="Q41" s="26" t="n">
        <v>137.5</v>
      </c>
      <c r="R41" s="26" t="n">
        <v>239.5</v>
      </c>
      <c r="S41" s="26" t="n">
        <v>357.5</v>
      </c>
      <c r="T41" s="26" t="n">
        <v>137.5</v>
      </c>
      <c r="U41" s="26" t="n">
        <v>137.5</v>
      </c>
      <c r="AA41" s="26">
        <f>SUM(O41:U41)</f>
        <v/>
      </c>
      <c r="AB41" s="26">
        <f>SUM(O41:Z41)</f>
        <v/>
      </c>
      <c r="AC41" s="26" t="n">
        <v>100</v>
      </c>
      <c r="AD41" s="26" t="n">
        <v>100</v>
      </c>
      <c r="AE41" s="26" t="n">
        <v>100</v>
      </c>
      <c r="AF41" s="26" t="n">
        <v>100</v>
      </c>
      <c r="AG41" s="26" t="n">
        <v>100</v>
      </c>
      <c r="AH41" s="26" t="n">
        <v>100</v>
      </c>
      <c r="AI41" s="34">
        <f>SUM(AC41:AH41)</f>
        <v/>
      </c>
      <c r="AJ41" s="26">
        <f>SUM(AC41:AH41)+AI41</f>
        <v/>
      </c>
      <c r="AK41" s="11">
        <f>IF(N41&lt;&gt;0,(AB41-N41)/ABS(N41),0)</f>
        <v/>
      </c>
      <c r="AL41" s="11">
        <f>IF(AB41&lt;&gt;0,(AJ41-AB41)/ABS(AB41),0)</f>
        <v/>
      </c>
    </row>
    <row r="42" ht="13" customHeight="1">
      <c r="A42" s="27" t="inlineStr">
        <is>
          <t>Total Premises &amp; Admin</t>
        </is>
      </c>
      <c r="B42" s="28">
        <f>B33+B34+B35+B36+B37+B38+B39+B40+B41</f>
        <v/>
      </c>
      <c r="C42" s="28">
        <f>C33+C34+C35+C36+C37+C38+C39+C40+C41</f>
        <v/>
      </c>
      <c r="D42" s="28">
        <f>D33+D34+D35+D36+D37+D38+D39+D40+D41</f>
        <v/>
      </c>
      <c r="E42" s="28">
        <f>E33+E34+E35+E36+E37+E38+E39+E40+E41</f>
        <v/>
      </c>
      <c r="F42" s="28">
        <f>F33+F34+F35+F36+F37+F38+F39+F40+F41</f>
        <v/>
      </c>
      <c r="G42" s="28">
        <f>G33+G34+G35+G36+G37+G38+G39+G40+G41</f>
        <v/>
      </c>
      <c r="H42" s="28">
        <f>H33+H34+H35+H36+H37+H38+H39+H40+H41</f>
        <v/>
      </c>
      <c r="I42" s="28">
        <f>I33+I34+I35+I36+I37+I38+I39+I40+I41</f>
        <v/>
      </c>
      <c r="J42" s="28">
        <f>J33+J34+J35+J36+J37+J38+J39+J40+J41</f>
        <v/>
      </c>
      <c r="K42" s="28">
        <f>K33+K34+K35+K36+K37+K38+K39+K40+K41</f>
        <v/>
      </c>
      <c r="L42" s="28">
        <f>L33+L34+L35+L36+L37+L38+L39+L40+L41</f>
        <v/>
      </c>
      <c r="M42" s="28">
        <f>M33+M34+M35+M36+M37+M38+M39+M40+M41</f>
        <v/>
      </c>
      <c r="N42" s="28">
        <f>N33+N34+N35+N36+N37+N38+N39+N40+N41</f>
        <v/>
      </c>
      <c r="O42" s="28">
        <f>O33+O34+O35+O36+O37+O38+O39+O40+O41</f>
        <v/>
      </c>
      <c r="P42" s="28">
        <f>P33+P34+P35+P36+P37+P38+P39+P40+P41</f>
        <v/>
      </c>
      <c r="Q42" s="28">
        <f>Q33+Q34+Q35+Q36+Q37+Q38+Q39+Q40+Q41</f>
        <v/>
      </c>
      <c r="R42" s="28">
        <f>R33+R34+R35+R36+R37+R38+R39+R40+R41</f>
        <v/>
      </c>
      <c r="S42" s="28">
        <f>S33+S34+S35+S36+S37+S38+S39+S40+S41</f>
        <v/>
      </c>
      <c r="T42" s="28">
        <f>T33+T34+T35+T36+T37+T38+T39+T40+T41</f>
        <v/>
      </c>
      <c r="U42" s="28">
        <f>U33+U34+U35+U36+U37+U38+U39+U40+U41</f>
        <v/>
      </c>
      <c r="V42" s="28">
        <f>V33+V34+V35+V36+V37+V38+V39+V40+V41</f>
        <v/>
      </c>
      <c r="W42" s="28">
        <f>W33+W34+W35+W36+W37+W38+W39+W40+W41</f>
        <v/>
      </c>
      <c r="X42" s="28">
        <f>X33+X34+X35+X36+X37+X38+X39+X40+X41</f>
        <v/>
      </c>
      <c r="Y42" s="28">
        <f>Y33+Y34+Y35+Y36+Y37+Y38+Y39+Y40+Y41</f>
        <v/>
      </c>
      <c r="Z42" s="28">
        <f>Z33+Z34+Z35+Z36+Z37+Z38+Z39+Z40+Z41</f>
        <v/>
      </c>
      <c r="AA42" s="28">
        <f>AA33+AA34+AA35+AA36+AA37+AA38+AA39+AA40+AA41</f>
        <v/>
      </c>
      <c r="AB42" s="28">
        <f>AB33+AB34+AB35+AB36+AB37+AB38+AB39+AB40+AB41</f>
        <v/>
      </c>
      <c r="AC42" s="28">
        <f>AC33+AC34+AC35+AC36+AC37+AC38+AC39+AC40+AC41</f>
        <v/>
      </c>
      <c r="AD42" s="28">
        <f>AD33+AD34+AD35+AD36+AD37+AD38+AD39+AD40+AD41</f>
        <v/>
      </c>
      <c r="AE42" s="28">
        <f>AE33+AE34+AE35+AE36+AE37+AE38+AE39+AE40+AE41</f>
        <v/>
      </c>
      <c r="AF42" s="28">
        <f>AF33+AF34+AF35+AF36+AF37+AF38+AF39+AF40+AF41</f>
        <v/>
      </c>
      <c r="AG42" s="28">
        <f>AG33+AG34+AG35+AG36+AG37+AG38+AG39+AG40+AG41</f>
        <v/>
      </c>
      <c r="AH42" s="28">
        <f>AH33+AH34+AH35+AH36+AH37+AH38+AH39+AH40+AH41</f>
        <v/>
      </c>
      <c r="AI42" s="28">
        <f>AI33+AI34+AI35+AI36+AI37+AI38+AI39+AI40+AI41</f>
        <v/>
      </c>
      <c r="AJ42" s="28">
        <f>AJ33+AJ34+AJ35+AJ36+AJ37+AJ38+AJ39+AJ40+AJ41</f>
        <v/>
      </c>
      <c r="AK42" s="11">
        <f>IF(N42&lt;&gt;0,(AB42-N42)/ABS(N42),0)</f>
        <v/>
      </c>
      <c r="AL42" s="11">
        <f>IF(AB42&lt;&gt;0,(AJ42-AB42)/ABS(AB42),0)</f>
        <v/>
      </c>
    </row>
    <row r="43" ht="5" customHeight="1"/>
    <row r="44" ht="13" customHeight="1">
      <c r="A44" s="29" t="inlineStr">
        <is>
          <t>Total Direct Costs</t>
        </is>
      </c>
      <c r="AK44" s="11">
        <f>IF(N44&lt;&gt;0,(AB44-N44)/ABS(N44),0)</f>
        <v/>
      </c>
      <c r="AL44" s="11">
        <f>IF(AB44&lt;&gt;0,(AJ44-AB44)/ABS(AB44),0)</f>
        <v/>
      </c>
    </row>
    <row r="45" ht="5" customHeight="1"/>
    <row r="46" ht="15" customHeight="1">
      <c r="A46" s="30" t="inlineStr">
        <is>
          <t>CONTRIBUTION</t>
        </is>
      </c>
      <c r="B46" s="31">
        <f>B7-B44</f>
        <v/>
      </c>
      <c r="C46" s="31">
        <f>C7-C44</f>
        <v/>
      </c>
      <c r="D46" s="31">
        <f>D7-D44</f>
        <v/>
      </c>
      <c r="E46" s="31">
        <f>E7-E44</f>
        <v/>
      </c>
      <c r="F46" s="31">
        <f>F7-F44</f>
        <v/>
      </c>
      <c r="G46" s="31">
        <f>G7-G44</f>
        <v/>
      </c>
      <c r="H46" s="31">
        <f>H7-H44</f>
        <v/>
      </c>
      <c r="I46" s="31">
        <f>I7-I44</f>
        <v/>
      </c>
      <c r="J46" s="31">
        <f>J7-J44</f>
        <v/>
      </c>
      <c r="K46" s="31">
        <f>K7-K44</f>
        <v/>
      </c>
      <c r="L46" s="31">
        <f>L7-L44</f>
        <v/>
      </c>
      <c r="M46" s="31">
        <f>M7-M44</f>
        <v/>
      </c>
      <c r="N46" s="31">
        <f>N7-N44</f>
        <v/>
      </c>
      <c r="O46" s="31">
        <f>O7-O44</f>
        <v/>
      </c>
      <c r="P46" s="31">
        <f>P7-P44</f>
        <v/>
      </c>
      <c r="Q46" s="31">
        <f>Q7-Q44</f>
        <v/>
      </c>
      <c r="R46" s="31">
        <f>R7-R44</f>
        <v/>
      </c>
      <c r="S46" s="31">
        <f>S7-S44</f>
        <v/>
      </c>
      <c r="T46" s="31">
        <f>T7-T44</f>
        <v/>
      </c>
      <c r="U46" s="31">
        <f>U7-U44</f>
        <v/>
      </c>
      <c r="V46" s="31">
        <f>V7-V44</f>
        <v/>
      </c>
      <c r="W46" s="31">
        <f>W7-W44</f>
        <v/>
      </c>
      <c r="X46" s="31">
        <f>X7-X44</f>
        <v/>
      </c>
      <c r="Y46" s="31">
        <f>Y7-Y44</f>
        <v/>
      </c>
      <c r="Z46" s="31">
        <f>Z7-Z44</f>
        <v/>
      </c>
      <c r="AA46" s="31">
        <f>AA7-AA44</f>
        <v/>
      </c>
      <c r="AB46" s="31">
        <f>AB7-AB44</f>
        <v/>
      </c>
      <c r="AC46" s="31">
        <f>AC7-AC44</f>
        <v/>
      </c>
      <c r="AD46" s="31">
        <f>AD7-AD44</f>
        <v/>
      </c>
      <c r="AE46" s="31">
        <f>AE7-AE44</f>
        <v/>
      </c>
      <c r="AF46" s="31">
        <f>AF7-AF44</f>
        <v/>
      </c>
      <c r="AG46" s="31">
        <f>AG7-AG44</f>
        <v/>
      </c>
      <c r="AH46" s="31">
        <f>AH7-AH44</f>
        <v/>
      </c>
      <c r="AI46" s="31">
        <f>AI7-AI44</f>
        <v/>
      </c>
      <c r="AJ46" s="31">
        <f>AJ7-AJ44</f>
        <v/>
      </c>
      <c r="AK46" s="11">
        <f>IF(N46&lt;&gt;0,(AB46-N46)/ABS(N46),0)</f>
        <v/>
      </c>
      <c r="AL46" s="11">
        <f>IF(AB46&lt;&gt;0,(AJ46-AB46)/ABS(AB46),0)</f>
        <v/>
      </c>
    </row>
  </sheetData>
  <mergeCells count="8">
    <mergeCell ref="A10:AL10"/>
    <mergeCell ref="B1:N1"/>
    <mergeCell ref="A23:AL23"/>
    <mergeCell ref="A32:AL32"/>
    <mergeCell ref="AC1:AJ1"/>
    <mergeCell ref="A9:AL9"/>
    <mergeCell ref="A3:AL3"/>
    <mergeCell ref="O1:AB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L4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9.5" customWidth="1" min="27" max="27"/>
    <col width="9.5" customWidth="1" min="28" max="28"/>
    <col width="9.5" customWidth="1" min="29" max="29"/>
    <col width="9.5" customWidth="1" min="30" max="30"/>
    <col width="9.5" customWidth="1" min="31" max="31"/>
    <col width="9.5" customWidth="1" min="32" max="32"/>
    <col width="9.5" customWidth="1" min="33" max="33"/>
    <col width="9.5" customWidth="1" min="34" max="34"/>
    <col width="9.5" customWidth="1" min="35" max="35"/>
    <col width="11" customWidth="1" min="36" max="36"/>
    <col width="10" customWidth="1" min="37" max="37"/>
    <col width="10" customWidth="1" min="38" max="38"/>
  </cols>
  <sheetData>
    <row r="1" ht="18" customHeight="1">
      <c r="A1" s="1" t="inlineStr">
        <is>
          <t>Our Den</t>
        </is>
      </c>
      <c r="B1" s="2" t="inlineStr">
        <is>
          <t>Actuals 2025</t>
        </is>
      </c>
      <c r="O1" s="2" t="inlineStr">
        <is>
          <t>2026 Actual / Forecast</t>
        </is>
      </c>
      <c r="AC1" s="32" t="inlineStr">
        <is>
          <t>2027 Plan</t>
        </is>
      </c>
      <c r="AK1" s="3" t="inlineStr">
        <is>
          <t>YoY</t>
        </is>
      </c>
      <c r="AL1" s="3" t="inlineStr">
        <is>
          <t>YoY</t>
        </is>
      </c>
    </row>
    <row r="2" ht="22" customHeight="1">
      <c r="B2" s="4" t="inlineStr">
        <is>
          <t>Jan</t>
        </is>
      </c>
      <c r="C2" s="4" t="inlineStr">
        <is>
          <t>Feb</t>
        </is>
      </c>
      <c r="D2" s="4" t="inlineStr">
        <is>
          <t>Mar</t>
        </is>
      </c>
      <c r="E2" s="4" t="inlineStr">
        <is>
          <t>Apr</t>
        </is>
      </c>
      <c r="F2" s="4" t="inlineStr">
        <is>
          <t>May</t>
        </is>
      </c>
      <c r="G2" s="4" t="inlineStr">
        <is>
          <t>Jun</t>
        </is>
      </c>
      <c r="H2" s="4" t="inlineStr">
        <is>
          <t>Jul</t>
        </is>
      </c>
      <c r="I2" s="4" t="inlineStr">
        <is>
          <t>Aug</t>
        </is>
      </c>
      <c r="J2" s="4" t="inlineStr">
        <is>
          <t>Sep</t>
        </is>
      </c>
      <c r="K2" s="4" t="inlineStr">
        <is>
          <t>Oct</t>
        </is>
      </c>
      <c r="L2" s="4" t="inlineStr">
        <is>
          <t>Nov</t>
        </is>
      </c>
      <c r="M2" s="4" t="inlineStr">
        <is>
          <t>Dec</t>
        </is>
      </c>
      <c r="N2" s="5" t="inlineStr">
        <is>
          <t>FY2025
Total</t>
        </is>
      </c>
      <c r="O2" s="4" t="inlineStr">
        <is>
          <t>Jan</t>
        </is>
      </c>
      <c r="P2" s="4" t="inlineStr">
        <is>
          <t>Feb</t>
        </is>
      </c>
      <c r="Q2" s="4" t="inlineStr">
        <is>
          <t>Mar</t>
        </is>
      </c>
      <c r="R2" s="4" t="inlineStr">
        <is>
          <t>Apr</t>
        </is>
      </c>
      <c r="S2" s="4" t="inlineStr">
        <is>
          <t>May</t>
        </is>
      </c>
      <c r="T2" s="4" t="inlineStr">
        <is>
          <t>Jun</t>
        </is>
      </c>
      <c r="U2" s="4" t="inlineStr">
        <is>
          <t>Jul</t>
        </is>
      </c>
      <c r="V2" s="4" t="inlineStr">
        <is>
          <t>Aug</t>
        </is>
      </c>
      <c r="W2" s="4" t="inlineStr">
        <is>
          <t>Sep</t>
        </is>
      </c>
      <c r="X2" s="4" t="inlineStr">
        <is>
          <t>Oct</t>
        </is>
      </c>
      <c r="Y2" s="4" t="inlineStr">
        <is>
          <t>Nov</t>
        </is>
      </c>
      <c r="Z2" s="4" t="inlineStr">
        <is>
          <t>Dec</t>
        </is>
      </c>
      <c r="AA2" s="4" t="inlineStr">
        <is>
          <t>YTD</t>
        </is>
      </c>
      <c r="AB2" s="5" t="inlineStr">
        <is>
          <t>FY2026
Outlook</t>
        </is>
      </c>
      <c r="AC2" s="4" t="inlineStr">
        <is>
          <t>Jan</t>
        </is>
      </c>
      <c r="AD2" s="4" t="inlineStr">
        <is>
          <t>Feb</t>
        </is>
      </c>
      <c r="AE2" s="4" t="inlineStr">
        <is>
          <t>Mar</t>
        </is>
      </c>
      <c r="AF2" s="4" t="inlineStr">
        <is>
          <t>Apr</t>
        </is>
      </c>
      <c r="AG2" s="4" t="inlineStr">
        <is>
          <t>May</t>
        </is>
      </c>
      <c r="AH2" s="4" t="inlineStr">
        <is>
          <t>Jun</t>
        </is>
      </c>
      <c r="AI2" s="33" t="inlineStr">
        <is>
          <t>Jul-Dec
Plan</t>
        </is>
      </c>
      <c r="AJ2" s="4" t="inlineStr">
        <is>
          <t>FY2027</t>
        </is>
      </c>
      <c r="AK2" s="6" t="inlineStr">
        <is>
          <t>25→26
%</t>
        </is>
      </c>
      <c r="AL2" s="6" t="inlineStr">
        <is>
          <t>26→27
%</t>
        </is>
      </c>
    </row>
    <row r="3" ht="15" customHeight="1">
      <c r="A3" s="7" t="inlineStr">
        <is>
          <t>INCOME</t>
        </is>
      </c>
    </row>
    <row r="4" ht="13" customHeight="1">
      <c r="A4" s="8" t="inlineStr">
        <is>
          <t xml:space="preserve">    Fee Income Regular</t>
        </is>
      </c>
      <c r="B4" s="9" t="n">
        <v>0</v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9" t="n">
        <v>0</v>
      </c>
      <c r="J4" s="9" t="n">
        <v>1523.64</v>
      </c>
      <c r="K4" s="9" t="n">
        <v>993.6600000000001</v>
      </c>
      <c r="L4" s="9" t="n">
        <v>851.8</v>
      </c>
      <c r="M4" s="9" t="n">
        <v>1363.66</v>
      </c>
      <c r="N4" s="9">
        <f>SUM(B4:M4)</f>
        <v/>
      </c>
      <c r="O4" s="9" t="n">
        <v>0</v>
      </c>
      <c r="P4" s="9" t="n">
        <v>0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AA4" s="9">
        <f>SUM(O4:U4)</f>
        <v/>
      </c>
      <c r="AB4" s="9">
        <f>SUM(O4:Z4)</f>
        <v/>
      </c>
      <c r="AC4" s="9" t="n">
        <v>29839.75</v>
      </c>
      <c r="AD4" s="9" t="n">
        <v>21836.64</v>
      </c>
      <c r="AE4" s="9" t="n">
        <v>28707.94</v>
      </c>
      <c r="AF4" s="9" t="n">
        <v>22423.44</v>
      </c>
      <c r="AG4" s="9" t="n">
        <v>29115.52</v>
      </c>
      <c r="AH4" s="9" t="n">
        <v>27182.25</v>
      </c>
      <c r="AI4" s="34">
        <f>SUM(AC4:AH4)</f>
        <v/>
      </c>
      <c r="AJ4" s="9">
        <f>SUM(AC4:AH4)+AI4</f>
        <v/>
      </c>
      <c r="AK4" s="11">
        <f>IF(N4&lt;&gt;0,(AB4-N4)/ABS(N4),0)</f>
        <v/>
      </c>
      <c r="AL4" s="11">
        <f>IF(AB4&lt;&gt;0,(AJ4-AB4)/ABS(AB4),0)</f>
        <v/>
      </c>
    </row>
    <row r="5" ht="13" customHeight="1">
      <c r="A5" s="8" t="inlineStr">
        <is>
          <t xml:space="preserve">    EEEF Embedded</t>
        </is>
      </c>
      <c r="B5" s="9" t="n">
        <v>0</v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6791.83</v>
      </c>
      <c r="M5" s="9" t="n">
        <v>6791.83</v>
      </c>
      <c r="N5" s="9">
        <f>SUM(B5:M5)</f>
        <v/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AA5" s="9">
        <f>SUM(O5:U5)</f>
        <v/>
      </c>
      <c r="AB5" s="9">
        <f>SUM(O5:Z5)</f>
        <v/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34">
        <f>SUM(AC5:AH5)</f>
        <v/>
      </c>
      <c r="AJ5" s="9">
        <f>SUM(AC5:AH5)+AI5</f>
        <v/>
      </c>
      <c r="AK5" s="11">
        <f>IF(N5&lt;&gt;0,(AB5-N5)/ABS(N5),0)</f>
        <v/>
      </c>
      <c r="AL5" s="11">
        <f>IF(AB5&lt;&gt;0,(AJ5-AB5)/ABS(AB5),0)</f>
        <v/>
      </c>
    </row>
    <row r="6" ht="13" customHeight="1">
      <c r="A6" s="8" t="inlineStr">
        <is>
          <t xml:space="preserve">    Other Income</t>
        </is>
      </c>
      <c r="B6" s="9" t="n">
        <v>0</v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  <c r="N6" s="9">
        <f>SUM(B6:M6)</f>
        <v/>
      </c>
      <c r="O6" s="9" t="n">
        <v>0</v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AA6" s="9">
        <f>SUM(O6:U6)</f>
        <v/>
      </c>
      <c r="AB6" s="9">
        <f>SUM(O6:Z6)</f>
        <v/>
      </c>
      <c r="AC6" s="9" t="n">
        <v>0</v>
      </c>
      <c r="AD6" s="9" t="n">
        <v>0</v>
      </c>
      <c r="AE6" s="9" t="n">
        <v>0</v>
      </c>
      <c r="AF6" s="9" t="n">
        <v>0</v>
      </c>
      <c r="AG6" s="9" t="n">
        <v>0</v>
      </c>
      <c r="AH6" s="9" t="n">
        <v>0</v>
      </c>
      <c r="AI6" s="34">
        <f>SUM(AC6:AH6)</f>
        <v/>
      </c>
      <c r="AJ6" s="9">
        <f>SUM(AC6:AH6)+AI6</f>
        <v/>
      </c>
      <c r="AK6" s="11">
        <f>IF(N6&lt;&gt;0,(AB6-N6)/ABS(N6),0)</f>
        <v/>
      </c>
      <c r="AL6" s="11">
        <f>IF(AB6&lt;&gt;0,(AJ6-AB6)/ABS(AB6),0)</f>
        <v/>
      </c>
    </row>
    <row r="7" ht="13" customHeight="1">
      <c r="A7" s="12" t="inlineStr">
        <is>
          <t>Total Income</t>
        </is>
      </c>
      <c r="B7" s="13">
        <f>B4+B5+B6</f>
        <v/>
      </c>
      <c r="C7" s="13">
        <f>C4+C5+C6</f>
        <v/>
      </c>
      <c r="D7" s="13">
        <f>D4+D5+D6</f>
        <v/>
      </c>
      <c r="E7" s="13">
        <f>E4+E5+E6</f>
        <v/>
      </c>
      <c r="F7" s="13">
        <f>F4+F5+F6</f>
        <v/>
      </c>
      <c r="G7" s="13">
        <f>G4+G5+G6</f>
        <v/>
      </c>
      <c r="H7" s="13">
        <f>H4+H5+H6</f>
        <v/>
      </c>
      <c r="I7" s="13">
        <f>I4+I5+I6</f>
        <v/>
      </c>
      <c r="J7" s="13">
        <f>J4+J5+J6</f>
        <v/>
      </c>
      <c r="K7" s="13">
        <f>K4+K5+K6</f>
        <v/>
      </c>
      <c r="L7" s="13">
        <f>L4+L5+L6</f>
        <v/>
      </c>
      <c r="M7" s="13">
        <f>M4+M5+M6</f>
        <v/>
      </c>
      <c r="N7" s="13">
        <f>N4+N5+N6</f>
        <v/>
      </c>
      <c r="O7" s="13">
        <f>O4+O5+O6</f>
        <v/>
      </c>
      <c r="P7" s="13">
        <f>P4+P5+P6</f>
        <v/>
      </c>
      <c r="Q7" s="13">
        <f>Q4+Q5+Q6</f>
        <v/>
      </c>
      <c r="R7" s="13">
        <f>R4+R5+R6</f>
        <v/>
      </c>
      <c r="S7" s="13">
        <f>S4+S5+S6</f>
        <v/>
      </c>
      <c r="T7" s="13">
        <f>T4+T5+T6</f>
        <v/>
      </c>
      <c r="U7" s="13">
        <f>U4+U5+U6</f>
        <v/>
      </c>
      <c r="V7" s="13">
        <f>V4+V5+V6</f>
        <v/>
      </c>
      <c r="W7" s="13">
        <f>W4+W5+W6</f>
        <v/>
      </c>
      <c r="X7" s="13">
        <f>X4+X5+X6</f>
        <v/>
      </c>
      <c r="Y7" s="13">
        <f>Y4+Y5+Y6</f>
        <v/>
      </c>
      <c r="Z7" s="13">
        <f>Z4+Z5+Z6</f>
        <v/>
      </c>
      <c r="AA7" s="13">
        <f>AA4+AA5+AA6</f>
        <v/>
      </c>
      <c r="AB7" s="13">
        <f>AB4+AB5+AB6</f>
        <v/>
      </c>
      <c r="AC7" s="13">
        <f>AC4+AC5+AC6</f>
        <v/>
      </c>
      <c r="AD7" s="13">
        <f>AD4+AD5+AD6</f>
        <v/>
      </c>
      <c r="AE7" s="13">
        <f>AE4+AE5+AE6</f>
        <v/>
      </c>
      <c r="AF7" s="13">
        <f>AF4+AF5+AF6</f>
        <v/>
      </c>
      <c r="AG7" s="13">
        <f>AG4+AG5+AG6</f>
        <v/>
      </c>
      <c r="AH7" s="13">
        <f>AH4+AH5+AH6</f>
        <v/>
      </c>
      <c r="AI7" s="13">
        <f>AI4+AI5+AI6</f>
        <v/>
      </c>
      <c r="AJ7" s="13">
        <f>AJ4+AJ5+AJ6</f>
        <v/>
      </c>
      <c r="AK7" s="11">
        <f>IF(N7&lt;&gt;0,(AB7-N7)/ABS(N7),0)</f>
        <v/>
      </c>
      <c r="AL7" s="11">
        <f>IF(AB7&lt;&gt;0,(AJ7-AB7)/ABS(AB7),0)</f>
        <v/>
      </c>
    </row>
    <row r="8" ht="5" customHeight="1"/>
    <row r="9" ht="15" customHeight="1">
      <c r="A9" s="7" t="inlineStr">
        <is>
          <t>DIRECT COSTS</t>
        </is>
      </c>
    </row>
    <row r="10" ht="13" customHeight="1">
      <c r="A10" s="14" t="inlineStr">
        <is>
          <t>Personnel</t>
        </is>
      </c>
    </row>
    <row r="11" ht="13" customHeight="1">
      <c r="A11" s="15" t="inlineStr">
        <is>
          <t xml:space="preserve">    Nursery Salaries</t>
        </is>
      </c>
      <c r="B11" s="16" t="n">
        <v>0</v>
      </c>
      <c r="C11" s="16" t="n">
        <v>0</v>
      </c>
      <c r="D11" s="16" t="n">
        <v>0</v>
      </c>
      <c r="E11" s="16" t="n">
        <v>0</v>
      </c>
      <c r="F11" s="16" t="n">
        <v>0</v>
      </c>
      <c r="G11" s="16" t="n">
        <v>0</v>
      </c>
      <c r="H11" s="16" t="n">
        <v>0</v>
      </c>
      <c r="I11" s="16" t="n">
        <v>0</v>
      </c>
      <c r="J11" s="16" t="n">
        <v>6448.15</v>
      </c>
      <c r="K11" s="16" t="n">
        <v>6689.36</v>
      </c>
      <c r="L11" s="16" t="n">
        <v>6765.64</v>
      </c>
      <c r="M11" s="16" t="n">
        <v>6815.95</v>
      </c>
      <c r="N11" s="16">
        <f>SUM(B11:M11)</f>
        <v/>
      </c>
      <c r="O11" s="16" t="n">
        <v>0</v>
      </c>
      <c r="P11" s="16" t="n">
        <v>0</v>
      </c>
      <c r="Q11" s="16" t="n">
        <v>0</v>
      </c>
      <c r="R11" s="16" t="n">
        <v>0</v>
      </c>
      <c r="S11" s="16" t="n">
        <v>0</v>
      </c>
      <c r="T11" s="16" t="n">
        <v>0</v>
      </c>
      <c r="U11" s="16" t="n">
        <v>0</v>
      </c>
      <c r="AA11" s="16">
        <f>SUM(O11:U11)</f>
        <v/>
      </c>
      <c r="AB11" s="16">
        <f>SUM(O11:Z11)</f>
        <v/>
      </c>
      <c r="AC11" s="16" t="n">
        <v>9114</v>
      </c>
      <c r="AD11" s="16" t="n">
        <v>9114</v>
      </c>
      <c r="AE11" s="16" t="n">
        <v>9114</v>
      </c>
      <c r="AF11" s="16" t="n">
        <v>9114</v>
      </c>
      <c r="AG11" s="16" t="n">
        <v>9114</v>
      </c>
      <c r="AH11" s="16" t="n">
        <v>9114</v>
      </c>
      <c r="AI11" s="34">
        <f>SUM(AC11:AH11)</f>
        <v/>
      </c>
      <c r="AJ11" s="16">
        <f>SUM(AC11:AH11)+AI11</f>
        <v/>
      </c>
      <c r="AK11" s="11">
        <f>IF(N11&lt;&gt;0,(AB11-N11)/ABS(N11),0)</f>
        <v/>
      </c>
      <c r="AL11" s="11">
        <f>IF(AB11&lt;&gt;0,(AJ11-AB11)/ABS(AB11),0)</f>
        <v/>
      </c>
    </row>
    <row r="12" ht="13" customHeight="1">
      <c r="A12" s="15" t="inlineStr">
        <is>
          <t xml:space="preserve">    Nursery NI</t>
        </is>
      </c>
      <c r="B12" s="16" t="n">
        <v>0</v>
      </c>
      <c r="C12" s="16" t="n">
        <v>0</v>
      </c>
      <c r="D12" s="16" t="n">
        <v>0</v>
      </c>
      <c r="E12" s="16" t="n">
        <v>0</v>
      </c>
      <c r="F12" s="16" t="n">
        <v>0</v>
      </c>
      <c r="G12" s="16" t="n">
        <v>0</v>
      </c>
      <c r="H12" s="16" t="n">
        <v>0</v>
      </c>
      <c r="I12" s="16" t="n">
        <v>0</v>
      </c>
      <c r="J12" s="16" t="n">
        <v>654.47</v>
      </c>
      <c r="K12" s="16" t="n">
        <v>753.2</v>
      </c>
      <c r="L12" s="16" t="n">
        <v>764.64</v>
      </c>
      <c r="M12" s="16" t="n">
        <v>772.1800000000001</v>
      </c>
      <c r="N12" s="16">
        <f>SUM(B12:M12)</f>
        <v/>
      </c>
      <c r="O12" s="16" t="n">
        <v>0</v>
      </c>
      <c r="P12" s="16" t="n">
        <v>0</v>
      </c>
      <c r="Q12" s="16" t="n">
        <v>0</v>
      </c>
      <c r="R12" s="16" t="n">
        <v>0</v>
      </c>
      <c r="S12" s="16" t="n">
        <v>0</v>
      </c>
      <c r="T12" s="16" t="n">
        <v>0</v>
      </c>
      <c r="U12" s="16" t="n">
        <v>0</v>
      </c>
      <c r="AA12" s="16">
        <f>SUM(O12:U12)</f>
        <v/>
      </c>
      <c r="AB12" s="16">
        <f>SUM(O12:Z12)</f>
        <v/>
      </c>
      <c r="AC12" s="16" t="n">
        <v>871</v>
      </c>
      <c r="AD12" s="16" t="n">
        <v>871</v>
      </c>
      <c r="AE12" s="16" t="n">
        <v>871</v>
      </c>
      <c r="AF12" s="16" t="n">
        <v>871</v>
      </c>
      <c r="AG12" s="16" t="n">
        <v>871</v>
      </c>
      <c r="AH12" s="16" t="n">
        <v>871</v>
      </c>
      <c r="AI12" s="34">
        <f>SUM(AC12:AH12)</f>
        <v/>
      </c>
      <c r="AJ12" s="16">
        <f>SUM(AC12:AH12)+AI12</f>
        <v/>
      </c>
      <c r="AK12" s="11">
        <f>IF(N12&lt;&gt;0,(AB12-N12)/ABS(N12),0)</f>
        <v/>
      </c>
      <c r="AL12" s="11">
        <f>IF(AB12&lt;&gt;0,(AJ12-AB12)/ABS(AB12),0)</f>
        <v/>
      </c>
    </row>
    <row r="13" ht="13" customHeight="1">
      <c r="A13" s="15" t="inlineStr">
        <is>
          <t xml:space="preserve">    Nursery Pension</t>
        </is>
      </c>
      <c r="B13" s="16" t="n">
        <v>0</v>
      </c>
      <c r="C13" s="16" t="n">
        <v>0</v>
      </c>
      <c r="D13" s="16" t="n">
        <v>0</v>
      </c>
      <c r="E13" s="16" t="n">
        <v>0</v>
      </c>
      <c r="F13" s="16" t="n">
        <v>0</v>
      </c>
      <c r="G13" s="16" t="n">
        <v>0</v>
      </c>
      <c r="H13" s="16" t="n">
        <v>0</v>
      </c>
      <c r="I13" s="16" t="n">
        <v>0</v>
      </c>
      <c r="J13" s="16" t="n">
        <v>0</v>
      </c>
      <c r="K13" s="16" t="n">
        <v>0</v>
      </c>
      <c r="L13" s="16" t="n">
        <v>140.54</v>
      </c>
      <c r="M13" s="16" t="n">
        <v>142.06</v>
      </c>
      <c r="N13" s="16">
        <f>SUM(B13:M13)</f>
        <v/>
      </c>
      <c r="O13" s="16" t="n">
        <v>0</v>
      </c>
      <c r="P13" s="16" t="n">
        <v>0</v>
      </c>
      <c r="Q13" s="16" t="n">
        <v>0</v>
      </c>
      <c r="R13" s="16" t="n">
        <v>0</v>
      </c>
      <c r="S13" s="16" t="n">
        <v>0</v>
      </c>
      <c r="T13" s="16" t="n">
        <v>0</v>
      </c>
      <c r="U13" s="16" t="n">
        <v>0</v>
      </c>
      <c r="AA13" s="16">
        <f>SUM(O13:U13)</f>
        <v/>
      </c>
      <c r="AB13" s="16">
        <f>SUM(O13:Z13)</f>
        <v/>
      </c>
      <c r="AC13" s="16" t="n">
        <v>143.99</v>
      </c>
      <c r="AD13" s="16" t="n">
        <v>143.99</v>
      </c>
      <c r="AE13" s="16" t="n">
        <v>143.99</v>
      </c>
      <c r="AF13" s="16" t="n">
        <v>143.99</v>
      </c>
      <c r="AG13" s="16" t="n">
        <v>143.99</v>
      </c>
      <c r="AH13" s="16" t="n">
        <v>143.99</v>
      </c>
      <c r="AI13" s="34">
        <f>SUM(AC13:AH13)</f>
        <v/>
      </c>
      <c r="AJ13" s="16">
        <f>SUM(AC13:AH13)+AI13</f>
        <v/>
      </c>
      <c r="AK13" s="11">
        <f>IF(N13&lt;&gt;0,(AB13-N13)/ABS(N13),0)</f>
        <v/>
      </c>
      <c r="AL13" s="11">
        <f>IF(AB13&lt;&gt;0,(AJ13-AB13)/ABS(AB13),0)</f>
        <v/>
      </c>
    </row>
    <row r="14" ht="13" customHeight="1">
      <c r="A14" s="15" t="inlineStr">
        <is>
          <t xml:space="preserve">    Uniform</t>
        </is>
      </c>
      <c r="B14" s="16" t="n">
        <v>0</v>
      </c>
      <c r="C14" s="16" t="n">
        <v>0</v>
      </c>
      <c r="D14" s="16" t="n">
        <v>0</v>
      </c>
      <c r="E14" s="16" t="n">
        <v>0</v>
      </c>
      <c r="F14" s="16" t="n">
        <v>0</v>
      </c>
      <c r="G14" s="16" t="n">
        <v>0</v>
      </c>
      <c r="H14" s="16" t="n">
        <v>0</v>
      </c>
      <c r="I14" s="16" t="n">
        <v>0</v>
      </c>
      <c r="J14" s="16" t="n">
        <v>0</v>
      </c>
      <c r="K14" s="16" t="n">
        <v>0</v>
      </c>
      <c r="L14" s="16" t="n">
        <v>0</v>
      </c>
      <c r="M14" s="16" t="n">
        <v>0</v>
      </c>
      <c r="N14" s="16">
        <f>SUM(B14:M14)</f>
        <v/>
      </c>
      <c r="O14" s="16" t="n">
        <v>0</v>
      </c>
      <c r="P14" s="16" t="n">
        <v>0</v>
      </c>
      <c r="Q14" s="16" t="n">
        <v>0</v>
      </c>
      <c r="R14" s="16" t="n">
        <v>0</v>
      </c>
      <c r="S14" s="16" t="n">
        <v>0</v>
      </c>
      <c r="T14" s="16" t="n">
        <v>0</v>
      </c>
      <c r="U14" s="16" t="n">
        <v>0</v>
      </c>
      <c r="AA14" s="16">
        <f>SUM(O14:U14)</f>
        <v/>
      </c>
      <c r="AB14" s="16">
        <f>SUM(O14:Z14)</f>
        <v/>
      </c>
      <c r="AC14" s="16" t="n">
        <v>20</v>
      </c>
      <c r="AD14" s="16" t="n">
        <v>20</v>
      </c>
      <c r="AE14" s="16" t="n">
        <v>20</v>
      </c>
      <c r="AF14" s="16" t="n">
        <v>20</v>
      </c>
      <c r="AG14" s="16" t="n">
        <v>20</v>
      </c>
      <c r="AH14" s="16" t="n">
        <v>20</v>
      </c>
      <c r="AI14" s="34">
        <f>SUM(AC14:AH14)</f>
        <v/>
      </c>
      <c r="AJ14" s="16">
        <f>SUM(AC14:AH14)+AI14</f>
        <v/>
      </c>
      <c r="AK14" s="11">
        <f>IF(N14&lt;&gt;0,(AB14-N14)/ABS(N14),0)</f>
        <v/>
      </c>
      <c r="AL14" s="11">
        <f>IF(AB14&lt;&gt;0,(AJ14-AB14)/ABS(AB14),0)</f>
        <v/>
      </c>
    </row>
    <row r="15" ht="13" customHeight="1">
      <c r="A15" s="15" t="inlineStr">
        <is>
          <t xml:space="preserve">    Training</t>
        </is>
      </c>
      <c r="B15" s="16" t="n">
        <v>0</v>
      </c>
      <c r="C15" s="16" t="n">
        <v>0</v>
      </c>
      <c r="D15" s="16" t="n">
        <v>0</v>
      </c>
      <c r="E15" s="16" t="n">
        <v>0</v>
      </c>
      <c r="F15" s="16" t="n">
        <v>0</v>
      </c>
      <c r="G15" s="16" t="n">
        <v>0</v>
      </c>
      <c r="H15" s="16" t="n">
        <v>0</v>
      </c>
      <c r="I15" s="16" t="n">
        <v>0</v>
      </c>
      <c r="J15" s="16" t="n">
        <v>0</v>
      </c>
      <c r="K15" s="16" t="n">
        <v>0</v>
      </c>
      <c r="L15" s="16" t="n">
        <v>114</v>
      </c>
      <c r="M15" s="16" t="n">
        <v>0</v>
      </c>
      <c r="N15" s="16">
        <f>SUM(B15:M15)</f>
        <v/>
      </c>
      <c r="O15" s="16" t="n">
        <v>0</v>
      </c>
      <c r="P15" s="16" t="n">
        <v>0</v>
      </c>
      <c r="Q15" s="16" t="n">
        <v>0</v>
      </c>
      <c r="R15" s="16" t="n">
        <v>0</v>
      </c>
      <c r="S15" s="16" t="n">
        <v>0</v>
      </c>
      <c r="T15" s="16" t="n">
        <v>0</v>
      </c>
      <c r="U15" s="16" t="n">
        <v>0</v>
      </c>
      <c r="AA15" s="16">
        <f>SUM(O15:U15)</f>
        <v/>
      </c>
      <c r="AB15" s="16">
        <f>SUM(O15:Z15)</f>
        <v/>
      </c>
      <c r="AC15" s="16" t="n">
        <v>100</v>
      </c>
      <c r="AD15" s="16" t="n">
        <v>100</v>
      </c>
      <c r="AE15" s="16" t="n">
        <v>100</v>
      </c>
      <c r="AF15" s="16" t="n">
        <v>100</v>
      </c>
      <c r="AG15" s="16" t="n">
        <v>100</v>
      </c>
      <c r="AH15" s="16" t="n">
        <v>100</v>
      </c>
      <c r="AI15" s="34">
        <f>SUM(AC15:AH15)</f>
        <v/>
      </c>
      <c r="AJ15" s="16">
        <f>SUM(AC15:AH15)+AI15</f>
        <v/>
      </c>
      <c r="AK15" s="11">
        <f>IF(N15&lt;&gt;0,(AB15-N15)/ABS(N15),0)</f>
        <v/>
      </c>
      <c r="AL15" s="11">
        <f>IF(AB15&lt;&gt;0,(AJ15-AB15)/ABS(AB15),0)</f>
        <v/>
      </c>
    </row>
    <row r="16" ht="13" customHeight="1">
      <c r="A16" s="15" t="inlineStr">
        <is>
          <t xml:space="preserve">    Staff Welfare</t>
        </is>
      </c>
      <c r="B16" s="16" t="n">
        <v>0</v>
      </c>
      <c r="C16" s="16" t="n">
        <v>0</v>
      </c>
      <c r="D16" s="16" t="n">
        <v>0</v>
      </c>
      <c r="E16" s="16" t="n">
        <v>0</v>
      </c>
      <c r="F16" s="16" t="n">
        <v>0</v>
      </c>
      <c r="G16" s="16" t="n">
        <v>0</v>
      </c>
      <c r="H16" s="16" t="n">
        <v>0</v>
      </c>
      <c r="I16" s="16" t="n">
        <v>0</v>
      </c>
      <c r="J16" s="16" t="n">
        <v>25.03</v>
      </c>
      <c r="K16" s="16" t="n">
        <v>25.27</v>
      </c>
      <c r="L16" s="16" t="n">
        <v>11.27</v>
      </c>
      <c r="M16" s="16" t="n">
        <v>0</v>
      </c>
      <c r="N16" s="16">
        <f>SUM(B16:M16)</f>
        <v/>
      </c>
      <c r="O16" s="16" t="n">
        <v>0</v>
      </c>
      <c r="P16" s="16" t="n">
        <v>0</v>
      </c>
      <c r="Q16" s="16" t="n">
        <v>0</v>
      </c>
      <c r="R16" s="16" t="n">
        <v>0</v>
      </c>
      <c r="S16" s="16" t="n">
        <v>0</v>
      </c>
      <c r="T16" s="16" t="n">
        <v>0</v>
      </c>
      <c r="U16" s="16" t="n">
        <v>0</v>
      </c>
      <c r="AA16" s="16">
        <f>SUM(O16:U16)</f>
        <v/>
      </c>
      <c r="AB16" s="16">
        <f>SUM(O16:Z16)</f>
        <v/>
      </c>
      <c r="AC16" s="16" t="n">
        <v>40</v>
      </c>
      <c r="AD16" s="16" t="n">
        <v>40</v>
      </c>
      <c r="AE16" s="16" t="n">
        <v>40</v>
      </c>
      <c r="AF16" s="16" t="n">
        <v>40</v>
      </c>
      <c r="AG16" s="16" t="n">
        <v>40</v>
      </c>
      <c r="AH16" s="16" t="n">
        <v>40</v>
      </c>
      <c r="AI16" s="34">
        <f>SUM(AC16:AH16)</f>
        <v/>
      </c>
      <c r="AJ16" s="16">
        <f>SUM(AC16:AH16)+AI16</f>
        <v/>
      </c>
      <c r="AK16" s="11">
        <f>IF(N16&lt;&gt;0,(AB16-N16)/ABS(N16),0)</f>
        <v/>
      </c>
      <c r="AL16" s="11">
        <f>IF(AB16&lt;&gt;0,(AJ16-AB16)/ABS(AB16),0)</f>
        <v/>
      </c>
    </row>
    <row r="17" ht="13" customHeight="1">
      <c r="A17" s="15" t="inlineStr">
        <is>
          <t xml:space="preserve">    Recruitment</t>
        </is>
      </c>
      <c r="B17" s="16" t="n">
        <v>0</v>
      </c>
      <c r="C17" s="16" t="n">
        <v>0</v>
      </c>
      <c r="D17" s="16" t="n">
        <v>0</v>
      </c>
      <c r="E17" s="16" t="n">
        <v>0</v>
      </c>
      <c r="F17" s="16" t="n">
        <v>0</v>
      </c>
      <c r="G17" s="16" t="n">
        <v>0</v>
      </c>
      <c r="H17" s="16" t="n">
        <v>0</v>
      </c>
      <c r="I17" s="16" t="n">
        <v>0</v>
      </c>
      <c r="J17" s="16" t="n">
        <v>0</v>
      </c>
      <c r="K17" s="16" t="n">
        <v>0</v>
      </c>
      <c r="L17" s="16" t="n">
        <v>0</v>
      </c>
      <c r="M17" s="16" t="n">
        <v>0</v>
      </c>
      <c r="N17" s="16">
        <f>SUM(B17:M17)</f>
        <v/>
      </c>
      <c r="O17" s="16" t="n">
        <v>0</v>
      </c>
      <c r="P17" s="16" t="n">
        <v>0</v>
      </c>
      <c r="Q17" s="16" t="n">
        <v>0</v>
      </c>
      <c r="R17" s="16" t="n">
        <v>0</v>
      </c>
      <c r="S17" s="16" t="n">
        <v>0</v>
      </c>
      <c r="T17" s="16" t="n">
        <v>0</v>
      </c>
      <c r="U17" s="16" t="n">
        <v>0</v>
      </c>
      <c r="AA17" s="16">
        <f>SUM(O17:U17)</f>
        <v/>
      </c>
      <c r="AB17" s="16">
        <f>SUM(O17:Z17)</f>
        <v/>
      </c>
      <c r="AC17" s="16" t="n">
        <v>0</v>
      </c>
      <c r="AD17" s="16" t="n">
        <v>0</v>
      </c>
      <c r="AE17" s="16" t="n">
        <v>0</v>
      </c>
      <c r="AF17" s="16" t="n">
        <v>0</v>
      </c>
      <c r="AG17" s="16" t="n">
        <v>0</v>
      </c>
      <c r="AH17" s="16" t="n">
        <v>0</v>
      </c>
      <c r="AI17" s="34">
        <f>SUM(AC17:AH17)</f>
        <v/>
      </c>
      <c r="AJ17" s="16">
        <f>SUM(AC17:AH17)+AI17</f>
        <v/>
      </c>
      <c r="AK17" s="11">
        <f>IF(N17&lt;&gt;0,(AB17-N17)/ABS(N17),0)</f>
        <v/>
      </c>
      <c r="AL17" s="11">
        <f>IF(AB17&lt;&gt;0,(AJ17-AB17)/ABS(AB17),0)</f>
        <v/>
      </c>
    </row>
    <row r="18" ht="13" customHeight="1">
      <c r="A18" s="15" t="inlineStr">
        <is>
          <t xml:space="preserve">    Rewards &amp; Recognition</t>
        </is>
      </c>
      <c r="B18" s="16" t="n">
        <v>0</v>
      </c>
      <c r="C18" s="16" t="n">
        <v>0</v>
      </c>
      <c r="D18" s="16" t="n">
        <v>0</v>
      </c>
      <c r="E18" s="16" t="n">
        <v>0</v>
      </c>
      <c r="F18" s="16" t="n">
        <v>0</v>
      </c>
      <c r="G18" s="16" t="n">
        <v>0</v>
      </c>
      <c r="H18" s="16" t="n">
        <v>0</v>
      </c>
      <c r="I18" s="16" t="n">
        <v>0</v>
      </c>
      <c r="J18" s="16" t="n">
        <v>0</v>
      </c>
      <c r="K18" s="16" t="n">
        <v>0</v>
      </c>
      <c r="L18" s="16" t="n">
        <v>0</v>
      </c>
      <c r="M18" s="16" t="n">
        <v>0</v>
      </c>
      <c r="N18" s="16">
        <f>SUM(B18:M18)</f>
        <v/>
      </c>
      <c r="O18" s="16" t="n">
        <v>0</v>
      </c>
      <c r="P18" s="16" t="n">
        <v>0</v>
      </c>
      <c r="Q18" s="16" t="n">
        <v>0</v>
      </c>
      <c r="R18" s="16" t="n">
        <v>0</v>
      </c>
      <c r="S18" s="16" t="n">
        <v>0</v>
      </c>
      <c r="T18" s="16" t="n">
        <v>0</v>
      </c>
      <c r="U18" s="16" t="n">
        <v>0</v>
      </c>
      <c r="AA18" s="16">
        <f>SUM(O18:U18)</f>
        <v/>
      </c>
      <c r="AB18" s="16">
        <f>SUM(O18:Z18)</f>
        <v/>
      </c>
      <c r="AC18" s="16" t="n">
        <v>17</v>
      </c>
      <c r="AD18" s="16" t="n">
        <v>17</v>
      </c>
      <c r="AE18" s="16" t="n">
        <v>17</v>
      </c>
      <c r="AF18" s="16" t="n">
        <v>17</v>
      </c>
      <c r="AG18" s="16" t="n">
        <v>17</v>
      </c>
      <c r="AH18" s="16" t="n">
        <v>17</v>
      </c>
      <c r="AI18" s="34">
        <f>SUM(AC18:AH18)</f>
        <v/>
      </c>
      <c r="AJ18" s="16">
        <f>SUM(AC18:AH18)+AI18</f>
        <v/>
      </c>
      <c r="AK18" s="11">
        <f>IF(N18&lt;&gt;0,(AB18-N18)/ABS(N18),0)</f>
        <v/>
      </c>
      <c r="AL18" s="11">
        <f>IF(AB18&lt;&gt;0,(AJ18-AB18)/ABS(AB18),0)</f>
        <v/>
      </c>
    </row>
    <row r="19" ht="13" customHeight="1">
      <c r="A19" s="15" t="inlineStr">
        <is>
          <t xml:space="preserve">    Temps</t>
        </is>
      </c>
      <c r="B19" s="16" t="n">
        <v>0</v>
      </c>
      <c r="C19" s="16" t="n">
        <v>0</v>
      </c>
      <c r="D19" s="16" t="n">
        <v>0</v>
      </c>
      <c r="E19" s="16" t="n">
        <v>0</v>
      </c>
      <c r="F19" s="16" t="n">
        <v>0</v>
      </c>
      <c r="G19" s="16" t="n">
        <v>0</v>
      </c>
      <c r="H19" s="16" t="n">
        <v>0</v>
      </c>
      <c r="I19" s="16" t="n">
        <v>0</v>
      </c>
      <c r="J19" s="16" t="n">
        <v>0</v>
      </c>
      <c r="K19" s="16" t="n">
        <v>0</v>
      </c>
      <c r="L19" s="16" t="n">
        <v>0</v>
      </c>
      <c r="M19" s="16" t="n">
        <v>0</v>
      </c>
      <c r="N19" s="16">
        <f>SUM(B19:M19)</f>
        <v/>
      </c>
      <c r="O19" s="16" t="n">
        <v>0</v>
      </c>
      <c r="P19" s="16" t="n">
        <v>0</v>
      </c>
      <c r="Q19" s="16" t="n">
        <v>0</v>
      </c>
      <c r="R19" s="16" t="n">
        <v>0</v>
      </c>
      <c r="S19" s="16" t="n">
        <v>0</v>
      </c>
      <c r="T19" s="16" t="n">
        <v>0</v>
      </c>
      <c r="U19" s="16" t="n">
        <v>0</v>
      </c>
      <c r="AA19" s="16">
        <f>SUM(O19:U19)</f>
        <v/>
      </c>
      <c r="AB19" s="16">
        <f>SUM(O19:Z19)</f>
        <v/>
      </c>
      <c r="AC19" s="16" t="n">
        <v>0</v>
      </c>
      <c r="AD19" s="16" t="n">
        <v>0</v>
      </c>
      <c r="AE19" s="16" t="n">
        <v>0</v>
      </c>
      <c r="AF19" s="16" t="n">
        <v>0</v>
      </c>
      <c r="AG19" s="16" t="n">
        <v>0</v>
      </c>
      <c r="AH19" s="16" t="n">
        <v>0</v>
      </c>
      <c r="AI19" s="34">
        <f>SUM(AC19:AH19)</f>
        <v/>
      </c>
      <c r="AJ19" s="16">
        <f>SUM(AC19:AH19)+AI19</f>
        <v/>
      </c>
      <c r="AK19" s="11">
        <f>IF(N19&lt;&gt;0,(AB19-N19)/ABS(N19),0)</f>
        <v/>
      </c>
      <c r="AL19" s="11">
        <f>IF(AB19&lt;&gt;0,(AJ19-AB19)/ABS(AB19),0)</f>
        <v/>
      </c>
    </row>
    <row r="20" ht="13" customHeight="1">
      <c r="A20" s="17" t="inlineStr">
        <is>
          <t>Total Personnel</t>
        </is>
      </c>
      <c r="B20" s="18">
        <f>B11+B12+B13+B14+B15+B16+B17+B18+B19</f>
        <v/>
      </c>
      <c r="C20" s="18">
        <f>C11+C12+C13+C14+C15+C16+C17+C18+C19</f>
        <v/>
      </c>
      <c r="D20" s="18">
        <f>D11+D12+D13+D14+D15+D16+D17+D18+D19</f>
        <v/>
      </c>
      <c r="E20" s="18">
        <f>E11+E12+E13+E14+E15+E16+E17+E18+E19</f>
        <v/>
      </c>
      <c r="F20" s="18">
        <f>F11+F12+F13+F14+F15+F16+F17+F18+F19</f>
        <v/>
      </c>
      <c r="G20" s="18">
        <f>G11+G12+G13+G14+G15+G16+G17+G18+G19</f>
        <v/>
      </c>
      <c r="H20" s="18">
        <f>H11+H12+H13+H14+H15+H16+H17+H18+H19</f>
        <v/>
      </c>
      <c r="I20" s="18">
        <f>I11+I12+I13+I14+I15+I16+I17+I18+I19</f>
        <v/>
      </c>
      <c r="J20" s="18">
        <f>J11+J12+J13+J14+J15+J16+J17+J18+J19</f>
        <v/>
      </c>
      <c r="K20" s="18">
        <f>K11+K12+K13+K14+K15+K16+K17+K18+K19</f>
        <v/>
      </c>
      <c r="L20" s="18">
        <f>L11+L12+L13+L14+L15+L16+L17+L18+L19</f>
        <v/>
      </c>
      <c r="M20" s="18">
        <f>M11+M12+M13+M14+M15+M16+M17+M18+M19</f>
        <v/>
      </c>
      <c r="N20" s="18">
        <f>N11+N12+N13+N14+N15+N16+N17+N18+N19</f>
        <v/>
      </c>
      <c r="O20" s="18">
        <f>O11+O12+O13+O14+O15+O16+O17+O18+O19</f>
        <v/>
      </c>
      <c r="P20" s="18">
        <f>P11+P12+P13+P14+P15+P16+P17+P18+P19</f>
        <v/>
      </c>
      <c r="Q20" s="18">
        <f>Q11+Q12+Q13+Q14+Q15+Q16+Q17+Q18+Q19</f>
        <v/>
      </c>
      <c r="R20" s="18">
        <f>R11+R12+R13+R14+R15+R16+R17+R18+R19</f>
        <v/>
      </c>
      <c r="S20" s="18">
        <f>S11+S12+S13+S14+S15+S16+S17+S18+S19</f>
        <v/>
      </c>
      <c r="T20" s="18">
        <f>T11+T12+T13+T14+T15+T16+T17+T18+T19</f>
        <v/>
      </c>
      <c r="U20" s="18">
        <f>U11+U12+U13+U14+U15+U16+U17+U18+U19</f>
        <v/>
      </c>
      <c r="V20" s="18">
        <f>V11+V12+V13+V14+V15+V16+V17+V18+V19</f>
        <v/>
      </c>
      <c r="W20" s="18">
        <f>W11+W12+W13+W14+W15+W16+W17+W18+W19</f>
        <v/>
      </c>
      <c r="X20" s="18">
        <f>X11+X12+X13+X14+X15+X16+X17+X18+X19</f>
        <v/>
      </c>
      <c r="Y20" s="18">
        <f>Y11+Y12+Y13+Y14+Y15+Y16+Y17+Y18+Y19</f>
        <v/>
      </c>
      <c r="Z20" s="18">
        <f>Z11+Z12+Z13+Z14+Z15+Z16+Z17+Z18+Z19</f>
        <v/>
      </c>
      <c r="AA20" s="18">
        <f>AA11+AA12+AA13+AA14+AA15+AA16+AA17+AA18+AA19</f>
        <v/>
      </c>
      <c r="AB20" s="18">
        <f>AB11+AB12+AB13+AB14+AB15+AB16+AB17+AB18+AB19</f>
        <v/>
      </c>
      <c r="AC20" s="18">
        <f>AC11+AC12+AC13+AC14+AC15+AC16+AC17+AC18+AC19</f>
        <v/>
      </c>
      <c r="AD20" s="18">
        <f>AD11+AD12+AD13+AD14+AD15+AD16+AD17+AD18+AD19</f>
        <v/>
      </c>
      <c r="AE20" s="18">
        <f>AE11+AE12+AE13+AE14+AE15+AE16+AE17+AE18+AE19</f>
        <v/>
      </c>
      <c r="AF20" s="18">
        <f>AF11+AF12+AF13+AF14+AF15+AF16+AF17+AF18+AF19</f>
        <v/>
      </c>
      <c r="AG20" s="18">
        <f>AG11+AG12+AG13+AG14+AG15+AG16+AG17+AG18+AG19</f>
        <v/>
      </c>
      <c r="AH20" s="18">
        <f>AH11+AH12+AH13+AH14+AH15+AH16+AH17+AH18+AH19</f>
        <v/>
      </c>
      <c r="AI20" s="18">
        <f>AI11+AI12+AI13+AI14+AI15+AI16+AI17+AI18+AI19</f>
        <v/>
      </c>
      <c r="AJ20" s="18">
        <f>AJ11+AJ12+AJ13+AJ14+AJ15+AJ16+AJ17+AJ18+AJ19</f>
        <v/>
      </c>
      <c r="AK20" s="11">
        <f>IF(N20&lt;&gt;0,(AB20-N20)/ABS(N20),0)</f>
        <v/>
      </c>
      <c r="AL20" s="11">
        <f>IF(AB20&lt;&gt;0,(AJ20-AB20)/ABS(AB20),0)</f>
        <v/>
      </c>
    </row>
    <row r="21" ht="13" customHeight="1">
      <c r="A21" s="19" t="inlineStr">
        <is>
          <t xml:space="preserve">    Sal:Rev</t>
        </is>
      </c>
      <c r="B21" s="20">
        <f>IF(B7&gt;0,B20/B7,0)</f>
        <v/>
      </c>
      <c r="C21" s="20">
        <f>IF(C7&gt;0,C20/C7,0)</f>
        <v/>
      </c>
      <c r="D21" s="20">
        <f>IF(D7&gt;0,D20/D7,0)</f>
        <v/>
      </c>
      <c r="E21" s="20">
        <f>IF(E7&gt;0,E20/E7,0)</f>
        <v/>
      </c>
      <c r="F21" s="20">
        <f>IF(F7&gt;0,F20/F7,0)</f>
        <v/>
      </c>
      <c r="G21" s="20">
        <f>IF(G7&gt;0,G20/G7,0)</f>
        <v/>
      </c>
      <c r="H21" s="20">
        <f>IF(H7&gt;0,H20/H7,0)</f>
        <v/>
      </c>
      <c r="I21" s="20">
        <f>IF(I7&gt;0,I20/I7,0)</f>
        <v/>
      </c>
      <c r="J21" s="20">
        <f>IF(J7&gt;0,J20/J7,0)</f>
        <v/>
      </c>
      <c r="K21" s="20">
        <f>IF(K7&gt;0,K20/K7,0)</f>
        <v/>
      </c>
      <c r="L21" s="20">
        <f>IF(L7&gt;0,L20/L7,0)</f>
        <v/>
      </c>
      <c r="M21" s="20">
        <f>IF(M7&gt;0,M20/M7,0)</f>
        <v/>
      </c>
      <c r="N21" s="20">
        <f>IF(N7&gt;0,N20/N7,0)</f>
        <v/>
      </c>
      <c r="O21" s="20">
        <f>IF(O7&gt;0,O20/O7,0)</f>
        <v/>
      </c>
      <c r="P21" s="20">
        <f>IF(P7&gt;0,P20/P7,0)</f>
        <v/>
      </c>
      <c r="Q21" s="20">
        <f>IF(Q7&gt;0,Q20/Q7,0)</f>
        <v/>
      </c>
      <c r="R21" s="20">
        <f>IF(R7&gt;0,R20/R7,0)</f>
        <v/>
      </c>
      <c r="S21" s="20">
        <f>IF(S7&gt;0,S20/S7,0)</f>
        <v/>
      </c>
      <c r="T21" s="20">
        <f>IF(T7&gt;0,T20/T7,0)</f>
        <v/>
      </c>
      <c r="U21" s="20">
        <f>IF(U7&gt;0,U20/U7,0)</f>
        <v/>
      </c>
      <c r="V21" s="20">
        <f>IF(V7&gt;0,V20/V7,0)</f>
        <v/>
      </c>
      <c r="W21" s="20">
        <f>IF(W7&gt;0,W20/W7,0)</f>
        <v/>
      </c>
      <c r="X21" s="20">
        <f>IF(X7&gt;0,X20/X7,0)</f>
        <v/>
      </c>
      <c r="Y21" s="20">
        <f>IF(Y7&gt;0,Y20/Y7,0)</f>
        <v/>
      </c>
      <c r="Z21" s="20">
        <f>IF(Z7&gt;0,Z20/Z7,0)</f>
        <v/>
      </c>
      <c r="AA21" s="20">
        <f>IF(AA7&gt;0,AA20/AA7,0)</f>
        <v/>
      </c>
      <c r="AB21" s="20">
        <f>IF(AB7&gt;0,AB20/AB7,0)</f>
        <v/>
      </c>
      <c r="AC21" s="20">
        <f>IF(AC7&gt;0,AC20/AC7,0)</f>
        <v/>
      </c>
      <c r="AD21" s="20">
        <f>IF(AD7&gt;0,AD20/AD7,0)</f>
        <v/>
      </c>
      <c r="AE21" s="20">
        <f>IF(AE7&gt;0,AE20/AE7,0)</f>
        <v/>
      </c>
      <c r="AF21" s="20">
        <f>IF(AF7&gt;0,AF20/AF7,0)</f>
        <v/>
      </c>
      <c r="AG21" s="20">
        <f>IF(AG7&gt;0,AG20/AG7,0)</f>
        <v/>
      </c>
      <c r="AH21" s="20">
        <f>IF(AH7&gt;0,AH20/AH7,0)</f>
        <v/>
      </c>
      <c r="AI21" s="20">
        <f>IF(AI7&gt;0,AI20/AI7,0)</f>
        <v/>
      </c>
      <c r="AJ21" s="20">
        <f>IF(AJ7&gt;0,AJ20/AJ7,0)</f>
        <v/>
      </c>
    </row>
    <row r="22" ht="5" customHeight="1"/>
    <row r="23" ht="13" customHeight="1">
      <c r="A23" s="14" t="inlineStr">
        <is>
          <t>Childcare</t>
        </is>
      </c>
    </row>
    <row r="24" ht="13" customHeight="1">
      <c r="A24" s="21" t="inlineStr">
        <is>
          <t xml:space="preserve">    Catering Costs</t>
        </is>
      </c>
      <c r="N24" s="22">
        <f>SUM(B24:M24)</f>
        <v/>
      </c>
      <c r="O24" s="22" t="n">
        <v>0</v>
      </c>
      <c r="P24" s="22" t="n">
        <v>0</v>
      </c>
      <c r="Q24" s="22" t="n">
        <v>0</v>
      </c>
      <c r="R24" s="22" t="n">
        <v>0</v>
      </c>
      <c r="S24" s="22" t="n">
        <v>0</v>
      </c>
      <c r="T24" s="22" t="n">
        <v>0</v>
      </c>
      <c r="U24" s="22" t="n">
        <v>0</v>
      </c>
      <c r="V24" s="22" t="n">
        <v>0</v>
      </c>
      <c r="W24" s="22" t="n">
        <v>727.3656</v>
      </c>
      <c r="X24" s="22" t="n">
        <v>757.0992</v>
      </c>
      <c r="Y24" s="22" t="n">
        <v>946.2647999999999</v>
      </c>
      <c r="Z24" s="22" t="n">
        <v>626.7768</v>
      </c>
      <c r="AA24" s="22">
        <f>SUM(O24:U24)</f>
        <v/>
      </c>
      <c r="AB24" s="22">
        <f>SUM(O24:Z24)</f>
        <v/>
      </c>
      <c r="AC24" s="22" t="n">
        <v>931.0001999999999</v>
      </c>
      <c r="AD24" s="22" t="n">
        <v>681.3031679999999</v>
      </c>
      <c r="AE24" s="22" t="n">
        <v>895.6877279999999</v>
      </c>
      <c r="AF24" s="22" t="n">
        <v>699.611328</v>
      </c>
      <c r="AG24" s="22" t="n">
        <v>908.404224</v>
      </c>
      <c r="AH24" s="22" t="n">
        <v>848.0862</v>
      </c>
      <c r="AI24" s="34">
        <f>SUM(AC24:AH24)</f>
        <v/>
      </c>
      <c r="AJ24" s="22">
        <f>SUM(AC24:AH24)+AI24</f>
        <v/>
      </c>
      <c r="AK24" s="11">
        <f>IF(N24&lt;&gt;0,(AB24-N24)/ABS(N24),0)</f>
        <v/>
      </c>
      <c r="AL24" s="11">
        <f>IF(AB24&lt;&gt;0,(AJ24-AB24)/ABS(AB24),0)</f>
        <v/>
      </c>
    </row>
    <row r="25" ht="13" customHeight="1">
      <c r="A25" s="21" t="inlineStr">
        <is>
          <t xml:space="preserve">    Toys and Games</t>
        </is>
      </c>
      <c r="B25" s="22" t="n">
        <v>0</v>
      </c>
      <c r="C25" s="22" t="n">
        <v>0</v>
      </c>
      <c r="D25" s="22" t="n">
        <v>0</v>
      </c>
      <c r="E25" s="22" t="n">
        <v>0</v>
      </c>
      <c r="F25" s="22" t="n">
        <v>0</v>
      </c>
      <c r="G25" s="22" t="n">
        <v>0</v>
      </c>
      <c r="H25" s="22" t="n">
        <v>0</v>
      </c>
      <c r="I25" s="22" t="n">
        <v>0</v>
      </c>
      <c r="J25" s="22" t="n">
        <v>3627.11</v>
      </c>
      <c r="K25" s="22" t="n">
        <v>38.69</v>
      </c>
      <c r="L25" s="22" t="n">
        <v>19.59</v>
      </c>
      <c r="M25" s="22" t="n">
        <v>0</v>
      </c>
      <c r="N25" s="22">
        <f>SUM(B25:M25)</f>
        <v/>
      </c>
      <c r="O25" s="22" t="n">
        <v>0</v>
      </c>
      <c r="P25" s="22" t="n">
        <v>0</v>
      </c>
      <c r="Q25" s="22" t="n">
        <v>0</v>
      </c>
      <c r="R25" s="22" t="n">
        <v>0</v>
      </c>
      <c r="S25" s="22" t="n">
        <v>0</v>
      </c>
      <c r="T25" s="22" t="n">
        <v>0</v>
      </c>
      <c r="U25" s="22" t="n">
        <v>0</v>
      </c>
      <c r="AA25" s="22">
        <f>SUM(O25:U25)</f>
        <v/>
      </c>
      <c r="AB25" s="22">
        <f>SUM(O25:Z25)</f>
        <v/>
      </c>
      <c r="AC25" s="22" t="n">
        <v>58</v>
      </c>
      <c r="AD25" s="22" t="n">
        <v>58</v>
      </c>
      <c r="AE25" s="22" t="n">
        <v>58</v>
      </c>
      <c r="AF25" s="22" t="n">
        <v>58</v>
      </c>
      <c r="AG25" s="22" t="n">
        <v>58</v>
      </c>
      <c r="AH25" s="22" t="n">
        <v>58</v>
      </c>
      <c r="AI25" s="34">
        <f>SUM(AC25:AH25)</f>
        <v/>
      </c>
      <c r="AJ25" s="22">
        <f>SUM(AC25:AH25)+AI25</f>
        <v/>
      </c>
      <c r="AK25" s="11">
        <f>IF(N25&lt;&gt;0,(AB25-N25)/ABS(N25),0)</f>
        <v/>
      </c>
      <c r="AL25" s="11">
        <f>IF(AB25&lt;&gt;0,(AJ25-AB25)/ABS(AB25),0)</f>
        <v/>
      </c>
    </row>
    <row r="26" ht="13" customHeight="1">
      <c r="A26" s="21" t="inlineStr">
        <is>
          <t xml:space="preserve">    Art Materials</t>
        </is>
      </c>
      <c r="N26" s="22">
        <f>SUM(B26:M26)</f>
        <v/>
      </c>
      <c r="O26" s="22" t="n">
        <v>0</v>
      </c>
      <c r="P26" s="22" t="n">
        <v>0</v>
      </c>
      <c r="Q26" s="22" t="n">
        <v>0</v>
      </c>
      <c r="R26" s="22" t="n">
        <v>0</v>
      </c>
      <c r="S26" s="22" t="n">
        <v>0</v>
      </c>
      <c r="T26" s="22" t="n">
        <v>0</v>
      </c>
      <c r="U26" s="22" t="n">
        <v>0</v>
      </c>
      <c r="V26" s="22" t="n">
        <v>0</v>
      </c>
      <c r="W26" s="22" t="n">
        <v>48.49104</v>
      </c>
      <c r="X26" s="22" t="n">
        <v>50.47328</v>
      </c>
      <c r="Y26" s="22" t="n">
        <v>63.08431999999999</v>
      </c>
      <c r="Z26" s="22" t="n">
        <v>41.78512</v>
      </c>
      <c r="AA26" s="22">
        <f>SUM(O26:U26)</f>
        <v/>
      </c>
      <c r="AB26" s="22">
        <f>SUM(O26:Z26)</f>
        <v/>
      </c>
      <c r="AC26" s="22" t="n">
        <v>62.06668</v>
      </c>
      <c r="AD26" s="22" t="n">
        <v>45.4202112</v>
      </c>
      <c r="AE26" s="22" t="n">
        <v>59.71251519999999</v>
      </c>
      <c r="AF26" s="22" t="n">
        <v>46.64075519999999</v>
      </c>
      <c r="AG26" s="22" t="n">
        <v>60.5602816</v>
      </c>
      <c r="AH26" s="22" t="n">
        <v>56.53908</v>
      </c>
      <c r="AI26" s="34">
        <f>SUM(AC26:AH26)</f>
        <v/>
      </c>
      <c r="AJ26" s="22">
        <f>SUM(AC26:AH26)+AI26</f>
        <v/>
      </c>
      <c r="AK26" s="11">
        <f>IF(N26&lt;&gt;0,(AB26-N26)/ABS(N26),0)</f>
        <v/>
      </c>
      <c r="AL26" s="11">
        <f>IF(AB26&lt;&gt;0,(AJ26-AB26)/ABS(AB26),0)</f>
        <v/>
      </c>
    </row>
    <row r="27" ht="13" customHeight="1">
      <c r="A27" s="21" t="inlineStr">
        <is>
          <t xml:space="preserve">    Nursery Stationery</t>
        </is>
      </c>
      <c r="B27" s="22" t="n">
        <v>0</v>
      </c>
      <c r="C27" s="22" t="n">
        <v>0</v>
      </c>
      <c r="D27" s="22" t="n">
        <v>0</v>
      </c>
      <c r="E27" s="22" t="n">
        <v>0</v>
      </c>
      <c r="F27" s="22" t="n">
        <v>0</v>
      </c>
      <c r="G27" s="22" t="n">
        <v>0</v>
      </c>
      <c r="H27" s="22" t="n">
        <v>0</v>
      </c>
      <c r="I27" s="22" t="n">
        <v>0</v>
      </c>
      <c r="J27" s="22" t="n">
        <v>0</v>
      </c>
      <c r="K27" s="22" t="n">
        <v>0</v>
      </c>
      <c r="L27" s="22" t="n">
        <v>0</v>
      </c>
      <c r="M27" s="22" t="n">
        <v>0</v>
      </c>
      <c r="N27" s="22">
        <f>SUM(B27:M27)</f>
        <v/>
      </c>
      <c r="O27" s="22" t="n">
        <v>0</v>
      </c>
      <c r="P27" s="22" t="n">
        <v>0</v>
      </c>
      <c r="Q27" s="22" t="n">
        <v>0</v>
      </c>
      <c r="R27" s="22" t="n">
        <v>0</v>
      </c>
      <c r="S27" s="22" t="n">
        <v>0</v>
      </c>
      <c r="T27" s="22" t="n">
        <v>0</v>
      </c>
      <c r="U27" s="22" t="n">
        <v>0</v>
      </c>
      <c r="AA27" s="22">
        <f>SUM(O27:U27)</f>
        <v/>
      </c>
      <c r="AB27" s="22">
        <f>SUM(O27:Z27)</f>
        <v/>
      </c>
      <c r="AC27" s="22" t="n">
        <v>50</v>
      </c>
      <c r="AD27" s="22" t="n">
        <v>50</v>
      </c>
      <c r="AE27" s="22" t="n">
        <v>50</v>
      </c>
      <c r="AF27" s="22" t="n">
        <v>50</v>
      </c>
      <c r="AG27" s="22" t="n">
        <v>50</v>
      </c>
      <c r="AH27" s="22" t="n">
        <v>50</v>
      </c>
      <c r="AI27" s="34">
        <f>SUM(AC27:AH27)</f>
        <v/>
      </c>
      <c r="AJ27" s="22">
        <f>SUM(AC27:AH27)+AI27</f>
        <v/>
      </c>
      <c r="AK27" s="11">
        <f>IF(N27&lt;&gt;0,(AB27-N27)/ABS(N27),0)</f>
        <v/>
      </c>
      <c r="AL27" s="11">
        <f>IF(AB27&lt;&gt;0,(AJ27-AB27)/ABS(AB27),0)</f>
        <v/>
      </c>
    </row>
    <row r="28" ht="13" customHeight="1">
      <c r="A28" s="21" t="inlineStr">
        <is>
          <t xml:space="preserve">    Nursery Equipment</t>
        </is>
      </c>
      <c r="B28" s="22" t="n">
        <v>0</v>
      </c>
      <c r="C28" s="22" t="n">
        <v>0</v>
      </c>
      <c r="D28" s="22" t="n">
        <v>0</v>
      </c>
      <c r="E28" s="22" t="n">
        <v>0</v>
      </c>
      <c r="F28" s="22" t="n">
        <v>0</v>
      </c>
      <c r="G28" s="22" t="n">
        <v>0</v>
      </c>
      <c r="H28" s="22" t="n">
        <v>0</v>
      </c>
      <c r="I28" s="22" t="n">
        <v>224.96</v>
      </c>
      <c r="J28" s="22" t="n">
        <v>196.03</v>
      </c>
      <c r="K28" s="22" t="n">
        <v>85.5</v>
      </c>
      <c r="L28" s="22" t="n">
        <v>39.63</v>
      </c>
      <c r="M28" s="22" t="n">
        <v>0</v>
      </c>
      <c r="N28" s="22">
        <f>SUM(B28:M28)</f>
        <v/>
      </c>
      <c r="O28" s="22" t="n">
        <v>0</v>
      </c>
      <c r="P28" s="22" t="n">
        <v>0</v>
      </c>
      <c r="Q28" s="22" t="n">
        <v>0</v>
      </c>
      <c r="R28" s="22" t="n">
        <v>0</v>
      </c>
      <c r="S28" s="22" t="n">
        <v>0</v>
      </c>
      <c r="T28" s="22" t="n">
        <v>0</v>
      </c>
      <c r="U28" s="22" t="n">
        <v>0</v>
      </c>
      <c r="AA28" s="22">
        <f>SUM(O28:U28)</f>
        <v/>
      </c>
      <c r="AB28" s="22">
        <f>SUM(O28:Z28)</f>
        <v/>
      </c>
      <c r="AC28" s="22" t="n">
        <v>50</v>
      </c>
      <c r="AD28" s="22" t="n">
        <v>50</v>
      </c>
      <c r="AE28" s="22" t="n">
        <v>50</v>
      </c>
      <c r="AF28" s="22" t="n">
        <v>50</v>
      </c>
      <c r="AG28" s="22" t="n">
        <v>50</v>
      </c>
      <c r="AH28" s="22" t="n">
        <v>50</v>
      </c>
      <c r="AI28" s="34">
        <f>SUM(AC28:AH28)</f>
        <v/>
      </c>
      <c r="AJ28" s="22">
        <f>SUM(AC28:AH28)+AI28</f>
        <v/>
      </c>
      <c r="AK28" s="11">
        <f>IF(N28&lt;&gt;0,(AB28-N28)/ABS(N28),0)</f>
        <v/>
      </c>
      <c r="AL28" s="11">
        <f>IF(AB28&lt;&gt;0,(AJ28-AB28)/ABS(AB28),0)</f>
        <v/>
      </c>
    </row>
    <row r="29" ht="13" customHeight="1">
      <c r="A29" s="21" t="inlineStr">
        <is>
          <t xml:space="preserve">    Nursery Consumables</t>
        </is>
      </c>
      <c r="N29" s="22">
        <f>SUM(B29:M29)</f>
        <v/>
      </c>
      <c r="O29" s="22" t="n">
        <v>0</v>
      </c>
      <c r="P29" s="22" t="n">
        <v>0</v>
      </c>
      <c r="Q29" s="22" t="n">
        <v>0</v>
      </c>
      <c r="R29" s="22" t="n">
        <v>0</v>
      </c>
      <c r="S29" s="22" t="n">
        <v>0</v>
      </c>
      <c r="T29" s="22" t="n">
        <v>0</v>
      </c>
      <c r="U29" s="22" t="n">
        <v>0</v>
      </c>
      <c r="V29" s="22" t="n">
        <v>0</v>
      </c>
      <c r="W29" s="22" t="n">
        <v>96.98208000000004</v>
      </c>
      <c r="X29" s="22" t="n">
        <v>100.94656</v>
      </c>
      <c r="Y29" s="22" t="n">
        <v>126.16864</v>
      </c>
      <c r="Z29" s="22" t="n">
        <v>83.57024000000003</v>
      </c>
      <c r="AA29" s="22">
        <f>SUM(O29:U29)</f>
        <v/>
      </c>
      <c r="AB29" s="22">
        <f>SUM(O29:Z29)</f>
        <v/>
      </c>
      <c r="AC29" s="22" t="n">
        <v>124.13336</v>
      </c>
      <c r="AD29" s="22" t="n">
        <v>90.84042240000002</v>
      </c>
      <c r="AE29" s="22" t="n">
        <v>119.4250304</v>
      </c>
      <c r="AF29" s="22" t="n">
        <v>93.28151040000003</v>
      </c>
      <c r="AG29" s="22" t="n">
        <v>121.1205632</v>
      </c>
      <c r="AH29" s="22" t="n">
        <v>113.07816</v>
      </c>
      <c r="AI29" s="34">
        <f>SUM(AC29:AH29)</f>
        <v/>
      </c>
      <c r="AJ29" s="22">
        <f>SUM(AC29:AH29)+AI29</f>
        <v/>
      </c>
      <c r="AK29" s="11">
        <f>IF(N29&lt;&gt;0,(AB29-N29)/ABS(N29),0)</f>
        <v/>
      </c>
      <c r="AL29" s="11">
        <f>IF(AB29&lt;&gt;0,(AJ29-AB29)/ABS(AB29),0)</f>
        <v/>
      </c>
    </row>
    <row r="30" ht="13" customHeight="1">
      <c r="A30" s="23" t="inlineStr">
        <is>
          <t>Total Childcare Costs</t>
        </is>
      </c>
      <c r="B30" s="24">
        <f>B24+B25+B26+B27+B28+B29</f>
        <v/>
      </c>
      <c r="C30" s="24">
        <f>C24+C25+C26+C27+C28+C29</f>
        <v/>
      </c>
      <c r="D30" s="24">
        <f>D24+D25+D26+D27+D28+D29</f>
        <v/>
      </c>
      <c r="E30" s="24">
        <f>E24+E25+E26+E27+E28+E29</f>
        <v/>
      </c>
      <c r="F30" s="24">
        <f>F24+F25+F26+F27+F28+F29</f>
        <v/>
      </c>
      <c r="G30" s="24">
        <f>G24+G25+G26+G27+G28+G29</f>
        <v/>
      </c>
      <c r="H30" s="24">
        <f>H24+H25+H26+H27+H28+H29</f>
        <v/>
      </c>
      <c r="I30" s="24">
        <f>I24+I25+I26+I27+I28+I29</f>
        <v/>
      </c>
      <c r="J30" s="24">
        <f>J24+J25+J26+J27+J28+J29</f>
        <v/>
      </c>
      <c r="K30" s="24">
        <f>K24+K25+K26+K27+K28+K29</f>
        <v/>
      </c>
      <c r="L30" s="24">
        <f>L24+L25+L26+L27+L28+L29</f>
        <v/>
      </c>
      <c r="M30" s="24">
        <f>M24+M25+M26+M27+M28+M29</f>
        <v/>
      </c>
      <c r="N30" s="24">
        <f>N24+N25+N26+N27+N28+N29</f>
        <v/>
      </c>
      <c r="O30" s="24">
        <f>O24+O25+O26+O27+O28+O29</f>
        <v/>
      </c>
      <c r="P30" s="24">
        <f>P24+P25+P26+P27+P28+P29</f>
        <v/>
      </c>
      <c r="Q30" s="24">
        <f>Q24+Q25+Q26+Q27+Q28+Q29</f>
        <v/>
      </c>
      <c r="R30" s="24">
        <f>R24+R25+R26+R27+R28+R29</f>
        <v/>
      </c>
      <c r="S30" s="24">
        <f>S24+S25+S26+S27+S28+S29</f>
        <v/>
      </c>
      <c r="T30" s="24">
        <f>T24+T25+T26+T27+T28+T29</f>
        <v/>
      </c>
      <c r="U30" s="24">
        <f>U24+U25+U26+U27+U28+U29</f>
        <v/>
      </c>
      <c r="V30" s="24">
        <f>V24+V25+V26+V27+V28+V29</f>
        <v/>
      </c>
      <c r="W30" s="24">
        <f>W24+W25+W26+W27+W28+W29</f>
        <v/>
      </c>
      <c r="X30" s="24">
        <f>X24+X25+X26+X27+X28+X29</f>
        <v/>
      </c>
      <c r="Y30" s="24">
        <f>Y24+Y25+Y26+Y27+Y28+Y29</f>
        <v/>
      </c>
      <c r="Z30" s="24">
        <f>Z24+Z25+Z26+Z27+Z28+Z29</f>
        <v/>
      </c>
      <c r="AA30" s="24">
        <f>AA24+AA25+AA26+AA27+AA28+AA29</f>
        <v/>
      </c>
      <c r="AB30" s="24">
        <f>AB24+AB25+AB26+AB27+AB28+AB29</f>
        <v/>
      </c>
      <c r="AC30" s="24">
        <f>AC24+AC25+AC26+AC27+AC28+AC29</f>
        <v/>
      </c>
      <c r="AD30" s="24">
        <f>AD24+AD25+AD26+AD27+AD28+AD29</f>
        <v/>
      </c>
      <c r="AE30" s="24">
        <f>AE24+AE25+AE26+AE27+AE28+AE29</f>
        <v/>
      </c>
      <c r="AF30" s="24">
        <f>AF24+AF25+AF26+AF27+AF28+AF29</f>
        <v/>
      </c>
      <c r="AG30" s="24">
        <f>AG24+AG25+AG26+AG27+AG28+AG29</f>
        <v/>
      </c>
      <c r="AH30" s="24">
        <f>AH24+AH25+AH26+AH27+AH28+AH29</f>
        <v/>
      </c>
      <c r="AI30" s="24">
        <f>AI24+AI25+AI26+AI27+AI28+AI29</f>
        <v/>
      </c>
      <c r="AJ30" s="24">
        <f>AJ24+AJ25+AJ26+AJ27+AJ28+AJ29</f>
        <v/>
      </c>
      <c r="AK30" s="11">
        <f>IF(N30&lt;&gt;0,(AB30-N30)/ABS(N30),0)</f>
        <v/>
      </c>
      <c r="AL30" s="11">
        <f>IF(AB30&lt;&gt;0,(AJ30-AB30)/ABS(AB30),0)</f>
        <v/>
      </c>
    </row>
    <row r="31" ht="5" customHeight="1"/>
    <row r="32" ht="13" customHeight="1">
      <c r="A32" s="14" t="inlineStr">
        <is>
          <t>Premises &amp; Admin</t>
        </is>
      </c>
    </row>
    <row r="33" ht="13" customHeight="1">
      <c r="A33" s="25" t="inlineStr">
        <is>
          <t xml:space="preserve">    Rent</t>
        </is>
      </c>
      <c r="B33" s="26" t="n">
        <v>352.17</v>
      </c>
      <c r="C33" s="26" t="n">
        <v>352.17</v>
      </c>
      <c r="D33" s="26" t="n">
        <v>352.17</v>
      </c>
      <c r="E33" s="26" t="n">
        <v>352.17</v>
      </c>
      <c r="F33" s="26" t="n">
        <v>352.16</v>
      </c>
      <c r="G33" s="26" t="n">
        <v>352.17</v>
      </c>
      <c r="H33" s="26" t="n">
        <v>352.17</v>
      </c>
      <c r="I33" s="26" t="n">
        <v>352.17</v>
      </c>
      <c r="J33" s="26" t="n">
        <v>352.16</v>
      </c>
      <c r="K33" s="26" t="n">
        <v>352.17</v>
      </c>
      <c r="L33" s="26" t="n">
        <v>352.17</v>
      </c>
      <c r="M33" s="26" t="n">
        <v>352.17</v>
      </c>
      <c r="N33" s="26">
        <f>SUM(B33:M33)</f>
        <v/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  <c r="AA33" s="26">
        <f>SUM(O33:U33)</f>
        <v/>
      </c>
      <c r="AB33" s="26">
        <f>SUM(O33:Z33)</f>
        <v/>
      </c>
      <c r="AC33" s="26" t="n">
        <v>0</v>
      </c>
      <c r="AD33" s="26" t="n">
        <v>0</v>
      </c>
      <c r="AE33" s="26" t="n">
        <v>0</v>
      </c>
      <c r="AF33" s="26" t="n">
        <v>0</v>
      </c>
      <c r="AG33" s="26" t="n">
        <v>0</v>
      </c>
      <c r="AH33" s="26" t="n">
        <v>0</v>
      </c>
      <c r="AI33" s="34">
        <f>SUM(AC33:AH33)</f>
        <v/>
      </c>
      <c r="AJ33" s="26">
        <f>SUM(AC33:AH33)+AI33</f>
        <v/>
      </c>
      <c r="AK33" s="11">
        <f>IF(N33&lt;&gt;0,(AB33-N33)/ABS(N33),0)</f>
        <v/>
      </c>
      <c r="AL33" s="11">
        <f>IF(AB33&lt;&gt;0,(AJ33-AB33)/ABS(AB33),0)</f>
        <v/>
      </c>
    </row>
    <row r="34" ht="13" customHeight="1">
      <c r="A34" s="25" t="inlineStr">
        <is>
          <t xml:space="preserve">    Business Rates</t>
        </is>
      </c>
      <c r="B34" s="26" t="n">
        <v>336.83</v>
      </c>
      <c r="C34" s="26" t="n">
        <v>336.83</v>
      </c>
      <c r="D34" s="26" t="n">
        <v>336.83</v>
      </c>
      <c r="E34" s="26" t="n">
        <v>336.83</v>
      </c>
      <c r="F34" s="26" t="n">
        <v>336.82</v>
      </c>
      <c r="G34" s="26" t="n">
        <v>336.83</v>
      </c>
      <c r="H34" s="26" t="n">
        <v>336.83</v>
      </c>
      <c r="I34" s="26" t="n">
        <v>336.83</v>
      </c>
      <c r="J34" s="26" t="n">
        <v>336.83</v>
      </c>
      <c r="K34" s="26" t="n">
        <v>336.83</v>
      </c>
      <c r="L34" s="26" t="n">
        <v>336.83</v>
      </c>
      <c r="M34" s="26" t="n">
        <v>336.83</v>
      </c>
      <c r="N34" s="26">
        <f>SUM(B34:M34)</f>
        <v/>
      </c>
      <c r="O34" s="26" t="n">
        <v>0</v>
      </c>
      <c r="P34" s="26" t="n">
        <v>0</v>
      </c>
      <c r="Q34" s="26" t="n">
        <v>0</v>
      </c>
      <c r="R34" s="26" t="n">
        <v>0</v>
      </c>
      <c r="S34" s="26" t="n">
        <v>0</v>
      </c>
      <c r="T34" s="26" t="n">
        <v>0</v>
      </c>
      <c r="U34" s="26" t="n">
        <v>0</v>
      </c>
      <c r="AA34" s="26">
        <f>SUM(O34:U34)</f>
        <v/>
      </c>
      <c r="AB34" s="26">
        <f>SUM(O34:Z34)</f>
        <v/>
      </c>
      <c r="AC34" s="26" t="n">
        <v>459</v>
      </c>
      <c r="AD34" s="26" t="n">
        <v>459</v>
      </c>
      <c r="AE34" s="26" t="n">
        <v>459</v>
      </c>
      <c r="AF34" s="26" t="n">
        <v>459</v>
      </c>
      <c r="AG34" s="26" t="n">
        <v>459</v>
      </c>
      <c r="AH34" s="26" t="n">
        <v>459</v>
      </c>
      <c r="AI34" s="34">
        <f>SUM(AC34:AH34)</f>
        <v/>
      </c>
      <c r="AJ34" s="26">
        <f>SUM(AC34:AH34)+AI34</f>
        <v/>
      </c>
      <c r="AK34" s="11">
        <f>IF(N34&lt;&gt;0,(AB34-N34)/ABS(N34),0)</f>
        <v/>
      </c>
      <c r="AL34" s="11">
        <f>IF(AB34&lt;&gt;0,(AJ34-AB34)/ABS(AB34),0)</f>
        <v/>
      </c>
    </row>
    <row r="35" ht="13" customHeight="1">
      <c r="A35" s="25" t="inlineStr">
        <is>
          <t xml:space="preserve">    Utilities</t>
        </is>
      </c>
      <c r="B35" s="26" t="n">
        <v>33.48</v>
      </c>
      <c r="C35" s="26" t="n">
        <v>-23.92999999999999</v>
      </c>
      <c r="D35" s="26" t="n">
        <v>0</v>
      </c>
      <c r="E35" s="26" t="n">
        <v>0</v>
      </c>
      <c r="F35" s="26" t="n">
        <v>-219.14</v>
      </c>
      <c r="G35" s="26" t="n">
        <v>27.29</v>
      </c>
      <c r="H35" s="26" t="n">
        <v>26.41</v>
      </c>
      <c r="I35" s="26" t="n">
        <v>27.29</v>
      </c>
      <c r="J35" s="26" t="n">
        <v>26.05</v>
      </c>
      <c r="K35" s="26" t="n">
        <v>213.56</v>
      </c>
      <c r="L35" s="26" t="n">
        <v>334.75</v>
      </c>
      <c r="M35" s="26" t="n">
        <v>-109.84</v>
      </c>
      <c r="N35" s="26">
        <f>SUM(B35:M35)</f>
        <v/>
      </c>
      <c r="O35" s="26" t="n">
        <v>0</v>
      </c>
      <c r="P35" s="26" t="n">
        <v>0</v>
      </c>
      <c r="Q35" s="26" t="n">
        <v>0</v>
      </c>
      <c r="R35" s="26" t="n">
        <v>0</v>
      </c>
      <c r="S35" s="26" t="n">
        <v>0</v>
      </c>
      <c r="T35" s="26" t="n">
        <v>0</v>
      </c>
      <c r="U35" s="26" t="n">
        <v>0</v>
      </c>
      <c r="AA35" s="26">
        <f>SUM(O35:U35)</f>
        <v/>
      </c>
      <c r="AB35" s="26">
        <f>SUM(O35:Z35)</f>
        <v/>
      </c>
      <c r="AC35" s="26" t="n">
        <v>260</v>
      </c>
      <c r="AD35" s="26" t="n">
        <v>260</v>
      </c>
      <c r="AE35" s="26" t="n">
        <v>260</v>
      </c>
      <c r="AF35" s="26" t="n">
        <v>260</v>
      </c>
      <c r="AG35" s="26" t="n">
        <v>260</v>
      </c>
      <c r="AH35" s="26" t="n">
        <v>260</v>
      </c>
      <c r="AI35" s="34">
        <f>SUM(AC35:AH35)</f>
        <v/>
      </c>
      <c r="AJ35" s="26">
        <f>SUM(AC35:AH35)+AI35</f>
        <v/>
      </c>
      <c r="AK35" s="11">
        <f>IF(N35&lt;&gt;0,(AB35-N35)/ABS(N35),0)</f>
        <v/>
      </c>
      <c r="AL35" s="11">
        <f>IF(AB35&lt;&gt;0,(AJ35-AB35)/ABS(AB35),0)</f>
        <v/>
      </c>
    </row>
    <row r="36" ht="13" customHeight="1">
      <c r="A36" s="25" t="inlineStr">
        <is>
          <t xml:space="preserve">    Repairs &amp; Maintenance</t>
        </is>
      </c>
      <c r="B36" s="26" t="n">
        <v>0</v>
      </c>
      <c r="C36" s="26" t="n">
        <v>0</v>
      </c>
      <c r="D36" s="26" t="n">
        <v>0</v>
      </c>
      <c r="E36" s="26" t="n">
        <v>0</v>
      </c>
      <c r="F36" s="26" t="n">
        <v>0</v>
      </c>
      <c r="G36" s="26" t="n">
        <v>8439.74</v>
      </c>
      <c r="H36" s="26" t="n">
        <v>3019.400000000001</v>
      </c>
      <c r="I36" s="26" t="n">
        <v>850.47</v>
      </c>
      <c r="J36" s="26" t="n">
        <v>185.01</v>
      </c>
      <c r="K36" s="26" t="n">
        <v>0</v>
      </c>
      <c r="L36" s="26" t="n">
        <v>0</v>
      </c>
      <c r="M36" s="26" t="n">
        <v>108</v>
      </c>
      <c r="N36" s="26">
        <f>SUM(B36:M36)</f>
        <v/>
      </c>
      <c r="O36" s="26" t="n">
        <v>0</v>
      </c>
      <c r="P36" s="26" t="n">
        <v>0</v>
      </c>
      <c r="Q36" s="26" t="n">
        <v>0</v>
      </c>
      <c r="R36" s="26" t="n">
        <v>0</v>
      </c>
      <c r="S36" s="26" t="n">
        <v>0</v>
      </c>
      <c r="T36" s="26" t="n">
        <v>0</v>
      </c>
      <c r="U36" s="26" t="n">
        <v>0</v>
      </c>
      <c r="AA36" s="26">
        <f>SUM(O36:U36)</f>
        <v/>
      </c>
      <c r="AB36" s="26">
        <f>SUM(O36:Z36)</f>
        <v/>
      </c>
      <c r="AC36" s="26" t="n">
        <v>0</v>
      </c>
      <c r="AD36" s="26" t="n">
        <v>0</v>
      </c>
      <c r="AE36" s="26" t="n">
        <v>0</v>
      </c>
      <c r="AF36" s="26" t="n">
        <v>0</v>
      </c>
      <c r="AG36" s="26" t="n">
        <v>0</v>
      </c>
      <c r="AH36" s="26" t="n">
        <v>0</v>
      </c>
      <c r="AI36" s="34">
        <f>SUM(AC36:AH36)</f>
        <v/>
      </c>
      <c r="AJ36" s="26">
        <f>SUM(AC36:AH36)+AI36</f>
        <v/>
      </c>
      <c r="AK36" s="11">
        <f>IF(N36&lt;&gt;0,(AB36-N36)/ABS(N36),0)</f>
        <v/>
      </c>
      <c r="AL36" s="11">
        <f>IF(AB36&lt;&gt;0,(AJ36-AB36)/ABS(AB36),0)</f>
        <v/>
      </c>
    </row>
    <row r="37" ht="13" customHeight="1">
      <c r="A37" s="25" t="inlineStr">
        <is>
          <t xml:space="preserve">    Cleaning</t>
        </is>
      </c>
      <c r="B37" s="26" t="n">
        <v>0</v>
      </c>
      <c r="C37" s="26" t="n">
        <v>0</v>
      </c>
      <c r="D37" s="26" t="n">
        <v>0</v>
      </c>
      <c r="E37" s="26" t="n">
        <v>0</v>
      </c>
      <c r="F37" s="26" t="n">
        <v>0</v>
      </c>
      <c r="G37" s="26" t="n">
        <v>0</v>
      </c>
      <c r="H37" s="26" t="n">
        <v>0</v>
      </c>
      <c r="I37" s="26" t="n">
        <v>0</v>
      </c>
      <c r="J37" s="26" t="n">
        <v>157.02</v>
      </c>
      <c r="K37" s="26" t="n">
        <v>0</v>
      </c>
      <c r="L37" s="26" t="n">
        <v>0</v>
      </c>
      <c r="M37" s="26" t="n">
        <v>0</v>
      </c>
      <c r="N37" s="26">
        <f>SUM(B37:M37)</f>
        <v/>
      </c>
      <c r="O37" s="26" t="n">
        <v>0</v>
      </c>
      <c r="P37" s="26" t="n">
        <v>0</v>
      </c>
      <c r="Q37" s="26" t="n">
        <v>0</v>
      </c>
      <c r="R37" s="26" t="n">
        <v>0</v>
      </c>
      <c r="S37" s="26" t="n">
        <v>0</v>
      </c>
      <c r="T37" s="26" t="n">
        <v>0</v>
      </c>
      <c r="U37" s="26" t="n">
        <v>0</v>
      </c>
      <c r="AA37" s="26">
        <f>SUM(O37:U37)</f>
        <v/>
      </c>
      <c r="AB37" s="26">
        <f>SUM(O37:Z37)</f>
        <v/>
      </c>
      <c r="AC37" s="26" t="n">
        <v>160</v>
      </c>
      <c r="AD37" s="26" t="n">
        <v>160</v>
      </c>
      <c r="AE37" s="26" t="n">
        <v>160</v>
      </c>
      <c r="AF37" s="26" t="n">
        <v>160</v>
      </c>
      <c r="AG37" s="26" t="n">
        <v>160</v>
      </c>
      <c r="AH37" s="26" t="n">
        <v>160</v>
      </c>
      <c r="AI37" s="34">
        <f>SUM(AC37:AH37)</f>
        <v/>
      </c>
      <c r="AJ37" s="26">
        <f>SUM(AC37:AH37)+AI37</f>
        <v/>
      </c>
      <c r="AK37" s="11">
        <f>IF(N37&lt;&gt;0,(AB37-N37)/ABS(N37),0)</f>
        <v/>
      </c>
      <c r="AL37" s="11">
        <f>IF(AB37&lt;&gt;0,(AJ37-AB37)/ABS(AB37),0)</f>
        <v/>
      </c>
    </row>
    <row r="38" ht="13" customHeight="1">
      <c r="A38" s="25" t="inlineStr">
        <is>
          <t xml:space="preserve">    Waste Disposal</t>
        </is>
      </c>
      <c r="B38" s="26" t="n">
        <v>0</v>
      </c>
      <c r="C38" s="26" t="n">
        <v>0</v>
      </c>
      <c r="D38" s="26" t="n">
        <v>0</v>
      </c>
      <c r="E38" s="26" t="n">
        <v>0</v>
      </c>
      <c r="F38" s="26" t="n">
        <v>0</v>
      </c>
      <c r="G38" s="26" t="n">
        <v>0</v>
      </c>
      <c r="H38" s="26" t="n">
        <v>0</v>
      </c>
      <c r="I38" s="26" t="n">
        <v>0</v>
      </c>
      <c r="J38" s="26" t="n">
        <v>469.6</v>
      </c>
      <c r="K38" s="26" t="n">
        <v>129.62</v>
      </c>
      <c r="L38" s="26" t="n">
        <v>323.75</v>
      </c>
      <c r="M38" s="26" t="n">
        <v>335.15</v>
      </c>
      <c r="N38" s="26">
        <f>SUM(B38:M38)</f>
        <v/>
      </c>
      <c r="O38" s="26" t="n">
        <v>0</v>
      </c>
      <c r="P38" s="26" t="n">
        <v>0</v>
      </c>
      <c r="Q38" s="26" t="n">
        <v>0</v>
      </c>
      <c r="R38" s="26" t="n">
        <v>0</v>
      </c>
      <c r="S38" s="26" t="n">
        <v>0</v>
      </c>
      <c r="T38" s="26" t="n">
        <v>0</v>
      </c>
      <c r="U38" s="26" t="n">
        <v>0</v>
      </c>
      <c r="AA38" s="26">
        <f>SUM(O38:U38)</f>
        <v/>
      </c>
      <c r="AB38" s="26">
        <f>SUM(O38:Z38)</f>
        <v/>
      </c>
      <c r="AC38" s="26" t="n">
        <v>200</v>
      </c>
      <c r="AD38" s="26" t="n">
        <v>200</v>
      </c>
      <c r="AE38" s="26" t="n">
        <v>200</v>
      </c>
      <c r="AF38" s="26" t="n">
        <v>200</v>
      </c>
      <c r="AG38" s="26" t="n">
        <v>200</v>
      </c>
      <c r="AH38" s="26" t="n">
        <v>200</v>
      </c>
      <c r="AI38" s="34">
        <f>SUM(AC38:AH38)</f>
        <v/>
      </c>
      <c r="AJ38" s="26">
        <f>SUM(AC38:AH38)+AI38</f>
        <v/>
      </c>
      <c r="AK38" s="11">
        <f>IF(N38&lt;&gt;0,(AB38-N38)/ABS(N38),0)</f>
        <v/>
      </c>
      <c r="AL38" s="11">
        <f>IF(AB38&lt;&gt;0,(AJ38-AB38)/ABS(AB38),0)</f>
        <v/>
      </c>
    </row>
    <row r="39" ht="13" customHeight="1">
      <c r="A39" s="25" t="inlineStr">
        <is>
          <t xml:space="preserve">    Postage/Printing/Stationery</t>
        </is>
      </c>
      <c r="B39" s="26" t="n">
        <v>0</v>
      </c>
      <c r="C39" s="26" t="n">
        <v>0</v>
      </c>
      <c r="D39" s="26" t="n">
        <v>0</v>
      </c>
      <c r="E39" s="26" t="n">
        <v>0</v>
      </c>
      <c r="F39" s="26" t="n">
        <v>0</v>
      </c>
      <c r="G39" s="26" t="n">
        <v>0</v>
      </c>
      <c r="H39" s="26" t="n">
        <v>0</v>
      </c>
      <c r="I39" s="26" t="n">
        <v>227.2</v>
      </c>
      <c r="J39" s="26" t="n">
        <v>131.95</v>
      </c>
      <c r="K39" s="26" t="n">
        <v>0</v>
      </c>
      <c r="L39" s="26" t="n">
        <v>19.19</v>
      </c>
      <c r="M39" s="26" t="n">
        <v>0</v>
      </c>
      <c r="N39" s="26">
        <f>SUM(B39:M39)</f>
        <v/>
      </c>
      <c r="O39" s="26" t="n">
        <v>0</v>
      </c>
      <c r="P39" s="26" t="n">
        <v>0</v>
      </c>
      <c r="Q39" s="26" t="n">
        <v>0</v>
      </c>
      <c r="R39" s="26" t="n">
        <v>0</v>
      </c>
      <c r="S39" s="26" t="n">
        <v>0</v>
      </c>
      <c r="T39" s="26" t="n">
        <v>0</v>
      </c>
      <c r="U39" s="26" t="n">
        <v>0</v>
      </c>
      <c r="AA39" s="26">
        <f>SUM(O39:U39)</f>
        <v/>
      </c>
      <c r="AB39" s="26">
        <f>SUM(O39:Z39)</f>
        <v/>
      </c>
      <c r="AC39" s="26" t="n">
        <v>0</v>
      </c>
      <c r="AD39" s="26" t="n">
        <v>0</v>
      </c>
      <c r="AE39" s="26" t="n">
        <v>0</v>
      </c>
      <c r="AF39" s="26" t="n">
        <v>0</v>
      </c>
      <c r="AG39" s="26" t="n">
        <v>0</v>
      </c>
      <c r="AH39" s="26" t="n">
        <v>0</v>
      </c>
      <c r="AI39" s="34">
        <f>SUM(AC39:AH39)</f>
        <v/>
      </c>
      <c r="AJ39" s="26">
        <f>SUM(AC39:AH39)+AI39</f>
        <v/>
      </c>
      <c r="AK39" s="11">
        <f>IF(N39&lt;&gt;0,(AB39-N39)/ABS(N39),0)</f>
        <v/>
      </c>
      <c r="AL39" s="11">
        <f>IF(AB39&lt;&gt;0,(AJ39-AB39)/ABS(AB39),0)</f>
        <v/>
      </c>
    </row>
    <row r="40" ht="13" customHeight="1">
      <c r="A40" s="25" t="inlineStr">
        <is>
          <t xml:space="preserve">    Telephone</t>
        </is>
      </c>
      <c r="B40" s="26" t="n">
        <v>0</v>
      </c>
      <c r="C40" s="26" t="n">
        <v>0</v>
      </c>
      <c r="D40" s="26" t="n">
        <v>0</v>
      </c>
      <c r="E40" s="26" t="n">
        <v>0</v>
      </c>
      <c r="F40" s="26" t="n">
        <v>0</v>
      </c>
      <c r="G40" s="26" t="n">
        <v>0</v>
      </c>
      <c r="H40" s="26" t="n">
        <v>0</v>
      </c>
      <c r="I40" s="26" t="n">
        <v>0</v>
      </c>
      <c r="J40" s="26" t="n">
        <v>0</v>
      </c>
      <c r="K40" s="26" t="n">
        <v>10</v>
      </c>
      <c r="L40" s="26" t="n">
        <v>10</v>
      </c>
      <c r="M40" s="26" t="n">
        <v>10</v>
      </c>
      <c r="N40" s="26">
        <f>SUM(B40:M40)</f>
        <v/>
      </c>
      <c r="O40" s="26" t="n">
        <v>0</v>
      </c>
      <c r="P40" s="26" t="n">
        <v>0</v>
      </c>
      <c r="Q40" s="26" t="n">
        <v>0</v>
      </c>
      <c r="R40" s="26" t="n">
        <v>0</v>
      </c>
      <c r="S40" s="26" t="n">
        <v>0</v>
      </c>
      <c r="T40" s="26" t="n">
        <v>0</v>
      </c>
      <c r="U40" s="26" t="n">
        <v>0</v>
      </c>
      <c r="AA40" s="26">
        <f>SUM(O40:U40)</f>
        <v/>
      </c>
      <c r="AB40" s="26">
        <f>SUM(O40:Z40)</f>
        <v/>
      </c>
      <c r="AC40" s="26" t="n">
        <v>10</v>
      </c>
      <c r="AD40" s="26" t="n">
        <v>10</v>
      </c>
      <c r="AE40" s="26" t="n">
        <v>10</v>
      </c>
      <c r="AF40" s="26" t="n">
        <v>10</v>
      </c>
      <c r="AG40" s="26" t="n">
        <v>10</v>
      </c>
      <c r="AH40" s="26" t="n">
        <v>10</v>
      </c>
      <c r="AI40" s="34">
        <f>SUM(AC40:AH40)</f>
        <v/>
      </c>
      <c r="AJ40" s="26">
        <f>SUM(AC40:AH40)+AI40</f>
        <v/>
      </c>
      <c r="AK40" s="11">
        <f>IF(N40&lt;&gt;0,(AB40-N40)/ABS(N40),0)</f>
        <v/>
      </c>
      <c r="AL40" s="11">
        <f>IF(AB40&lt;&gt;0,(AJ40-AB40)/ABS(AB40),0)</f>
        <v/>
      </c>
    </row>
    <row r="41" ht="13" customHeight="1">
      <c r="A41" s="25" t="inlineStr">
        <is>
          <t xml:space="preserve">    Marketing</t>
        </is>
      </c>
      <c r="B41" s="26" t="n">
        <v>0</v>
      </c>
      <c r="C41" s="26" t="n">
        <v>0</v>
      </c>
      <c r="D41" s="26" t="n">
        <v>0</v>
      </c>
      <c r="E41" s="26" t="n">
        <v>0</v>
      </c>
      <c r="F41" s="26" t="n">
        <v>0</v>
      </c>
      <c r="G41" s="26" t="n">
        <v>0</v>
      </c>
      <c r="H41" s="26" t="n">
        <v>0</v>
      </c>
      <c r="I41" s="26" t="n">
        <v>348</v>
      </c>
      <c r="J41" s="26" t="n">
        <v>0</v>
      </c>
      <c r="K41" s="26" t="n">
        <v>0</v>
      </c>
      <c r="L41" s="26" t="n">
        <v>0</v>
      </c>
      <c r="M41" s="26" t="n">
        <v>0</v>
      </c>
      <c r="N41" s="26">
        <f>SUM(B41:M41)</f>
        <v/>
      </c>
      <c r="O41" s="26" t="n">
        <v>0</v>
      </c>
      <c r="P41" s="26" t="n">
        <v>0</v>
      </c>
      <c r="Q41" s="26" t="n">
        <v>0</v>
      </c>
      <c r="R41" s="26" t="n">
        <v>0</v>
      </c>
      <c r="S41" s="26" t="n">
        <v>0</v>
      </c>
      <c r="T41" s="26" t="n">
        <v>0</v>
      </c>
      <c r="U41" s="26" t="n">
        <v>0</v>
      </c>
      <c r="AA41" s="26">
        <f>SUM(O41:U41)</f>
        <v/>
      </c>
      <c r="AB41" s="26">
        <f>SUM(O41:Z41)</f>
        <v/>
      </c>
      <c r="AC41" s="26" t="n">
        <v>100</v>
      </c>
      <c r="AD41" s="26" t="n">
        <v>100</v>
      </c>
      <c r="AE41" s="26" t="n">
        <v>100</v>
      </c>
      <c r="AF41" s="26" t="n">
        <v>100</v>
      </c>
      <c r="AG41" s="26" t="n">
        <v>100</v>
      </c>
      <c r="AH41" s="26" t="n">
        <v>100</v>
      </c>
      <c r="AI41" s="34">
        <f>SUM(AC41:AH41)</f>
        <v/>
      </c>
      <c r="AJ41" s="26">
        <f>SUM(AC41:AH41)+AI41</f>
        <v/>
      </c>
      <c r="AK41" s="11">
        <f>IF(N41&lt;&gt;0,(AB41-N41)/ABS(N41),0)</f>
        <v/>
      </c>
      <c r="AL41" s="11">
        <f>IF(AB41&lt;&gt;0,(AJ41-AB41)/ABS(AB41),0)</f>
        <v/>
      </c>
    </row>
    <row r="42" ht="13" customHeight="1">
      <c r="A42" s="27" t="inlineStr">
        <is>
          <t>Total Premises &amp; Admin</t>
        </is>
      </c>
      <c r="B42" s="28">
        <f>B33+B34+B35+B36+B37+B38+B39+B40+B41</f>
        <v/>
      </c>
      <c r="C42" s="28">
        <f>C33+C34+C35+C36+C37+C38+C39+C40+C41</f>
        <v/>
      </c>
      <c r="D42" s="28">
        <f>D33+D34+D35+D36+D37+D38+D39+D40+D41</f>
        <v/>
      </c>
      <c r="E42" s="28">
        <f>E33+E34+E35+E36+E37+E38+E39+E40+E41</f>
        <v/>
      </c>
      <c r="F42" s="28">
        <f>F33+F34+F35+F36+F37+F38+F39+F40+F41</f>
        <v/>
      </c>
      <c r="G42" s="28">
        <f>G33+G34+G35+G36+G37+G38+G39+G40+G41</f>
        <v/>
      </c>
      <c r="H42" s="28">
        <f>H33+H34+H35+H36+H37+H38+H39+H40+H41</f>
        <v/>
      </c>
      <c r="I42" s="28">
        <f>I33+I34+I35+I36+I37+I38+I39+I40+I41</f>
        <v/>
      </c>
      <c r="J42" s="28">
        <f>J33+J34+J35+J36+J37+J38+J39+J40+J41</f>
        <v/>
      </c>
      <c r="K42" s="28">
        <f>K33+K34+K35+K36+K37+K38+K39+K40+K41</f>
        <v/>
      </c>
      <c r="L42" s="28">
        <f>L33+L34+L35+L36+L37+L38+L39+L40+L41</f>
        <v/>
      </c>
      <c r="M42" s="28">
        <f>M33+M34+M35+M36+M37+M38+M39+M40+M41</f>
        <v/>
      </c>
      <c r="N42" s="28">
        <f>N33+N34+N35+N36+N37+N38+N39+N40+N41</f>
        <v/>
      </c>
      <c r="O42" s="28">
        <f>O33+O34+O35+O36+O37+O38+O39+O40+O41</f>
        <v/>
      </c>
      <c r="P42" s="28">
        <f>P33+P34+P35+P36+P37+P38+P39+P40+P41</f>
        <v/>
      </c>
      <c r="Q42" s="28">
        <f>Q33+Q34+Q35+Q36+Q37+Q38+Q39+Q40+Q41</f>
        <v/>
      </c>
      <c r="R42" s="28">
        <f>R33+R34+R35+R36+R37+R38+R39+R40+R41</f>
        <v/>
      </c>
      <c r="S42" s="28">
        <f>S33+S34+S35+S36+S37+S38+S39+S40+S41</f>
        <v/>
      </c>
      <c r="T42" s="28">
        <f>T33+T34+T35+T36+T37+T38+T39+T40+T41</f>
        <v/>
      </c>
      <c r="U42" s="28">
        <f>U33+U34+U35+U36+U37+U38+U39+U40+U41</f>
        <v/>
      </c>
      <c r="V42" s="28">
        <f>V33+V34+V35+V36+V37+V38+V39+V40+V41</f>
        <v/>
      </c>
      <c r="W42" s="28">
        <f>W33+W34+W35+W36+W37+W38+W39+W40+W41</f>
        <v/>
      </c>
      <c r="X42" s="28">
        <f>X33+X34+X35+X36+X37+X38+X39+X40+X41</f>
        <v/>
      </c>
      <c r="Y42" s="28">
        <f>Y33+Y34+Y35+Y36+Y37+Y38+Y39+Y40+Y41</f>
        <v/>
      </c>
      <c r="Z42" s="28">
        <f>Z33+Z34+Z35+Z36+Z37+Z38+Z39+Z40+Z41</f>
        <v/>
      </c>
      <c r="AA42" s="28">
        <f>AA33+AA34+AA35+AA36+AA37+AA38+AA39+AA40+AA41</f>
        <v/>
      </c>
      <c r="AB42" s="28">
        <f>AB33+AB34+AB35+AB36+AB37+AB38+AB39+AB40+AB41</f>
        <v/>
      </c>
      <c r="AC42" s="28">
        <f>AC33+AC34+AC35+AC36+AC37+AC38+AC39+AC40+AC41</f>
        <v/>
      </c>
      <c r="AD42" s="28">
        <f>AD33+AD34+AD35+AD36+AD37+AD38+AD39+AD40+AD41</f>
        <v/>
      </c>
      <c r="AE42" s="28">
        <f>AE33+AE34+AE35+AE36+AE37+AE38+AE39+AE40+AE41</f>
        <v/>
      </c>
      <c r="AF42" s="28">
        <f>AF33+AF34+AF35+AF36+AF37+AF38+AF39+AF40+AF41</f>
        <v/>
      </c>
      <c r="AG42" s="28">
        <f>AG33+AG34+AG35+AG36+AG37+AG38+AG39+AG40+AG41</f>
        <v/>
      </c>
      <c r="AH42" s="28">
        <f>AH33+AH34+AH35+AH36+AH37+AH38+AH39+AH40+AH41</f>
        <v/>
      </c>
      <c r="AI42" s="28">
        <f>AI33+AI34+AI35+AI36+AI37+AI38+AI39+AI40+AI41</f>
        <v/>
      </c>
      <c r="AJ42" s="28">
        <f>AJ33+AJ34+AJ35+AJ36+AJ37+AJ38+AJ39+AJ40+AJ41</f>
        <v/>
      </c>
      <c r="AK42" s="11">
        <f>IF(N42&lt;&gt;0,(AB42-N42)/ABS(N42),0)</f>
        <v/>
      </c>
      <c r="AL42" s="11">
        <f>IF(AB42&lt;&gt;0,(AJ42-AB42)/ABS(AB42),0)</f>
        <v/>
      </c>
    </row>
    <row r="43" ht="5" customHeight="1"/>
    <row r="44" ht="13" customHeight="1">
      <c r="A44" s="29" t="inlineStr">
        <is>
          <t>Total Direct Costs</t>
        </is>
      </c>
      <c r="AK44" s="11">
        <f>IF(N44&lt;&gt;0,(AB44-N44)/ABS(N44),0)</f>
        <v/>
      </c>
      <c r="AL44" s="11">
        <f>IF(AB44&lt;&gt;0,(AJ44-AB44)/ABS(AB44),0)</f>
        <v/>
      </c>
    </row>
    <row r="45" ht="5" customHeight="1"/>
    <row r="46" ht="15" customHeight="1">
      <c r="A46" s="30" t="inlineStr">
        <is>
          <t>CONTRIBUTION</t>
        </is>
      </c>
      <c r="B46" s="31">
        <f>B7-B44</f>
        <v/>
      </c>
      <c r="C46" s="31">
        <f>C7-C44</f>
        <v/>
      </c>
      <c r="D46" s="31">
        <f>D7-D44</f>
        <v/>
      </c>
      <c r="E46" s="31">
        <f>E7-E44</f>
        <v/>
      </c>
      <c r="F46" s="31">
        <f>F7-F44</f>
        <v/>
      </c>
      <c r="G46" s="31">
        <f>G7-G44</f>
        <v/>
      </c>
      <c r="H46" s="31">
        <f>H7-H44</f>
        <v/>
      </c>
      <c r="I46" s="31">
        <f>I7-I44</f>
        <v/>
      </c>
      <c r="J46" s="31">
        <f>J7-J44</f>
        <v/>
      </c>
      <c r="K46" s="31">
        <f>K7-K44</f>
        <v/>
      </c>
      <c r="L46" s="31">
        <f>L7-L44</f>
        <v/>
      </c>
      <c r="M46" s="31">
        <f>M7-M44</f>
        <v/>
      </c>
      <c r="N46" s="31">
        <f>N7-N44</f>
        <v/>
      </c>
      <c r="O46" s="31">
        <f>O7-O44</f>
        <v/>
      </c>
      <c r="P46" s="31">
        <f>P7-P44</f>
        <v/>
      </c>
      <c r="Q46" s="31">
        <f>Q7-Q44</f>
        <v/>
      </c>
      <c r="R46" s="31">
        <f>R7-R44</f>
        <v/>
      </c>
      <c r="S46" s="31">
        <f>S7-S44</f>
        <v/>
      </c>
      <c r="T46" s="31">
        <f>T7-T44</f>
        <v/>
      </c>
      <c r="U46" s="31">
        <f>U7-U44</f>
        <v/>
      </c>
      <c r="V46" s="31">
        <f>V7-V44</f>
        <v/>
      </c>
      <c r="W46" s="31">
        <f>W7-W44</f>
        <v/>
      </c>
      <c r="X46" s="31">
        <f>X7-X44</f>
        <v/>
      </c>
      <c r="Y46" s="31">
        <f>Y7-Y44</f>
        <v/>
      </c>
      <c r="Z46" s="31">
        <f>Z7-Z44</f>
        <v/>
      </c>
      <c r="AA46" s="31">
        <f>AA7-AA44</f>
        <v/>
      </c>
      <c r="AB46" s="31">
        <f>AB7-AB44</f>
        <v/>
      </c>
      <c r="AC46" s="31">
        <f>AC7-AC44</f>
        <v/>
      </c>
      <c r="AD46" s="31">
        <f>AD7-AD44</f>
        <v/>
      </c>
      <c r="AE46" s="31">
        <f>AE7-AE44</f>
        <v/>
      </c>
      <c r="AF46" s="31">
        <f>AF7-AF44</f>
        <v/>
      </c>
      <c r="AG46" s="31">
        <f>AG7-AG44</f>
        <v/>
      </c>
      <c r="AH46" s="31">
        <f>AH7-AH44</f>
        <v/>
      </c>
      <c r="AI46" s="31">
        <f>AI7-AI44</f>
        <v/>
      </c>
      <c r="AJ46" s="31">
        <f>AJ7-AJ44</f>
        <v/>
      </c>
      <c r="AK46" s="11">
        <f>IF(N46&lt;&gt;0,(AB46-N46)/ABS(N46),0)</f>
        <v/>
      </c>
      <c r="AL46" s="11">
        <f>IF(AB46&lt;&gt;0,(AJ46-AB46)/ABS(AB46),0)</f>
        <v/>
      </c>
    </row>
  </sheetData>
  <mergeCells count="8">
    <mergeCell ref="A10:AL10"/>
    <mergeCell ref="B1:N1"/>
    <mergeCell ref="A23:AL23"/>
    <mergeCell ref="A32:AL32"/>
    <mergeCell ref="AC1:AJ1"/>
    <mergeCell ref="A9:AL9"/>
    <mergeCell ref="A3:AL3"/>
    <mergeCell ref="O1:AB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L4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9.5" customWidth="1" min="27" max="27"/>
    <col width="9.5" customWidth="1" min="28" max="28"/>
    <col width="9.5" customWidth="1" min="29" max="29"/>
    <col width="9.5" customWidth="1" min="30" max="30"/>
    <col width="9.5" customWidth="1" min="31" max="31"/>
    <col width="9.5" customWidth="1" min="32" max="32"/>
    <col width="9.5" customWidth="1" min="33" max="33"/>
    <col width="9.5" customWidth="1" min="34" max="34"/>
    <col width="9.5" customWidth="1" min="35" max="35"/>
    <col width="11" customWidth="1" min="36" max="36"/>
    <col width="10" customWidth="1" min="37" max="37"/>
    <col width="10" customWidth="1" min="38" max="38"/>
  </cols>
  <sheetData>
    <row r="1" ht="18" customHeight="1">
      <c r="A1" s="1" t="inlineStr">
        <is>
          <t>Happitots</t>
        </is>
      </c>
      <c r="B1" s="2" t="inlineStr">
        <is>
          <t>Actuals 2025</t>
        </is>
      </c>
      <c r="O1" s="2" t="inlineStr">
        <is>
          <t>2026 Actual / Forecast</t>
        </is>
      </c>
      <c r="AC1" s="32" t="inlineStr">
        <is>
          <t>2027 Plan</t>
        </is>
      </c>
      <c r="AK1" s="3" t="inlineStr">
        <is>
          <t>YoY</t>
        </is>
      </c>
      <c r="AL1" s="3" t="inlineStr">
        <is>
          <t>YoY</t>
        </is>
      </c>
    </row>
    <row r="2" ht="22" customHeight="1">
      <c r="B2" s="4" t="inlineStr">
        <is>
          <t>Jan</t>
        </is>
      </c>
      <c r="C2" s="4" t="inlineStr">
        <is>
          <t>Feb</t>
        </is>
      </c>
      <c r="D2" s="4" t="inlineStr">
        <is>
          <t>Mar</t>
        </is>
      </c>
      <c r="E2" s="4" t="inlineStr">
        <is>
          <t>Apr</t>
        </is>
      </c>
      <c r="F2" s="4" t="inlineStr">
        <is>
          <t>May</t>
        </is>
      </c>
      <c r="G2" s="4" t="inlineStr">
        <is>
          <t>Jun</t>
        </is>
      </c>
      <c r="H2" s="4" t="inlineStr">
        <is>
          <t>Jul</t>
        </is>
      </c>
      <c r="I2" s="4" t="inlineStr">
        <is>
          <t>Aug</t>
        </is>
      </c>
      <c r="J2" s="4" t="inlineStr">
        <is>
          <t>Sep</t>
        </is>
      </c>
      <c r="K2" s="4" t="inlineStr">
        <is>
          <t>Oct</t>
        </is>
      </c>
      <c r="L2" s="4" t="inlineStr">
        <is>
          <t>Nov</t>
        </is>
      </c>
      <c r="M2" s="4" t="inlineStr">
        <is>
          <t>Dec</t>
        </is>
      </c>
      <c r="N2" s="5" t="inlineStr">
        <is>
          <t>FY2025
Total</t>
        </is>
      </c>
      <c r="O2" s="4" t="inlineStr">
        <is>
          <t>Jan</t>
        </is>
      </c>
      <c r="P2" s="4" t="inlineStr">
        <is>
          <t>Feb</t>
        </is>
      </c>
      <c r="Q2" s="4" t="inlineStr">
        <is>
          <t>Mar</t>
        </is>
      </c>
      <c r="R2" s="4" t="inlineStr">
        <is>
          <t>Apr</t>
        </is>
      </c>
      <c r="S2" s="4" t="inlineStr">
        <is>
          <t>May</t>
        </is>
      </c>
      <c r="T2" s="4" t="inlineStr">
        <is>
          <t>Jun</t>
        </is>
      </c>
      <c r="U2" s="4" t="inlineStr">
        <is>
          <t>Jul</t>
        </is>
      </c>
      <c r="V2" s="4" t="inlineStr">
        <is>
          <t>Aug</t>
        </is>
      </c>
      <c r="W2" s="4" t="inlineStr">
        <is>
          <t>Sep</t>
        </is>
      </c>
      <c r="X2" s="4" t="inlineStr">
        <is>
          <t>Oct</t>
        </is>
      </c>
      <c r="Y2" s="4" t="inlineStr">
        <is>
          <t>Nov</t>
        </is>
      </c>
      <c r="Z2" s="4" t="inlineStr">
        <is>
          <t>Dec</t>
        </is>
      </c>
      <c r="AA2" s="4" t="inlineStr">
        <is>
          <t>YTD</t>
        </is>
      </c>
      <c r="AB2" s="5" t="inlineStr">
        <is>
          <t>FY2026
Outlook</t>
        </is>
      </c>
      <c r="AC2" s="4" t="inlineStr">
        <is>
          <t>Jan</t>
        </is>
      </c>
      <c r="AD2" s="4" t="inlineStr">
        <is>
          <t>Feb</t>
        </is>
      </c>
      <c r="AE2" s="4" t="inlineStr">
        <is>
          <t>Mar</t>
        </is>
      </c>
      <c r="AF2" s="4" t="inlineStr">
        <is>
          <t>Apr</t>
        </is>
      </c>
      <c r="AG2" s="4" t="inlineStr">
        <is>
          <t>May</t>
        </is>
      </c>
      <c r="AH2" s="4" t="inlineStr">
        <is>
          <t>Jun</t>
        </is>
      </c>
      <c r="AI2" s="33" t="inlineStr">
        <is>
          <t>Jul-Dec
Plan</t>
        </is>
      </c>
      <c r="AJ2" s="4" t="inlineStr">
        <is>
          <t>FY2027</t>
        </is>
      </c>
      <c r="AK2" s="6" t="inlineStr">
        <is>
          <t>25→26
%</t>
        </is>
      </c>
      <c r="AL2" s="6" t="inlineStr">
        <is>
          <t>26→27
%</t>
        </is>
      </c>
    </row>
    <row r="3" ht="15" customHeight="1">
      <c r="A3" s="7" t="inlineStr">
        <is>
          <t>INCOME</t>
        </is>
      </c>
    </row>
    <row r="4" ht="13" customHeight="1">
      <c r="A4" s="8" t="inlineStr">
        <is>
          <t xml:space="preserve">    Fee Income Regular</t>
        </is>
      </c>
      <c r="B4" s="9" t="n">
        <v>45921.31</v>
      </c>
      <c r="C4" s="9" t="n">
        <v>38098.84</v>
      </c>
      <c r="D4" s="9" t="n">
        <v>46565.41</v>
      </c>
      <c r="E4" s="9" t="n">
        <v>57238.21</v>
      </c>
      <c r="F4" s="9" t="n">
        <v>49192.7</v>
      </c>
      <c r="G4" s="9" t="n">
        <v>46788.82</v>
      </c>
      <c r="H4" s="9" t="n">
        <v>62639.28</v>
      </c>
      <c r="I4" s="9" t="n">
        <v>56769.19</v>
      </c>
      <c r="J4" s="9" t="n">
        <v>40329.92</v>
      </c>
      <c r="K4" s="9" t="n">
        <v>40153.78</v>
      </c>
      <c r="L4" s="9" t="n">
        <v>34561.24</v>
      </c>
      <c r="M4" s="9" t="n">
        <v>45835.67</v>
      </c>
      <c r="N4" s="9">
        <f>SUM(B4:M4)</f>
        <v/>
      </c>
      <c r="O4" s="9" t="n">
        <v>34024.2</v>
      </c>
      <c r="P4" s="9" t="n">
        <v>34520.9</v>
      </c>
      <c r="Q4" s="9" t="n">
        <v>44678.8</v>
      </c>
      <c r="R4" s="9" t="n">
        <v>46928.2</v>
      </c>
      <c r="S4" s="9" t="n">
        <v>40486.3</v>
      </c>
      <c r="T4" s="9" t="n">
        <v>45145.1</v>
      </c>
      <c r="U4" s="9" t="n">
        <v>56928.34000000002</v>
      </c>
      <c r="AA4" s="9">
        <f>SUM(O4:U4)</f>
        <v/>
      </c>
      <c r="AB4" s="9">
        <f>SUM(O4:Z4)</f>
        <v/>
      </c>
      <c r="AC4" s="9" t="n">
        <v>63267.18</v>
      </c>
      <c r="AD4" s="9" t="n">
        <v>60274.57</v>
      </c>
      <c r="AE4" s="9" t="n">
        <v>75362.87</v>
      </c>
      <c r="AF4" s="9" t="n">
        <v>69288.22</v>
      </c>
      <c r="AG4" s="9" t="n">
        <v>72843.58</v>
      </c>
      <c r="AH4" s="9" t="n">
        <v>75234.78999999999</v>
      </c>
      <c r="AI4" s="34">
        <f>SUM(AC4:AH4)</f>
        <v/>
      </c>
      <c r="AJ4" s="9">
        <f>SUM(AC4:AH4)+AI4</f>
        <v/>
      </c>
      <c r="AK4" s="11">
        <f>IF(N4&lt;&gt;0,(AB4-N4)/ABS(N4),0)</f>
        <v/>
      </c>
      <c r="AL4" s="11">
        <f>IF(AB4&lt;&gt;0,(AJ4-AB4)/ABS(AB4),0)</f>
        <v/>
      </c>
    </row>
    <row r="5" ht="13" customHeight="1">
      <c r="A5" s="8" t="inlineStr">
        <is>
          <t xml:space="preserve">    EEEF Embedded</t>
        </is>
      </c>
      <c r="B5" s="9" t="n">
        <v>14880.4</v>
      </c>
      <c r="C5" s="9" t="n">
        <v>14880.4</v>
      </c>
      <c r="D5" s="9" t="n">
        <v>22868.72</v>
      </c>
      <c r="E5" s="9" t="n">
        <v>11910.48</v>
      </c>
      <c r="F5" s="9" t="n">
        <v>11910.4</v>
      </c>
      <c r="G5" s="9" t="n">
        <v>11910.48</v>
      </c>
      <c r="H5" s="9" t="n">
        <v>28251.59</v>
      </c>
      <c r="I5" s="9" t="n">
        <v>0</v>
      </c>
      <c r="J5" s="9" t="n">
        <v>12726.08</v>
      </c>
      <c r="K5" s="9" t="n">
        <v>12726.08</v>
      </c>
      <c r="L5" s="9" t="n">
        <v>28161.67</v>
      </c>
      <c r="M5" s="9" t="n">
        <v>28507.8</v>
      </c>
      <c r="N5" s="9">
        <f>SUM(B5:M5)</f>
        <v/>
      </c>
      <c r="O5" s="9" t="n">
        <v>20522.7</v>
      </c>
      <c r="P5" s="9" t="n">
        <v>20522.7</v>
      </c>
      <c r="Q5" s="9" t="n">
        <v>21690.4</v>
      </c>
      <c r="R5" s="9" t="n">
        <v>22674.8</v>
      </c>
      <c r="S5" s="9" t="n">
        <v>22674.7</v>
      </c>
      <c r="T5" s="9" t="n">
        <v>24039.4</v>
      </c>
      <c r="U5" s="9" t="n">
        <v>23129.63</v>
      </c>
      <c r="AA5" s="9">
        <f>SUM(O5:U5)</f>
        <v/>
      </c>
      <c r="AB5" s="9">
        <f>SUM(O5:Z5)</f>
        <v/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34">
        <f>SUM(AC5:AH5)</f>
        <v/>
      </c>
      <c r="AJ5" s="9">
        <f>SUM(AC5:AH5)+AI5</f>
        <v/>
      </c>
      <c r="AK5" s="11">
        <f>IF(N5&lt;&gt;0,(AB5-N5)/ABS(N5),0)</f>
        <v/>
      </c>
      <c r="AL5" s="11">
        <f>IF(AB5&lt;&gt;0,(AJ5-AB5)/ABS(AB5),0)</f>
        <v/>
      </c>
    </row>
    <row r="6" ht="13" customHeight="1">
      <c r="A6" s="8" t="inlineStr">
        <is>
          <t xml:space="preserve">    Other Income</t>
        </is>
      </c>
      <c r="B6" s="9" t="n">
        <v>200</v>
      </c>
      <c r="C6" s="9" t="n">
        <v>200</v>
      </c>
      <c r="D6" s="9" t="n">
        <v>300</v>
      </c>
      <c r="E6" s="9" t="n">
        <v>300</v>
      </c>
      <c r="F6" s="9" t="n">
        <v>300</v>
      </c>
      <c r="G6" s="9" t="n">
        <v>360</v>
      </c>
      <c r="H6" s="9" t="n">
        <v>300</v>
      </c>
      <c r="I6" s="9" t="n">
        <v>3279.07</v>
      </c>
      <c r="J6" s="9" t="n">
        <v>0</v>
      </c>
      <c r="K6" s="9" t="n">
        <v>0</v>
      </c>
      <c r="L6" s="9" t="n">
        <v>0</v>
      </c>
      <c r="M6" s="9" t="n">
        <v>0</v>
      </c>
      <c r="N6" s="9">
        <f>SUM(B6:M6)</f>
        <v/>
      </c>
      <c r="O6" s="9" t="n">
        <v>0</v>
      </c>
      <c r="P6" s="9" t="n">
        <v>0</v>
      </c>
      <c r="Q6" s="9" t="n">
        <v>339.3</v>
      </c>
      <c r="R6" s="9" t="n">
        <v>0</v>
      </c>
      <c r="S6" s="9" t="n">
        <v>0</v>
      </c>
      <c r="T6" s="9" t="n">
        <v>0</v>
      </c>
      <c r="U6" s="9" t="n">
        <v>0</v>
      </c>
      <c r="AA6" s="9">
        <f>SUM(O6:U6)</f>
        <v/>
      </c>
      <c r="AB6" s="9">
        <f>SUM(O6:Z6)</f>
        <v/>
      </c>
      <c r="AC6" s="9" t="n">
        <v>0</v>
      </c>
      <c r="AD6" s="9" t="n">
        <v>0</v>
      </c>
      <c r="AE6" s="9" t="n">
        <v>0</v>
      </c>
      <c r="AF6" s="9" t="n">
        <v>0</v>
      </c>
      <c r="AG6" s="9" t="n">
        <v>0</v>
      </c>
      <c r="AH6" s="9" t="n">
        <v>0</v>
      </c>
      <c r="AI6" s="34">
        <f>SUM(AC6:AH6)</f>
        <v/>
      </c>
      <c r="AJ6" s="9">
        <f>SUM(AC6:AH6)+AI6</f>
        <v/>
      </c>
      <c r="AK6" s="11">
        <f>IF(N6&lt;&gt;0,(AB6-N6)/ABS(N6),0)</f>
        <v/>
      </c>
      <c r="AL6" s="11">
        <f>IF(AB6&lt;&gt;0,(AJ6-AB6)/ABS(AB6),0)</f>
        <v/>
      </c>
    </row>
    <row r="7" ht="13" customHeight="1">
      <c r="A7" s="12" t="inlineStr">
        <is>
          <t>Total Income</t>
        </is>
      </c>
      <c r="B7" s="13">
        <f>B4+B5+B6</f>
        <v/>
      </c>
      <c r="C7" s="13">
        <f>C4+C5+C6</f>
        <v/>
      </c>
      <c r="D7" s="13">
        <f>D4+D5+D6</f>
        <v/>
      </c>
      <c r="E7" s="13">
        <f>E4+E5+E6</f>
        <v/>
      </c>
      <c r="F7" s="13">
        <f>F4+F5+F6</f>
        <v/>
      </c>
      <c r="G7" s="13">
        <f>G4+G5+G6</f>
        <v/>
      </c>
      <c r="H7" s="13">
        <f>H4+H5+H6</f>
        <v/>
      </c>
      <c r="I7" s="13">
        <f>I4+I5+I6</f>
        <v/>
      </c>
      <c r="J7" s="13">
        <f>J4+J5+J6</f>
        <v/>
      </c>
      <c r="K7" s="13">
        <f>K4+K5+K6</f>
        <v/>
      </c>
      <c r="L7" s="13">
        <f>L4+L5+L6</f>
        <v/>
      </c>
      <c r="M7" s="13">
        <f>M4+M5+M6</f>
        <v/>
      </c>
      <c r="N7" s="13">
        <f>N4+N5+N6</f>
        <v/>
      </c>
      <c r="O7" s="13">
        <f>O4+O5+O6</f>
        <v/>
      </c>
      <c r="P7" s="13">
        <f>P4+P5+P6</f>
        <v/>
      </c>
      <c r="Q7" s="13">
        <f>Q4+Q5+Q6</f>
        <v/>
      </c>
      <c r="R7" s="13">
        <f>R4+R5+R6</f>
        <v/>
      </c>
      <c r="S7" s="13">
        <f>S4+S5+S6</f>
        <v/>
      </c>
      <c r="T7" s="13">
        <f>T4+T5+T6</f>
        <v/>
      </c>
      <c r="U7" s="13">
        <f>U4+U5+U6</f>
        <v/>
      </c>
      <c r="V7" s="13">
        <f>V4+V5+V6</f>
        <v/>
      </c>
      <c r="W7" s="13">
        <f>W4+W5+W6</f>
        <v/>
      </c>
      <c r="X7" s="13">
        <f>X4+X5+X6</f>
        <v/>
      </c>
      <c r="Y7" s="13">
        <f>Y4+Y5+Y6</f>
        <v/>
      </c>
      <c r="Z7" s="13">
        <f>Z4+Z5+Z6</f>
        <v/>
      </c>
      <c r="AA7" s="13">
        <f>AA4+AA5+AA6</f>
        <v/>
      </c>
      <c r="AB7" s="13">
        <f>AB4+AB5+AB6</f>
        <v/>
      </c>
      <c r="AC7" s="13">
        <f>AC4+AC5+AC6</f>
        <v/>
      </c>
      <c r="AD7" s="13">
        <f>AD4+AD5+AD6</f>
        <v/>
      </c>
      <c r="AE7" s="13">
        <f>AE4+AE5+AE6</f>
        <v/>
      </c>
      <c r="AF7" s="13">
        <f>AF4+AF5+AF6</f>
        <v/>
      </c>
      <c r="AG7" s="13">
        <f>AG4+AG5+AG6</f>
        <v/>
      </c>
      <c r="AH7" s="13">
        <f>AH4+AH5+AH6</f>
        <v/>
      </c>
      <c r="AI7" s="13">
        <f>AI4+AI5+AI6</f>
        <v/>
      </c>
      <c r="AJ7" s="13">
        <f>AJ4+AJ5+AJ6</f>
        <v/>
      </c>
      <c r="AK7" s="11">
        <f>IF(N7&lt;&gt;0,(AB7-N7)/ABS(N7),0)</f>
        <v/>
      </c>
      <c r="AL7" s="11">
        <f>IF(AB7&lt;&gt;0,(AJ7-AB7)/ABS(AB7),0)</f>
        <v/>
      </c>
    </row>
    <row r="8" ht="5" customHeight="1"/>
    <row r="9" ht="15" customHeight="1">
      <c r="A9" s="7" t="inlineStr">
        <is>
          <t>DIRECT COSTS</t>
        </is>
      </c>
    </row>
    <row r="10" ht="13" customHeight="1">
      <c r="A10" s="14" t="inlineStr">
        <is>
          <t>Personnel</t>
        </is>
      </c>
    </row>
    <row r="11" ht="13" customHeight="1">
      <c r="A11" s="15" t="inlineStr">
        <is>
          <t xml:space="preserve">    Nursery Salaries</t>
        </is>
      </c>
      <c r="B11" s="16" t="n">
        <v>27199.35</v>
      </c>
      <c r="C11" s="16" t="n">
        <v>26969.3</v>
      </c>
      <c r="D11" s="16" t="n">
        <v>28313.5</v>
      </c>
      <c r="E11" s="16" t="n">
        <v>31211.69</v>
      </c>
      <c r="F11" s="16" t="n">
        <v>29845.91</v>
      </c>
      <c r="G11" s="16" t="n">
        <v>29990.87</v>
      </c>
      <c r="H11" s="16" t="n">
        <v>35763.1</v>
      </c>
      <c r="I11" s="16" t="n">
        <v>33092</v>
      </c>
      <c r="J11" s="16" t="n">
        <v>32840.54</v>
      </c>
      <c r="K11" s="16" t="n">
        <v>36158.05</v>
      </c>
      <c r="L11" s="16" t="n">
        <v>35650.18</v>
      </c>
      <c r="M11" s="16" t="n">
        <v>36557.18</v>
      </c>
      <c r="N11" s="16">
        <f>SUM(B11:M11)</f>
        <v/>
      </c>
      <c r="O11" s="16" t="n">
        <v>38698.39</v>
      </c>
      <c r="P11" s="16" t="n">
        <v>34009.54</v>
      </c>
      <c r="Q11" s="16" t="n">
        <v>40961.75</v>
      </c>
      <c r="R11" s="16" t="n">
        <v>37699.5</v>
      </c>
      <c r="S11" s="16" t="n">
        <v>34150.91</v>
      </c>
      <c r="T11" s="16" t="n">
        <v>33439.28</v>
      </c>
      <c r="U11" s="16" t="n">
        <v>33483.36</v>
      </c>
      <c r="AA11" s="16">
        <f>SUM(O11:U11)</f>
        <v/>
      </c>
      <c r="AB11" s="16">
        <f>SUM(O11:Z11)</f>
        <v/>
      </c>
      <c r="AC11" s="16" t="n">
        <v>33483.36</v>
      </c>
      <c r="AD11" s="16" t="n">
        <v>33483.36</v>
      </c>
      <c r="AE11" s="16" t="n">
        <v>33483.36</v>
      </c>
      <c r="AF11" s="16" t="n">
        <v>33483.36</v>
      </c>
      <c r="AG11" s="16" t="n">
        <v>33483.36</v>
      </c>
      <c r="AH11" s="16" t="n">
        <v>33483.36</v>
      </c>
      <c r="AI11" s="34">
        <f>SUM(AC11:AH11)</f>
        <v/>
      </c>
      <c r="AJ11" s="16">
        <f>SUM(AC11:AH11)+AI11</f>
        <v/>
      </c>
      <c r="AK11" s="11">
        <f>IF(N11&lt;&gt;0,(AB11-N11)/ABS(N11),0)</f>
        <v/>
      </c>
      <c r="AL11" s="11">
        <f>IF(AB11&lt;&gt;0,(AJ11-AB11)/ABS(AB11),0)</f>
        <v/>
      </c>
    </row>
    <row r="12" ht="13" customHeight="1">
      <c r="A12" s="15" t="inlineStr">
        <is>
          <t xml:space="preserve">    Nursery NI</t>
        </is>
      </c>
      <c r="B12" s="16" t="n">
        <v>2322.12</v>
      </c>
      <c r="C12" s="16" t="n">
        <v>2227.41</v>
      </c>
      <c r="D12" s="16" t="n">
        <v>2346.82</v>
      </c>
      <c r="E12" s="16" t="n">
        <v>3631.01</v>
      </c>
      <c r="F12" s="16" t="n">
        <v>3444.09</v>
      </c>
      <c r="G12" s="16" t="n">
        <v>3284.69</v>
      </c>
      <c r="H12" s="16" t="n">
        <v>4309.29</v>
      </c>
      <c r="I12" s="16" t="n">
        <v>3776.98</v>
      </c>
      <c r="J12" s="16" t="n">
        <v>3745.07</v>
      </c>
      <c r="K12" s="16" t="n">
        <v>4183.86</v>
      </c>
      <c r="L12" s="16" t="n">
        <v>4085.43</v>
      </c>
      <c r="M12" s="16" t="n">
        <v>4232.64</v>
      </c>
      <c r="N12" s="16">
        <f>SUM(B12:M12)</f>
        <v/>
      </c>
      <c r="O12" s="16" t="n">
        <v>4242.54</v>
      </c>
      <c r="P12" s="16" t="n">
        <v>3578.41</v>
      </c>
      <c r="Q12" s="16" t="n">
        <v>4366.65</v>
      </c>
      <c r="R12" s="16" t="n">
        <v>4174.09</v>
      </c>
      <c r="S12" s="16" t="n">
        <v>3821.87</v>
      </c>
      <c r="T12" s="16" t="n">
        <v>3932.6</v>
      </c>
      <c r="U12" s="16" t="n">
        <v>3939.99</v>
      </c>
      <c r="AA12" s="16">
        <f>SUM(O12:U12)</f>
        <v/>
      </c>
      <c r="AB12" s="16">
        <f>SUM(O12:Z12)</f>
        <v/>
      </c>
      <c r="AC12" s="16" t="n">
        <v>3939.99</v>
      </c>
      <c r="AD12" s="16" t="n">
        <v>3939.99</v>
      </c>
      <c r="AE12" s="16" t="n">
        <v>3939.99</v>
      </c>
      <c r="AF12" s="16" t="n">
        <v>3939.99</v>
      </c>
      <c r="AG12" s="16" t="n">
        <v>3939.99</v>
      </c>
      <c r="AH12" s="16" t="n">
        <v>3939.99</v>
      </c>
      <c r="AI12" s="34">
        <f>SUM(AC12:AH12)</f>
        <v/>
      </c>
      <c r="AJ12" s="16">
        <f>SUM(AC12:AH12)+AI12</f>
        <v/>
      </c>
      <c r="AK12" s="11">
        <f>IF(N12&lt;&gt;0,(AB12-N12)/ABS(N12),0)</f>
        <v/>
      </c>
      <c r="AL12" s="11">
        <f>IF(AB12&lt;&gt;0,(AJ12-AB12)/ABS(AB12),0)</f>
        <v/>
      </c>
    </row>
    <row r="13" ht="13" customHeight="1">
      <c r="A13" s="15" t="inlineStr">
        <is>
          <t xml:space="preserve">    Nursery Pension</t>
        </is>
      </c>
      <c r="B13" s="16" t="n">
        <v>590.4400000000001</v>
      </c>
      <c r="C13" s="16" t="n">
        <v>569.1900000000001</v>
      </c>
      <c r="D13" s="16" t="n">
        <v>575.7</v>
      </c>
      <c r="E13" s="16" t="n">
        <v>603.08</v>
      </c>
      <c r="F13" s="16" t="n">
        <v>604.72</v>
      </c>
      <c r="G13" s="16" t="n">
        <v>616.71</v>
      </c>
      <c r="H13" s="16" t="n">
        <v>779.6900000000001</v>
      </c>
      <c r="I13" s="16" t="n">
        <v>683.8</v>
      </c>
      <c r="J13" s="16" t="n">
        <v>705.6799999999999</v>
      </c>
      <c r="K13" s="16" t="n">
        <v>790.33</v>
      </c>
      <c r="L13" s="16" t="n">
        <v>770.66</v>
      </c>
      <c r="M13" s="16" t="n">
        <v>799.9299999999999</v>
      </c>
      <c r="N13" s="16">
        <f>SUM(B13:M13)</f>
        <v/>
      </c>
      <c r="O13" s="16" t="n">
        <v>804.22</v>
      </c>
      <c r="P13" s="16" t="n">
        <v>675.46</v>
      </c>
      <c r="Q13" s="16" t="n">
        <v>775.88</v>
      </c>
      <c r="R13" s="16" t="n">
        <v>737.62</v>
      </c>
      <c r="S13" s="16" t="n">
        <v>724.15</v>
      </c>
      <c r="T13" s="16" t="n">
        <v>746.3099999999999</v>
      </c>
      <c r="U13" s="16" t="n">
        <v>747.79</v>
      </c>
      <c r="AA13" s="16">
        <f>SUM(O13:U13)</f>
        <v/>
      </c>
      <c r="AB13" s="16">
        <f>SUM(O13:Z13)</f>
        <v/>
      </c>
      <c r="AC13" s="16" t="n">
        <v>747.79</v>
      </c>
      <c r="AD13" s="16" t="n">
        <v>747.79</v>
      </c>
      <c r="AE13" s="16" t="n">
        <v>747.79</v>
      </c>
      <c r="AF13" s="16" t="n">
        <v>747.79</v>
      </c>
      <c r="AG13" s="16" t="n">
        <v>747.79</v>
      </c>
      <c r="AH13" s="16" t="n">
        <v>747.79</v>
      </c>
      <c r="AI13" s="34">
        <f>SUM(AC13:AH13)</f>
        <v/>
      </c>
      <c r="AJ13" s="16">
        <f>SUM(AC13:AH13)+AI13</f>
        <v/>
      </c>
      <c r="AK13" s="11">
        <f>IF(N13&lt;&gt;0,(AB13-N13)/ABS(N13),0)</f>
        <v/>
      </c>
      <c r="AL13" s="11">
        <f>IF(AB13&lt;&gt;0,(AJ13-AB13)/ABS(AB13),0)</f>
        <v/>
      </c>
    </row>
    <row r="14" ht="13" customHeight="1">
      <c r="A14" s="15" t="inlineStr">
        <is>
          <t xml:space="preserve">    Uniform</t>
        </is>
      </c>
      <c r="B14" s="16" t="n">
        <v>0</v>
      </c>
      <c r="C14" s="16" t="n">
        <v>286.7</v>
      </c>
      <c r="D14" s="16" t="n">
        <v>5.99</v>
      </c>
      <c r="E14" s="16" t="n">
        <v>251.62</v>
      </c>
      <c r="F14" s="16" t="n">
        <v>91.02</v>
      </c>
      <c r="G14" s="16" t="n">
        <v>0</v>
      </c>
      <c r="H14" s="16" t="n">
        <v>0</v>
      </c>
      <c r="I14" s="16" t="n">
        <v>0</v>
      </c>
      <c r="J14" s="16" t="n">
        <v>0</v>
      </c>
      <c r="K14" s="16" t="n">
        <v>163.98</v>
      </c>
      <c r="L14" s="16" t="n">
        <v>0</v>
      </c>
      <c r="M14" s="16" t="n">
        <v>0</v>
      </c>
      <c r="N14" s="16">
        <f>SUM(B14:M14)</f>
        <v/>
      </c>
      <c r="O14" s="16" t="n">
        <v>186.09</v>
      </c>
      <c r="P14" s="16" t="n">
        <v>0</v>
      </c>
      <c r="Q14" s="16" t="n">
        <v>0</v>
      </c>
      <c r="R14" s="16" t="n">
        <v>0</v>
      </c>
      <c r="S14" s="16" t="n">
        <v>207.84</v>
      </c>
      <c r="T14" s="16" t="n">
        <v>0</v>
      </c>
      <c r="U14" s="16" t="n">
        <v>0</v>
      </c>
      <c r="AA14" s="16">
        <f>SUM(O14:U14)</f>
        <v/>
      </c>
      <c r="AB14" s="16">
        <f>SUM(O14:Z14)</f>
        <v/>
      </c>
      <c r="AC14" s="16" t="n">
        <v>83</v>
      </c>
      <c r="AD14" s="16" t="n">
        <v>83</v>
      </c>
      <c r="AE14" s="16" t="n">
        <v>83</v>
      </c>
      <c r="AF14" s="16" t="n">
        <v>83</v>
      </c>
      <c r="AG14" s="16" t="n">
        <v>83</v>
      </c>
      <c r="AH14" s="16" t="n">
        <v>83</v>
      </c>
      <c r="AI14" s="34">
        <f>SUM(AC14:AH14)</f>
        <v/>
      </c>
      <c r="AJ14" s="16">
        <f>SUM(AC14:AH14)+AI14</f>
        <v/>
      </c>
      <c r="AK14" s="11">
        <f>IF(N14&lt;&gt;0,(AB14-N14)/ABS(N14),0)</f>
        <v/>
      </c>
      <c r="AL14" s="11">
        <f>IF(AB14&lt;&gt;0,(AJ14-AB14)/ABS(AB14),0)</f>
        <v/>
      </c>
    </row>
    <row r="15" ht="13" customHeight="1">
      <c r="A15" s="15" t="inlineStr">
        <is>
          <t xml:space="preserve">    Training</t>
        </is>
      </c>
      <c r="B15" s="16" t="n">
        <v>48</v>
      </c>
      <c r="C15" s="16" t="n">
        <v>0</v>
      </c>
      <c r="D15" s="16" t="n">
        <v>0</v>
      </c>
      <c r="E15" s="16" t="n">
        <v>0</v>
      </c>
      <c r="F15" s="16" t="n">
        <v>0</v>
      </c>
      <c r="G15" s="16" t="n">
        <v>54</v>
      </c>
      <c r="H15" s="16" t="n">
        <v>24</v>
      </c>
      <c r="I15" s="16" t="n">
        <v>0</v>
      </c>
      <c r="J15" s="16" t="n">
        <v>102</v>
      </c>
      <c r="K15" s="16" t="n">
        <v>0</v>
      </c>
      <c r="L15" s="16" t="n">
        <v>37.2</v>
      </c>
      <c r="M15" s="16" t="n">
        <v>0</v>
      </c>
      <c r="N15" s="16">
        <f>SUM(B15:M15)</f>
        <v/>
      </c>
      <c r="O15" s="16" t="n">
        <v>0</v>
      </c>
      <c r="P15" s="16" t="n">
        <v>720</v>
      </c>
      <c r="Q15" s="16" t="n">
        <v>0</v>
      </c>
      <c r="R15" s="16" t="n">
        <v>335</v>
      </c>
      <c r="S15" s="16" t="n">
        <v>0</v>
      </c>
      <c r="T15" s="16" t="n">
        <v>0</v>
      </c>
      <c r="U15" s="16" t="n">
        <v>37.2</v>
      </c>
      <c r="AA15" s="16">
        <f>SUM(O15:U15)</f>
        <v/>
      </c>
      <c r="AB15" s="16">
        <f>SUM(O15:Z15)</f>
        <v/>
      </c>
      <c r="AC15" s="16" t="n">
        <v>100</v>
      </c>
      <c r="AD15" s="16" t="n">
        <v>100</v>
      </c>
      <c r="AE15" s="16" t="n">
        <v>100</v>
      </c>
      <c r="AF15" s="16" t="n">
        <v>100</v>
      </c>
      <c r="AG15" s="16" t="n">
        <v>100</v>
      </c>
      <c r="AH15" s="16" t="n">
        <v>100</v>
      </c>
      <c r="AI15" s="34">
        <f>SUM(AC15:AH15)</f>
        <v/>
      </c>
      <c r="AJ15" s="16">
        <f>SUM(AC15:AH15)+AI15</f>
        <v/>
      </c>
      <c r="AK15" s="11">
        <f>IF(N15&lt;&gt;0,(AB15-N15)/ABS(N15),0)</f>
        <v/>
      </c>
      <c r="AL15" s="11">
        <f>IF(AB15&lt;&gt;0,(AJ15-AB15)/ABS(AB15),0)</f>
        <v/>
      </c>
    </row>
    <row r="16" ht="13" customHeight="1">
      <c r="A16" s="15" t="inlineStr">
        <is>
          <t xml:space="preserve">    Staff Welfare</t>
        </is>
      </c>
      <c r="B16" s="16" t="n">
        <v>220.6000000000001</v>
      </c>
      <c r="C16" s="16" t="n">
        <v>225.71</v>
      </c>
      <c r="D16" s="16" t="n">
        <v>115.95</v>
      </c>
      <c r="E16" s="16" t="n">
        <v>324.7900000000001</v>
      </c>
      <c r="F16" s="16" t="n">
        <v>102.62</v>
      </c>
      <c r="G16" s="16" t="n">
        <v>41.39</v>
      </c>
      <c r="H16" s="16" t="n">
        <v>456.77</v>
      </c>
      <c r="I16" s="16" t="n">
        <v>117.13</v>
      </c>
      <c r="J16" s="16" t="n">
        <v>158.17</v>
      </c>
      <c r="K16" s="16" t="n">
        <v>329.93</v>
      </c>
      <c r="L16" s="16" t="n">
        <v>60.13</v>
      </c>
      <c r="M16" s="16" t="n">
        <v>69.8</v>
      </c>
      <c r="N16" s="16">
        <f>SUM(B16:M16)</f>
        <v/>
      </c>
      <c r="O16" s="16" t="n">
        <v>200.05</v>
      </c>
      <c r="P16" s="16" t="n">
        <v>80.63</v>
      </c>
      <c r="Q16" s="16" t="n">
        <v>225.8</v>
      </c>
      <c r="R16" s="16" t="n">
        <v>44.26</v>
      </c>
      <c r="S16" s="16" t="n">
        <v>190.63</v>
      </c>
      <c r="T16" s="16" t="n">
        <v>243.97</v>
      </c>
      <c r="U16" s="16" t="n">
        <v>169.85</v>
      </c>
      <c r="AA16" s="16">
        <f>SUM(O16:U16)</f>
        <v/>
      </c>
      <c r="AB16" s="16">
        <f>SUM(O16:Z16)</f>
        <v/>
      </c>
      <c r="AC16" s="16" t="n">
        <v>170</v>
      </c>
      <c r="AD16" s="16" t="n">
        <v>170</v>
      </c>
      <c r="AE16" s="16" t="n">
        <v>170</v>
      </c>
      <c r="AF16" s="16" t="n">
        <v>170</v>
      </c>
      <c r="AG16" s="16" t="n">
        <v>170</v>
      </c>
      <c r="AH16" s="16" t="n">
        <v>170</v>
      </c>
      <c r="AI16" s="34">
        <f>SUM(AC16:AH16)</f>
        <v/>
      </c>
      <c r="AJ16" s="16">
        <f>SUM(AC16:AH16)+AI16</f>
        <v/>
      </c>
      <c r="AK16" s="11">
        <f>IF(N16&lt;&gt;0,(AB16-N16)/ABS(N16),0)</f>
        <v/>
      </c>
      <c r="AL16" s="11">
        <f>IF(AB16&lt;&gt;0,(AJ16-AB16)/ABS(AB16),0)</f>
        <v/>
      </c>
    </row>
    <row r="17" ht="13" customHeight="1">
      <c r="A17" s="15" t="inlineStr">
        <is>
          <t xml:space="preserve">    Recruitment</t>
        </is>
      </c>
      <c r="B17" s="16" t="n">
        <v>0</v>
      </c>
      <c r="C17" s="16" t="n">
        <v>0</v>
      </c>
      <c r="D17" s="16" t="n">
        <v>0</v>
      </c>
      <c r="E17" s="16" t="n">
        <v>0</v>
      </c>
      <c r="F17" s="16" t="n">
        <v>0</v>
      </c>
      <c r="G17" s="16" t="n">
        <v>0</v>
      </c>
      <c r="H17" s="16" t="n">
        <v>0</v>
      </c>
      <c r="I17" s="16" t="n">
        <v>0</v>
      </c>
      <c r="J17" s="16" t="n">
        <v>0</v>
      </c>
      <c r="K17" s="16" t="n">
        <v>0</v>
      </c>
      <c r="L17" s="16" t="n">
        <v>0</v>
      </c>
      <c r="M17" s="16" t="n">
        <v>0</v>
      </c>
      <c r="N17" s="16">
        <f>SUM(B17:M17)</f>
        <v/>
      </c>
      <c r="O17" s="16" t="n">
        <v>0</v>
      </c>
      <c r="P17" s="16" t="n">
        <v>0</v>
      </c>
      <c r="Q17" s="16" t="n">
        <v>0</v>
      </c>
      <c r="R17" s="16" t="n">
        <v>0</v>
      </c>
      <c r="S17" s="16" t="n">
        <v>0</v>
      </c>
      <c r="T17" s="16" t="n">
        <v>0</v>
      </c>
      <c r="U17" s="16" t="n">
        <v>0</v>
      </c>
      <c r="V17" s="16" t="n">
        <v>0</v>
      </c>
      <c r="W17" s="16" t="n">
        <v>0</v>
      </c>
      <c r="X17" s="16" t="n">
        <v>0</v>
      </c>
      <c r="Y17" s="16" t="n">
        <v>0</v>
      </c>
      <c r="Z17" s="16" t="n">
        <v>0</v>
      </c>
      <c r="AA17" s="16">
        <f>SUM(O17:U17)</f>
        <v/>
      </c>
      <c r="AB17" s="16">
        <f>SUM(O17:Z17)</f>
        <v/>
      </c>
      <c r="AC17" s="16" t="n">
        <v>0</v>
      </c>
      <c r="AD17" s="16" t="n">
        <v>0</v>
      </c>
      <c r="AE17" s="16" t="n">
        <v>0</v>
      </c>
      <c r="AF17" s="16" t="n">
        <v>0</v>
      </c>
      <c r="AG17" s="16" t="n">
        <v>0</v>
      </c>
      <c r="AH17" s="16" t="n">
        <v>0</v>
      </c>
      <c r="AI17" s="34">
        <f>SUM(AC17:AH17)</f>
        <v/>
      </c>
      <c r="AJ17" s="16">
        <f>SUM(AC17:AH17)+AI17</f>
        <v/>
      </c>
      <c r="AK17" s="11">
        <f>IF(N17&lt;&gt;0,(AB17-N17)/ABS(N17),0)</f>
        <v/>
      </c>
      <c r="AL17" s="11">
        <f>IF(AB17&lt;&gt;0,(AJ17-AB17)/ABS(AB17),0)</f>
        <v/>
      </c>
    </row>
    <row r="18" ht="13" customHeight="1">
      <c r="A18" s="15" t="inlineStr">
        <is>
          <t xml:space="preserve">    Rewards &amp; Recognition</t>
        </is>
      </c>
      <c r="B18" s="16" t="n">
        <v>0</v>
      </c>
      <c r="C18" s="16" t="n">
        <v>0</v>
      </c>
      <c r="D18" s="16" t="n">
        <v>0</v>
      </c>
      <c r="E18" s="16" t="n">
        <v>0</v>
      </c>
      <c r="F18" s="16" t="n">
        <v>0</v>
      </c>
      <c r="G18" s="16" t="n">
        <v>0</v>
      </c>
      <c r="H18" s="16" t="n">
        <v>48.47</v>
      </c>
      <c r="I18" s="16" t="n">
        <v>27.5</v>
      </c>
      <c r="J18" s="16" t="n">
        <v>73.47</v>
      </c>
      <c r="K18" s="16" t="n">
        <v>0</v>
      </c>
      <c r="L18" s="16" t="n">
        <v>35.97</v>
      </c>
      <c r="M18" s="16" t="n">
        <v>7.99</v>
      </c>
      <c r="N18" s="16">
        <f>SUM(B18:M18)</f>
        <v/>
      </c>
      <c r="O18" s="16" t="n">
        <v>13.98</v>
      </c>
      <c r="P18" s="16" t="n">
        <v>18.97</v>
      </c>
      <c r="Q18" s="16" t="n">
        <v>11.99</v>
      </c>
      <c r="R18" s="16" t="n">
        <v>0</v>
      </c>
      <c r="S18" s="16" t="n">
        <v>29.98</v>
      </c>
      <c r="T18" s="16" t="n">
        <v>0</v>
      </c>
      <c r="U18" s="16" t="n">
        <v>43.8</v>
      </c>
      <c r="AA18" s="16">
        <f>SUM(O18:U18)</f>
        <v/>
      </c>
      <c r="AB18" s="16">
        <f>SUM(O18:Z18)</f>
        <v/>
      </c>
      <c r="AC18" s="16" t="n">
        <v>71</v>
      </c>
      <c r="AD18" s="16" t="n">
        <v>71</v>
      </c>
      <c r="AE18" s="16" t="n">
        <v>71</v>
      </c>
      <c r="AF18" s="16" t="n">
        <v>71</v>
      </c>
      <c r="AG18" s="16" t="n">
        <v>71</v>
      </c>
      <c r="AH18" s="16" t="n">
        <v>71</v>
      </c>
      <c r="AI18" s="34">
        <f>SUM(AC18:AH18)</f>
        <v/>
      </c>
      <c r="AJ18" s="16">
        <f>SUM(AC18:AH18)+AI18</f>
        <v/>
      </c>
      <c r="AK18" s="11">
        <f>IF(N18&lt;&gt;0,(AB18-N18)/ABS(N18),0)</f>
        <v/>
      </c>
      <c r="AL18" s="11">
        <f>IF(AB18&lt;&gt;0,(AJ18-AB18)/ABS(AB18),0)</f>
        <v/>
      </c>
    </row>
    <row r="19" ht="13" customHeight="1">
      <c r="A19" s="15" t="inlineStr">
        <is>
          <t xml:space="preserve">    Temps</t>
        </is>
      </c>
      <c r="B19" s="16" t="n">
        <v>0</v>
      </c>
      <c r="C19" s="16" t="n">
        <v>217.33</v>
      </c>
      <c r="D19" s="16" t="n">
        <v>0</v>
      </c>
      <c r="E19" s="16" t="n">
        <v>0</v>
      </c>
      <c r="F19" s="16" t="n">
        <v>0</v>
      </c>
      <c r="G19" s="16" t="n">
        <v>0</v>
      </c>
      <c r="H19" s="16" t="n">
        <v>0</v>
      </c>
      <c r="I19" s="16" t="n">
        <v>0</v>
      </c>
      <c r="J19" s="16" t="n">
        <v>0</v>
      </c>
      <c r="K19" s="16" t="n">
        <v>0</v>
      </c>
      <c r="L19" s="16" t="n">
        <v>0</v>
      </c>
      <c r="M19" s="16" t="n">
        <v>0</v>
      </c>
      <c r="N19" s="16">
        <f>SUM(B19:M19)</f>
        <v/>
      </c>
      <c r="O19" s="16" t="n">
        <v>0</v>
      </c>
      <c r="P19" s="16" t="n">
        <v>0</v>
      </c>
      <c r="Q19" s="16" t="n">
        <v>0</v>
      </c>
      <c r="R19" s="16" t="n">
        <v>0</v>
      </c>
      <c r="S19" s="16" t="n">
        <v>0</v>
      </c>
      <c r="T19" s="16" t="n">
        <v>0</v>
      </c>
      <c r="U19" s="16" t="n">
        <v>0</v>
      </c>
      <c r="V19" s="16" t="n">
        <v>0</v>
      </c>
      <c r="W19" s="16" t="n">
        <v>0</v>
      </c>
      <c r="X19" s="16" t="n">
        <v>0</v>
      </c>
      <c r="Y19" s="16" t="n">
        <v>0</v>
      </c>
      <c r="Z19" s="16" t="n">
        <v>0</v>
      </c>
      <c r="AA19" s="16">
        <f>SUM(O19:U19)</f>
        <v/>
      </c>
      <c r="AB19" s="16">
        <f>SUM(O19:Z19)</f>
        <v/>
      </c>
      <c r="AC19" s="16" t="n">
        <v>0</v>
      </c>
      <c r="AD19" s="16" t="n">
        <v>0</v>
      </c>
      <c r="AE19" s="16" t="n">
        <v>0</v>
      </c>
      <c r="AF19" s="16" t="n">
        <v>0</v>
      </c>
      <c r="AG19" s="16" t="n">
        <v>0</v>
      </c>
      <c r="AH19" s="16" t="n">
        <v>0</v>
      </c>
      <c r="AI19" s="34">
        <f>SUM(AC19:AH19)</f>
        <v/>
      </c>
      <c r="AJ19" s="16">
        <f>SUM(AC19:AH19)+AI19</f>
        <v/>
      </c>
      <c r="AK19" s="11">
        <f>IF(N19&lt;&gt;0,(AB19-N19)/ABS(N19),0)</f>
        <v/>
      </c>
      <c r="AL19" s="11">
        <f>IF(AB19&lt;&gt;0,(AJ19-AB19)/ABS(AB19),0)</f>
        <v/>
      </c>
    </row>
    <row r="20" ht="13" customHeight="1">
      <c r="A20" s="17" t="inlineStr">
        <is>
          <t>Total Personnel</t>
        </is>
      </c>
      <c r="B20" s="18">
        <f>B11+B12+B13+B14+B15+B16+B17+B18+B19</f>
        <v/>
      </c>
      <c r="C20" s="18">
        <f>C11+C12+C13+C14+C15+C16+C17+C18+C19</f>
        <v/>
      </c>
      <c r="D20" s="18">
        <f>D11+D12+D13+D14+D15+D16+D17+D18+D19</f>
        <v/>
      </c>
      <c r="E20" s="18">
        <f>E11+E12+E13+E14+E15+E16+E17+E18+E19</f>
        <v/>
      </c>
      <c r="F20" s="18">
        <f>F11+F12+F13+F14+F15+F16+F17+F18+F19</f>
        <v/>
      </c>
      <c r="G20" s="18">
        <f>G11+G12+G13+G14+G15+G16+G17+G18+G19</f>
        <v/>
      </c>
      <c r="H20" s="18">
        <f>H11+H12+H13+H14+H15+H16+H17+H18+H19</f>
        <v/>
      </c>
      <c r="I20" s="18">
        <f>I11+I12+I13+I14+I15+I16+I17+I18+I19</f>
        <v/>
      </c>
      <c r="J20" s="18">
        <f>J11+J12+J13+J14+J15+J16+J17+J18+J19</f>
        <v/>
      </c>
      <c r="K20" s="18">
        <f>K11+K12+K13+K14+K15+K16+K17+K18+K19</f>
        <v/>
      </c>
      <c r="L20" s="18">
        <f>L11+L12+L13+L14+L15+L16+L17+L18+L19</f>
        <v/>
      </c>
      <c r="M20" s="18">
        <f>M11+M12+M13+M14+M15+M16+M17+M18+M19</f>
        <v/>
      </c>
      <c r="N20" s="18">
        <f>N11+N12+N13+N14+N15+N16+N17+N18+N19</f>
        <v/>
      </c>
      <c r="O20" s="18">
        <f>O11+O12+O13+O14+O15+O16+O17+O18+O19</f>
        <v/>
      </c>
      <c r="P20" s="18">
        <f>P11+P12+P13+P14+P15+P16+P17+P18+P19</f>
        <v/>
      </c>
      <c r="Q20" s="18">
        <f>Q11+Q12+Q13+Q14+Q15+Q16+Q17+Q18+Q19</f>
        <v/>
      </c>
      <c r="R20" s="18">
        <f>R11+R12+R13+R14+R15+R16+R17+R18+R19</f>
        <v/>
      </c>
      <c r="S20" s="18">
        <f>S11+S12+S13+S14+S15+S16+S17+S18+S19</f>
        <v/>
      </c>
      <c r="T20" s="18">
        <f>T11+T12+T13+T14+T15+T16+T17+T18+T19</f>
        <v/>
      </c>
      <c r="U20" s="18">
        <f>U11+U12+U13+U14+U15+U16+U17+U18+U19</f>
        <v/>
      </c>
      <c r="V20" s="18">
        <f>V11+V12+V13+V14+V15+V16+V17+V18+V19</f>
        <v/>
      </c>
      <c r="W20" s="18">
        <f>W11+W12+W13+W14+W15+W16+W17+W18+W19</f>
        <v/>
      </c>
      <c r="X20" s="18">
        <f>X11+X12+X13+X14+X15+X16+X17+X18+X19</f>
        <v/>
      </c>
      <c r="Y20" s="18">
        <f>Y11+Y12+Y13+Y14+Y15+Y16+Y17+Y18+Y19</f>
        <v/>
      </c>
      <c r="Z20" s="18">
        <f>Z11+Z12+Z13+Z14+Z15+Z16+Z17+Z18+Z19</f>
        <v/>
      </c>
      <c r="AA20" s="18">
        <f>AA11+AA12+AA13+AA14+AA15+AA16+AA17+AA18+AA19</f>
        <v/>
      </c>
      <c r="AB20" s="18">
        <f>AB11+AB12+AB13+AB14+AB15+AB16+AB17+AB18+AB19</f>
        <v/>
      </c>
      <c r="AC20" s="18">
        <f>AC11+AC12+AC13+AC14+AC15+AC16+AC17+AC18+AC19</f>
        <v/>
      </c>
      <c r="AD20" s="18">
        <f>AD11+AD12+AD13+AD14+AD15+AD16+AD17+AD18+AD19</f>
        <v/>
      </c>
      <c r="AE20" s="18">
        <f>AE11+AE12+AE13+AE14+AE15+AE16+AE17+AE18+AE19</f>
        <v/>
      </c>
      <c r="AF20" s="18">
        <f>AF11+AF12+AF13+AF14+AF15+AF16+AF17+AF18+AF19</f>
        <v/>
      </c>
      <c r="AG20" s="18">
        <f>AG11+AG12+AG13+AG14+AG15+AG16+AG17+AG18+AG19</f>
        <v/>
      </c>
      <c r="AH20" s="18">
        <f>AH11+AH12+AH13+AH14+AH15+AH16+AH17+AH18+AH19</f>
        <v/>
      </c>
      <c r="AI20" s="18">
        <f>AI11+AI12+AI13+AI14+AI15+AI16+AI17+AI18+AI19</f>
        <v/>
      </c>
      <c r="AJ20" s="18">
        <f>AJ11+AJ12+AJ13+AJ14+AJ15+AJ16+AJ17+AJ18+AJ19</f>
        <v/>
      </c>
      <c r="AK20" s="11">
        <f>IF(N20&lt;&gt;0,(AB20-N20)/ABS(N20),0)</f>
        <v/>
      </c>
      <c r="AL20" s="11">
        <f>IF(AB20&lt;&gt;0,(AJ20-AB20)/ABS(AB20),0)</f>
        <v/>
      </c>
    </row>
    <row r="21" ht="13" customHeight="1">
      <c r="A21" s="19" t="inlineStr">
        <is>
          <t xml:space="preserve">    Sal:Rev</t>
        </is>
      </c>
      <c r="B21" s="20">
        <f>IF(B7&gt;0,B20/B7,0)</f>
        <v/>
      </c>
      <c r="C21" s="20">
        <f>IF(C7&gt;0,C20/C7,0)</f>
        <v/>
      </c>
      <c r="D21" s="20">
        <f>IF(D7&gt;0,D20/D7,0)</f>
        <v/>
      </c>
      <c r="E21" s="20">
        <f>IF(E7&gt;0,E20/E7,0)</f>
        <v/>
      </c>
      <c r="F21" s="20">
        <f>IF(F7&gt;0,F20/F7,0)</f>
        <v/>
      </c>
      <c r="G21" s="20">
        <f>IF(G7&gt;0,G20/G7,0)</f>
        <v/>
      </c>
      <c r="H21" s="20">
        <f>IF(H7&gt;0,H20/H7,0)</f>
        <v/>
      </c>
      <c r="I21" s="20">
        <f>IF(I7&gt;0,I20/I7,0)</f>
        <v/>
      </c>
      <c r="J21" s="20">
        <f>IF(J7&gt;0,J20/J7,0)</f>
        <v/>
      </c>
      <c r="K21" s="20">
        <f>IF(K7&gt;0,K20/K7,0)</f>
        <v/>
      </c>
      <c r="L21" s="20">
        <f>IF(L7&gt;0,L20/L7,0)</f>
        <v/>
      </c>
      <c r="M21" s="20">
        <f>IF(M7&gt;0,M20/M7,0)</f>
        <v/>
      </c>
      <c r="N21" s="20">
        <f>IF(N7&gt;0,N20/N7,0)</f>
        <v/>
      </c>
      <c r="O21" s="20">
        <f>IF(O7&gt;0,O20/O7,0)</f>
        <v/>
      </c>
      <c r="P21" s="20">
        <f>IF(P7&gt;0,P20/P7,0)</f>
        <v/>
      </c>
      <c r="Q21" s="20">
        <f>IF(Q7&gt;0,Q20/Q7,0)</f>
        <v/>
      </c>
      <c r="R21" s="20">
        <f>IF(R7&gt;0,R20/R7,0)</f>
        <v/>
      </c>
      <c r="S21" s="20">
        <f>IF(S7&gt;0,S20/S7,0)</f>
        <v/>
      </c>
      <c r="T21" s="20">
        <f>IF(T7&gt;0,T20/T7,0)</f>
        <v/>
      </c>
      <c r="U21" s="20">
        <f>IF(U7&gt;0,U20/U7,0)</f>
        <v/>
      </c>
      <c r="V21" s="20">
        <f>IF(V7&gt;0,V20/V7,0)</f>
        <v/>
      </c>
      <c r="W21" s="20">
        <f>IF(W7&gt;0,W20/W7,0)</f>
        <v/>
      </c>
      <c r="X21" s="20">
        <f>IF(X7&gt;0,X20/X7,0)</f>
        <v/>
      </c>
      <c r="Y21" s="20">
        <f>IF(Y7&gt;0,Y20/Y7,0)</f>
        <v/>
      </c>
      <c r="Z21" s="20">
        <f>IF(Z7&gt;0,Z20/Z7,0)</f>
        <v/>
      </c>
      <c r="AA21" s="20">
        <f>IF(AA7&gt;0,AA20/AA7,0)</f>
        <v/>
      </c>
      <c r="AB21" s="20">
        <f>IF(AB7&gt;0,AB20/AB7,0)</f>
        <v/>
      </c>
      <c r="AC21" s="20">
        <f>IF(AC7&gt;0,AC20/AC7,0)</f>
        <v/>
      </c>
      <c r="AD21" s="20">
        <f>IF(AD7&gt;0,AD20/AD7,0)</f>
        <v/>
      </c>
      <c r="AE21" s="20">
        <f>IF(AE7&gt;0,AE20/AE7,0)</f>
        <v/>
      </c>
      <c r="AF21" s="20">
        <f>IF(AF7&gt;0,AF20/AF7,0)</f>
        <v/>
      </c>
      <c r="AG21" s="20">
        <f>IF(AG7&gt;0,AG20/AG7,0)</f>
        <v/>
      </c>
      <c r="AH21" s="20">
        <f>IF(AH7&gt;0,AH20/AH7,0)</f>
        <v/>
      </c>
      <c r="AI21" s="20">
        <f>IF(AI7&gt;0,AI20/AI7,0)</f>
        <v/>
      </c>
      <c r="AJ21" s="20">
        <f>IF(AJ7&gt;0,AJ20/AJ7,0)</f>
        <v/>
      </c>
    </row>
    <row r="22" ht="5" customHeight="1"/>
    <row r="23" ht="13" customHeight="1">
      <c r="A23" s="14" t="inlineStr">
        <is>
          <t>Childcare</t>
        </is>
      </c>
    </row>
    <row r="24" ht="13" customHeight="1">
      <c r="A24" s="21" t="inlineStr">
        <is>
          <t xml:space="preserve">    Catering Costs</t>
        </is>
      </c>
      <c r="N24" s="22">
        <f>SUM(B24:M24)</f>
        <v/>
      </c>
      <c r="O24" s="22" t="n">
        <v>1263.34</v>
      </c>
      <c r="P24" s="22" t="n">
        <v>1271.59</v>
      </c>
      <c r="Q24" s="22" t="n">
        <v>1506.32</v>
      </c>
      <c r="R24" s="22" t="n">
        <v>1840.45</v>
      </c>
      <c r="S24" s="22" t="n">
        <v>1559.5</v>
      </c>
      <c r="T24" s="22" t="n">
        <v>1526.24</v>
      </c>
      <c r="U24" s="22" t="n">
        <v>1904.53</v>
      </c>
      <c r="V24" s="22" t="n">
        <v>1531.738104</v>
      </c>
      <c r="W24" s="22" t="n">
        <v>1676.771304</v>
      </c>
      <c r="X24" s="22" t="n">
        <v>1805.858184</v>
      </c>
      <c r="Y24" s="22" t="n">
        <v>1785.944472</v>
      </c>
      <c r="Z24" s="22" t="n">
        <v>1754.899536</v>
      </c>
      <c r="AA24" s="22">
        <f>SUM(O24:U24)</f>
        <v/>
      </c>
      <c r="AB24" s="22">
        <f>SUM(O24:Z24)</f>
        <v/>
      </c>
      <c r="AC24" s="22" t="n">
        <v>1973.936016</v>
      </c>
      <c r="AD24" s="22" t="n">
        <v>1880.566584</v>
      </c>
      <c r="AE24" s="22" t="n">
        <v>2351.321544</v>
      </c>
      <c r="AF24" s="22" t="n">
        <v>2161.792464</v>
      </c>
      <c r="AG24" s="22" t="n">
        <v>2272.719696</v>
      </c>
      <c r="AH24" s="22" t="n">
        <v>2347.325448</v>
      </c>
      <c r="AI24" s="34">
        <f>SUM(AC24:AH24)</f>
        <v/>
      </c>
      <c r="AJ24" s="22">
        <f>SUM(AC24:AH24)+AI24</f>
        <v/>
      </c>
      <c r="AK24" s="11">
        <f>IF(N24&lt;&gt;0,(AB24-N24)/ABS(N24),0)</f>
        <v/>
      </c>
      <c r="AL24" s="11">
        <f>IF(AB24&lt;&gt;0,(AJ24-AB24)/ABS(AB24),0)</f>
        <v/>
      </c>
    </row>
    <row r="25" ht="13" customHeight="1">
      <c r="A25" s="21" t="inlineStr">
        <is>
          <t xml:space="preserve">    Toys and Games</t>
        </is>
      </c>
      <c r="B25" s="22" t="n">
        <v>239.5</v>
      </c>
      <c r="C25" s="22" t="n">
        <v>130.44</v>
      </c>
      <c r="D25" s="22" t="n">
        <v>274.74</v>
      </c>
      <c r="E25" s="22" t="n">
        <v>380.74</v>
      </c>
      <c r="F25" s="22" t="n">
        <v>1073</v>
      </c>
      <c r="G25" s="22" t="n">
        <v>48.17</v>
      </c>
      <c r="H25" s="22" t="n">
        <v>581.1899999999999</v>
      </c>
      <c r="I25" s="22" t="n">
        <v>236.38</v>
      </c>
      <c r="J25" s="22" t="n">
        <v>393.6</v>
      </c>
      <c r="K25" s="22" t="n">
        <v>22.42</v>
      </c>
      <c r="L25" s="22" t="n">
        <v>14.95</v>
      </c>
      <c r="M25" s="22" t="n">
        <v>53.27</v>
      </c>
      <c r="N25" s="22">
        <f>SUM(B25:M25)</f>
        <v/>
      </c>
      <c r="O25" s="22" t="n">
        <v>113.98</v>
      </c>
      <c r="P25" s="22" t="n">
        <v>728.66</v>
      </c>
      <c r="Q25" s="22" t="n">
        <v>134.78</v>
      </c>
      <c r="R25" s="22" t="n">
        <v>47.99</v>
      </c>
      <c r="S25" s="22" t="n">
        <v>65.31999999999999</v>
      </c>
      <c r="T25" s="22" t="n">
        <v>23.67</v>
      </c>
      <c r="U25" s="22" t="n">
        <v>111.13</v>
      </c>
      <c r="AA25" s="22">
        <f>SUM(O25:U25)</f>
        <v/>
      </c>
      <c r="AB25" s="22">
        <f>SUM(O25:Z25)</f>
        <v/>
      </c>
      <c r="AC25" s="22" t="n">
        <v>100</v>
      </c>
      <c r="AD25" s="22" t="n">
        <v>100</v>
      </c>
      <c r="AE25" s="22" t="n">
        <v>100</v>
      </c>
      <c r="AF25" s="22" t="n">
        <v>100</v>
      </c>
      <c r="AG25" s="22" t="n">
        <v>100</v>
      </c>
      <c r="AH25" s="22" t="n">
        <v>100</v>
      </c>
      <c r="AI25" s="34">
        <f>SUM(AC25:AH25)</f>
        <v/>
      </c>
      <c r="AJ25" s="22">
        <f>SUM(AC25:AH25)+AI25</f>
        <v/>
      </c>
      <c r="AK25" s="11">
        <f>IF(N25&lt;&gt;0,(AB25-N25)/ABS(N25),0)</f>
        <v/>
      </c>
      <c r="AL25" s="11">
        <f>IF(AB25&lt;&gt;0,(AJ25-AB25)/ABS(AB25),0)</f>
        <v/>
      </c>
    </row>
    <row r="26" ht="13" customHeight="1">
      <c r="A26" s="21" t="inlineStr">
        <is>
          <t xml:space="preserve">    Art Materials</t>
        </is>
      </c>
      <c r="N26" s="22">
        <f>SUM(B26:M26)</f>
        <v/>
      </c>
      <c r="O26" s="22" t="n">
        <v>9.99</v>
      </c>
      <c r="P26" s="22" t="n">
        <v>147.8</v>
      </c>
      <c r="Q26" s="22" t="n">
        <v>26.31</v>
      </c>
      <c r="R26" s="22" t="n">
        <v>70.34</v>
      </c>
      <c r="S26" s="22" t="n">
        <v>0</v>
      </c>
      <c r="T26" s="22" t="n">
        <v>114.28</v>
      </c>
      <c r="U26" s="22" t="n">
        <v>137.9</v>
      </c>
      <c r="V26" s="22" t="n">
        <v>153.1738104</v>
      </c>
      <c r="W26" s="22" t="n">
        <v>167.6771304</v>
      </c>
      <c r="X26" s="22" t="n">
        <v>180.5858184</v>
      </c>
      <c r="Y26" s="22" t="n">
        <v>178.5944472</v>
      </c>
      <c r="Z26" s="22" t="n">
        <v>175.4899536</v>
      </c>
      <c r="AA26" s="22">
        <f>SUM(O26:U26)</f>
        <v/>
      </c>
      <c r="AB26" s="22">
        <f>SUM(O26:Z26)</f>
        <v/>
      </c>
      <c r="AC26" s="22" t="n">
        <v>197.3936016</v>
      </c>
      <c r="AD26" s="22" t="n">
        <v>188.0566584</v>
      </c>
      <c r="AE26" s="22" t="n">
        <v>235.1321544</v>
      </c>
      <c r="AF26" s="22" t="n">
        <v>216.1792464</v>
      </c>
      <c r="AG26" s="22" t="n">
        <v>227.2719696</v>
      </c>
      <c r="AH26" s="22" t="n">
        <v>234.7325448</v>
      </c>
      <c r="AI26" s="34">
        <f>SUM(AC26:AH26)</f>
        <v/>
      </c>
      <c r="AJ26" s="22">
        <f>SUM(AC26:AH26)+AI26</f>
        <v/>
      </c>
      <c r="AK26" s="11">
        <f>IF(N26&lt;&gt;0,(AB26-N26)/ABS(N26),0)</f>
        <v/>
      </c>
      <c r="AL26" s="11">
        <f>IF(AB26&lt;&gt;0,(AJ26-AB26)/ABS(AB26),0)</f>
        <v/>
      </c>
    </row>
    <row r="27" ht="13" customHeight="1">
      <c r="A27" s="21" t="inlineStr">
        <is>
          <t xml:space="preserve">    Nursery Stationery</t>
        </is>
      </c>
      <c r="B27" s="22" t="n">
        <v>0</v>
      </c>
      <c r="C27" s="22" t="n">
        <v>0</v>
      </c>
      <c r="D27" s="22" t="n">
        <v>0</v>
      </c>
      <c r="E27" s="22" t="n">
        <v>0</v>
      </c>
      <c r="F27" s="22" t="n">
        <v>0</v>
      </c>
      <c r="G27" s="22" t="n">
        <v>0</v>
      </c>
      <c r="H27" s="22" t="n">
        <v>0</v>
      </c>
      <c r="I27" s="22" t="n">
        <v>0</v>
      </c>
      <c r="J27" s="22" t="n">
        <v>0</v>
      </c>
      <c r="K27" s="22" t="n">
        <v>0</v>
      </c>
      <c r="L27" s="22" t="n">
        <v>0</v>
      </c>
      <c r="M27" s="22" t="n">
        <v>0</v>
      </c>
      <c r="N27" s="22">
        <f>SUM(B27:M27)</f>
        <v/>
      </c>
      <c r="O27" s="22" t="n">
        <v>0</v>
      </c>
      <c r="P27" s="22" t="n">
        <v>0</v>
      </c>
      <c r="Q27" s="22" t="n">
        <v>0</v>
      </c>
      <c r="R27" s="22" t="n">
        <v>0</v>
      </c>
      <c r="S27" s="22" t="n">
        <v>0</v>
      </c>
      <c r="T27" s="22" t="n">
        <v>0</v>
      </c>
      <c r="U27" s="22" t="n">
        <v>47.19</v>
      </c>
      <c r="AA27" s="22">
        <f>SUM(O27:U27)</f>
        <v/>
      </c>
      <c r="AB27" s="22">
        <f>SUM(O27:Z27)</f>
        <v/>
      </c>
      <c r="AC27" s="22" t="n">
        <v>100</v>
      </c>
      <c r="AD27" s="22" t="n">
        <v>100</v>
      </c>
      <c r="AE27" s="22" t="n">
        <v>100</v>
      </c>
      <c r="AF27" s="22" t="n">
        <v>100</v>
      </c>
      <c r="AG27" s="22" t="n">
        <v>100</v>
      </c>
      <c r="AH27" s="22" t="n">
        <v>100</v>
      </c>
      <c r="AI27" s="34">
        <f>SUM(AC27:AH27)</f>
        <v/>
      </c>
      <c r="AJ27" s="22">
        <f>SUM(AC27:AH27)+AI27</f>
        <v/>
      </c>
      <c r="AK27" s="11">
        <f>IF(N27&lt;&gt;0,(AB27-N27)/ABS(N27),0)</f>
        <v/>
      </c>
      <c r="AL27" s="11">
        <f>IF(AB27&lt;&gt;0,(AJ27-AB27)/ABS(AB27),0)</f>
        <v/>
      </c>
    </row>
    <row r="28" ht="13" customHeight="1">
      <c r="A28" s="21" t="inlineStr">
        <is>
          <t xml:space="preserve">    Nursery Equipment</t>
        </is>
      </c>
      <c r="B28" s="22" t="n">
        <v>134.61</v>
      </c>
      <c r="C28" s="22" t="n">
        <v>25.96</v>
      </c>
      <c r="D28" s="22" t="n">
        <v>134.14</v>
      </c>
      <c r="E28" s="22" t="n">
        <v>13.99</v>
      </c>
      <c r="F28" s="22" t="n">
        <v>0</v>
      </c>
      <c r="G28" s="22" t="n">
        <v>166.09</v>
      </c>
      <c r="H28" s="22" t="n">
        <v>0</v>
      </c>
      <c r="I28" s="22" t="n">
        <v>0</v>
      </c>
      <c r="J28" s="22" t="n">
        <v>0</v>
      </c>
      <c r="K28" s="22" t="n">
        <v>524.03</v>
      </c>
      <c r="L28" s="22" t="n">
        <v>0</v>
      </c>
      <c r="M28" s="22" t="n">
        <v>12.98</v>
      </c>
      <c r="N28" s="22">
        <f>SUM(B28:M28)</f>
        <v/>
      </c>
      <c r="O28" s="22" t="n">
        <v>59.34</v>
      </c>
      <c r="P28" s="22" t="n">
        <v>29.69</v>
      </c>
      <c r="Q28" s="22" t="n">
        <v>27.81</v>
      </c>
      <c r="R28" s="22" t="n">
        <v>308</v>
      </c>
      <c r="S28" s="22" t="n">
        <v>0</v>
      </c>
      <c r="T28" s="22" t="n">
        <v>219.9</v>
      </c>
      <c r="U28" s="22" t="n">
        <v>0</v>
      </c>
      <c r="AA28" s="22">
        <f>SUM(O28:U28)</f>
        <v/>
      </c>
      <c r="AB28" s="22">
        <f>SUM(O28:Z28)</f>
        <v/>
      </c>
      <c r="AC28" s="22" t="n">
        <v>50</v>
      </c>
      <c r="AD28" s="22" t="n">
        <v>50</v>
      </c>
      <c r="AE28" s="22" t="n">
        <v>50</v>
      </c>
      <c r="AF28" s="22" t="n">
        <v>50</v>
      </c>
      <c r="AG28" s="22" t="n">
        <v>50</v>
      </c>
      <c r="AH28" s="22" t="n">
        <v>50</v>
      </c>
      <c r="AI28" s="34">
        <f>SUM(AC28:AH28)</f>
        <v/>
      </c>
      <c r="AJ28" s="22">
        <f>SUM(AC28:AH28)+AI28</f>
        <v/>
      </c>
      <c r="AK28" s="11">
        <f>IF(N28&lt;&gt;0,(AB28-N28)/ABS(N28),0)</f>
        <v/>
      </c>
      <c r="AL28" s="11">
        <f>IF(AB28&lt;&gt;0,(AJ28-AB28)/ABS(AB28),0)</f>
        <v/>
      </c>
    </row>
    <row r="29" ht="13" customHeight="1">
      <c r="A29" s="21" t="inlineStr">
        <is>
          <t xml:space="preserve">    Nursery Consumables</t>
        </is>
      </c>
      <c r="N29" s="22">
        <f>SUM(B29:M29)</f>
        <v/>
      </c>
      <c r="O29" s="22" t="n">
        <v>110.81</v>
      </c>
      <c r="P29" s="22" t="n">
        <v>287.51</v>
      </c>
      <c r="Q29" s="22" t="n">
        <v>61.94</v>
      </c>
      <c r="R29" s="22" t="n">
        <v>405.44</v>
      </c>
      <c r="S29" s="22" t="n">
        <v>129.82</v>
      </c>
      <c r="T29" s="22" t="n">
        <v>300.5</v>
      </c>
      <c r="U29" s="22" t="n">
        <v>213.47</v>
      </c>
      <c r="V29" s="22" t="n">
        <v>255.289684</v>
      </c>
      <c r="W29" s="22" t="n">
        <v>279.461884</v>
      </c>
      <c r="X29" s="22" t="n">
        <v>300.976364</v>
      </c>
      <c r="Y29" s="22" t="n">
        <v>297.657412</v>
      </c>
      <c r="Z29" s="22" t="n">
        <v>292.483256</v>
      </c>
      <c r="AA29" s="22">
        <f>SUM(O29:U29)</f>
        <v/>
      </c>
      <c r="AB29" s="22">
        <f>SUM(O29:Z29)</f>
        <v/>
      </c>
      <c r="AC29" s="22" t="n">
        <v>328.989336</v>
      </c>
      <c r="AD29" s="22" t="n">
        <v>313.427764</v>
      </c>
      <c r="AE29" s="22" t="n">
        <v>391.886924</v>
      </c>
      <c r="AF29" s="22" t="n">
        <v>360.2987440000001</v>
      </c>
      <c r="AG29" s="22" t="n">
        <v>378.786616</v>
      </c>
      <c r="AH29" s="22" t="n">
        <v>391.220908</v>
      </c>
      <c r="AI29" s="34">
        <f>SUM(AC29:AH29)</f>
        <v/>
      </c>
      <c r="AJ29" s="22">
        <f>SUM(AC29:AH29)+AI29</f>
        <v/>
      </c>
      <c r="AK29" s="11">
        <f>IF(N29&lt;&gt;0,(AB29-N29)/ABS(N29),0)</f>
        <v/>
      </c>
      <c r="AL29" s="11">
        <f>IF(AB29&lt;&gt;0,(AJ29-AB29)/ABS(AB29),0)</f>
        <v/>
      </c>
    </row>
    <row r="30" ht="13" customHeight="1">
      <c r="A30" s="23" t="inlineStr">
        <is>
          <t>Total Childcare Costs</t>
        </is>
      </c>
      <c r="B30" s="24">
        <f>B24+B25+B26+B27+B28+B29</f>
        <v/>
      </c>
      <c r="C30" s="24">
        <f>C24+C25+C26+C27+C28+C29</f>
        <v/>
      </c>
      <c r="D30" s="24">
        <f>D24+D25+D26+D27+D28+D29</f>
        <v/>
      </c>
      <c r="E30" s="24">
        <f>E24+E25+E26+E27+E28+E29</f>
        <v/>
      </c>
      <c r="F30" s="24">
        <f>F24+F25+F26+F27+F28+F29</f>
        <v/>
      </c>
      <c r="G30" s="24">
        <f>G24+G25+G26+G27+G28+G29</f>
        <v/>
      </c>
      <c r="H30" s="24">
        <f>H24+H25+H26+H27+H28+H29</f>
        <v/>
      </c>
      <c r="I30" s="24">
        <f>I24+I25+I26+I27+I28+I29</f>
        <v/>
      </c>
      <c r="J30" s="24">
        <f>J24+J25+J26+J27+J28+J29</f>
        <v/>
      </c>
      <c r="K30" s="24">
        <f>K24+K25+K26+K27+K28+K29</f>
        <v/>
      </c>
      <c r="L30" s="24">
        <f>L24+L25+L26+L27+L28+L29</f>
        <v/>
      </c>
      <c r="M30" s="24">
        <f>M24+M25+M26+M27+M28+M29</f>
        <v/>
      </c>
      <c r="N30" s="24">
        <f>N24+N25+N26+N27+N28+N29</f>
        <v/>
      </c>
      <c r="O30" s="24">
        <f>O24+O25+O26+O27+O28+O29</f>
        <v/>
      </c>
      <c r="P30" s="24">
        <f>P24+P25+P26+P27+P28+P29</f>
        <v/>
      </c>
      <c r="Q30" s="24">
        <f>Q24+Q25+Q26+Q27+Q28+Q29</f>
        <v/>
      </c>
      <c r="R30" s="24">
        <f>R24+R25+R26+R27+R28+R29</f>
        <v/>
      </c>
      <c r="S30" s="24">
        <f>S24+S25+S26+S27+S28+S29</f>
        <v/>
      </c>
      <c r="T30" s="24">
        <f>T24+T25+T26+T27+T28+T29</f>
        <v/>
      </c>
      <c r="U30" s="24">
        <f>U24+U25+U26+U27+U28+U29</f>
        <v/>
      </c>
      <c r="V30" s="24">
        <f>V24+V25+V26+V27+V28+V29</f>
        <v/>
      </c>
      <c r="W30" s="24">
        <f>W24+W25+W26+W27+W28+W29</f>
        <v/>
      </c>
      <c r="X30" s="24">
        <f>X24+X25+X26+X27+X28+X29</f>
        <v/>
      </c>
      <c r="Y30" s="24">
        <f>Y24+Y25+Y26+Y27+Y28+Y29</f>
        <v/>
      </c>
      <c r="Z30" s="24">
        <f>Z24+Z25+Z26+Z27+Z28+Z29</f>
        <v/>
      </c>
      <c r="AA30" s="24">
        <f>AA24+AA25+AA26+AA27+AA28+AA29</f>
        <v/>
      </c>
      <c r="AB30" s="24">
        <f>AB24+AB25+AB26+AB27+AB28+AB29</f>
        <v/>
      </c>
      <c r="AC30" s="24">
        <f>AC24+AC25+AC26+AC27+AC28+AC29</f>
        <v/>
      </c>
      <c r="AD30" s="24">
        <f>AD24+AD25+AD26+AD27+AD28+AD29</f>
        <v/>
      </c>
      <c r="AE30" s="24">
        <f>AE24+AE25+AE26+AE27+AE28+AE29</f>
        <v/>
      </c>
      <c r="AF30" s="24">
        <f>AF24+AF25+AF26+AF27+AF28+AF29</f>
        <v/>
      </c>
      <c r="AG30" s="24">
        <f>AG24+AG25+AG26+AG27+AG28+AG29</f>
        <v/>
      </c>
      <c r="AH30" s="24">
        <f>AH24+AH25+AH26+AH27+AH28+AH29</f>
        <v/>
      </c>
      <c r="AI30" s="24">
        <f>AI24+AI25+AI26+AI27+AI28+AI29</f>
        <v/>
      </c>
      <c r="AJ30" s="24">
        <f>AJ24+AJ25+AJ26+AJ27+AJ28+AJ29</f>
        <v/>
      </c>
      <c r="AK30" s="11">
        <f>IF(N30&lt;&gt;0,(AB30-N30)/ABS(N30),0)</f>
        <v/>
      </c>
      <c r="AL30" s="11">
        <f>IF(AB30&lt;&gt;0,(AJ30-AB30)/ABS(AB30),0)</f>
        <v/>
      </c>
    </row>
    <row r="31" ht="5" customHeight="1"/>
    <row r="32" ht="13" customHeight="1">
      <c r="A32" s="14" t="inlineStr">
        <is>
          <t>Premises &amp; Admin</t>
        </is>
      </c>
    </row>
    <row r="33" ht="13" customHeight="1">
      <c r="A33" s="25" t="inlineStr">
        <is>
          <t xml:space="preserve">    Rent</t>
        </is>
      </c>
      <c r="B33" s="26" t="n">
        <v>0</v>
      </c>
      <c r="C33" s="26" t="n">
        <v>0</v>
      </c>
      <c r="D33" s="26" t="n">
        <v>0</v>
      </c>
      <c r="E33" s="26" t="n">
        <v>0</v>
      </c>
      <c r="F33" s="26" t="n">
        <v>0</v>
      </c>
      <c r="G33" s="26" t="n">
        <v>0</v>
      </c>
      <c r="H33" s="26" t="n">
        <v>0</v>
      </c>
      <c r="I33" s="26" t="n">
        <v>0</v>
      </c>
      <c r="J33" s="26" t="n">
        <v>0</v>
      </c>
      <c r="K33" s="26" t="n">
        <v>0</v>
      </c>
      <c r="L33" s="26" t="n">
        <v>0</v>
      </c>
      <c r="M33" s="26" t="n">
        <v>0</v>
      </c>
      <c r="N33" s="26">
        <f>SUM(B33:M33)</f>
        <v/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  <c r="V33" s="26" t="n">
        <v>0</v>
      </c>
      <c r="W33" s="26" t="n">
        <v>0</v>
      </c>
      <c r="X33" s="26" t="n">
        <v>0</v>
      </c>
      <c r="Y33" s="26" t="n">
        <v>0</v>
      </c>
      <c r="Z33" s="26" t="n">
        <v>0</v>
      </c>
      <c r="AA33" s="26">
        <f>SUM(O33:U33)</f>
        <v/>
      </c>
      <c r="AB33" s="26">
        <f>SUM(O33:Z33)</f>
        <v/>
      </c>
      <c r="AC33" s="26" t="n">
        <v>0</v>
      </c>
      <c r="AD33" s="26" t="n">
        <v>0</v>
      </c>
      <c r="AE33" s="26" t="n">
        <v>0</v>
      </c>
      <c r="AF33" s="26" t="n">
        <v>0</v>
      </c>
      <c r="AG33" s="26" t="n">
        <v>0</v>
      </c>
      <c r="AH33" s="26" t="n">
        <v>0</v>
      </c>
      <c r="AI33" s="34">
        <f>SUM(AC33:AH33)</f>
        <v/>
      </c>
      <c r="AJ33" s="26">
        <f>SUM(AC33:AH33)+AI33</f>
        <v/>
      </c>
      <c r="AK33" s="11">
        <f>IF(N33&lt;&gt;0,(AB33-N33)/ABS(N33),0)</f>
        <v/>
      </c>
      <c r="AL33" s="11">
        <f>IF(AB33&lt;&gt;0,(AJ33-AB33)/ABS(AB33),0)</f>
        <v/>
      </c>
    </row>
    <row r="34" ht="13" customHeight="1">
      <c r="A34" s="25" t="inlineStr">
        <is>
          <t xml:space="preserve">    Business Rates</t>
        </is>
      </c>
      <c r="B34" s="26" t="n">
        <v>1850.46</v>
      </c>
      <c r="C34" s="26" t="n">
        <v>1850.46</v>
      </c>
      <c r="D34" s="26" t="n">
        <v>1850.46</v>
      </c>
      <c r="E34" s="26" t="n">
        <v>1850.42</v>
      </c>
      <c r="F34" s="26" t="n">
        <v>1850.42</v>
      </c>
      <c r="G34" s="26" t="n">
        <v>1850.42</v>
      </c>
      <c r="H34" s="26" t="n">
        <v>1850.42</v>
      </c>
      <c r="I34" s="26" t="n">
        <v>1850.42</v>
      </c>
      <c r="J34" s="26" t="n">
        <v>1850.42</v>
      </c>
      <c r="K34" s="26" t="n">
        <v>1850.42</v>
      </c>
      <c r="L34" s="26" t="n">
        <v>1850.42</v>
      </c>
      <c r="M34" s="26" t="n">
        <v>1850.42</v>
      </c>
      <c r="N34" s="26">
        <f>SUM(B34:M34)</f>
        <v/>
      </c>
      <c r="O34" s="26" t="n">
        <v>1850.43</v>
      </c>
      <c r="P34" s="26" t="n">
        <v>1850.42</v>
      </c>
      <c r="Q34" s="26" t="n">
        <v>1850.42</v>
      </c>
      <c r="R34" s="26" t="n">
        <v>2128.03</v>
      </c>
      <c r="S34" s="26" t="n">
        <v>2128.03</v>
      </c>
      <c r="T34" s="26" t="n">
        <v>2128.03</v>
      </c>
      <c r="U34" s="26" t="n">
        <v>2128.03</v>
      </c>
      <c r="AA34" s="26">
        <f>SUM(O34:U34)</f>
        <v/>
      </c>
      <c r="AB34" s="26">
        <f>SUM(O34:Z34)</f>
        <v/>
      </c>
      <c r="AC34" s="26" t="n">
        <v>2128.03</v>
      </c>
      <c r="AD34" s="26" t="n">
        <v>2128.03</v>
      </c>
      <c r="AE34" s="26" t="n">
        <v>2128.03</v>
      </c>
      <c r="AF34" s="26" t="n">
        <v>2128.03</v>
      </c>
      <c r="AG34" s="26" t="n">
        <v>2128.03</v>
      </c>
      <c r="AH34" s="26" t="n">
        <v>2128.03</v>
      </c>
      <c r="AI34" s="34">
        <f>SUM(AC34:AH34)</f>
        <v/>
      </c>
      <c r="AJ34" s="26">
        <f>SUM(AC34:AH34)+AI34</f>
        <v/>
      </c>
      <c r="AK34" s="11">
        <f>IF(N34&lt;&gt;0,(AB34-N34)/ABS(N34),0)</f>
        <v/>
      </c>
      <c r="AL34" s="11">
        <f>IF(AB34&lt;&gt;0,(AJ34-AB34)/ABS(AB34),0)</f>
        <v/>
      </c>
    </row>
    <row r="35" ht="13" customHeight="1">
      <c r="A35" s="25" t="inlineStr">
        <is>
          <t xml:space="preserve">    Utilities</t>
        </is>
      </c>
      <c r="B35" s="26" t="n">
        <v>2368.8</v>
      </c>
      <c r="C35" s="26" t="n">
        <v>1729.63</v>
      </c>
      <c r="D35" s="26" t="n">
        <v>1859.19</v>
      </c>
      <c r="E35" s="26" t="n">
        <v>2094.4</v>
      </c>
      <c r="F35" s="26" t="n">
        <v>2433.41</v>
      </c>
      <c r="G35" s="26" t="n">
        <v>1489.28</v>
      </c>
      <c r="H35" s="26" t="n">
        <v>704.8299999999999</v>
      </c>
      <c r="I35" s="26" t="n">
        <v>-1889.83</v>
      </c>
      <c r="J35" s="26" t="n">
        <v>2474.2</v>
      </c>
      <c r="K35" s="26" t="n">
        <v>1184.78</v>
      </c>
      <c r="L35" s="26" t="n">
        <v>1550.31</v>
      </c>
      <c r="M35" s="26" t="n">
        <v>1669.51</v>
      </c>
      <c r="N35" s="26">
        <f>SUM(B35:M35)</f>
        <v/>
      </c>
      <c r="O35" s="26" t="n">
        <v>5880.54</v>
      </c>
      <c r="P35" s="26" t="n">
        <v>3499.35</v>
      </c>
      <c r="Q35" s="26" t="n">
        <v>2725.01</v>
      </c>
      <c r="R35" s="26" t="n">
        <v>1670.17</v>
      </c>
      <c r="S35" s="26" t="n">
        <v>1407.25</v>
      </c>
      <c r="T35" s="26" t="n">
        <v>2084.82</v>
      </c>
      <c r="U35" s="26" t="n">
        <v>594.3099999999999</v>
      </c>
      <c r="AA35" s="26">
        <f>SUM(O35:U35)</f>
        <v/>
      </c>
      <c r="AB35" s="26">
        <f>SUM(O35:Z35)</f>
        <v/>
      </c>
      <c r="AC35" s="26" t="n">
        <v>1625</v>
      </c>
      <c r="AD35" s="26" t="n">
        <v>1625</v>
      </c>
      <c r="AE35" s="26" t="n">
        <v>1625</v>
      </c>
      <c r="AF35" s="26" t="n">
        <v>1625</v>
      </c>
      <c r="AG35" s="26" t="n">
        <v>1625</v>
      </c>
      <c r="AH35" s="26" t="n">
        <v>1625</v>
      </c>
      <c r="AI35" s="34">
        <f>SUM(AC35:AH35)</f>
        <v/>
      </c>
      <c r="AJ35" s="26">
        <f>SUM(AC35:AH35)+AI35</f>
        <v/>
      </c>
      <c r="AK35" s="11">
        <f>IF(N35&lt;&gt;0,(AB35-N35)/ABS(N35),0)</f>
        <v/>
      </c>
      <c r="AL35" s="11">
        <f>IF(AB35&lt;&gt;0,(AJ35-AB35)/ABS(AB35),0)</f>
        <v/>
      </c>
    </row>
    <row r="36" ht="13" customHeight="1">
      <c r="A36" s="25" t="inlineStr">
        <is>
          <t xml:space="preserve">    Repairs &amp; Maintenance</t>
        </is>
      </c>
      <c r="B36" s="26" t="n">
        <v>3031.86</v>
      </c>
      <c r="C36" s="26" t="n">
        <v>98.95</v>
      </c>
      <c r="D36" s="26" t="n">
        <v>578.95</v>
      </c>
      <c r="E36" s="26" t="n">
        <v>430.94</v>
      </c>
      <c r="F36" s="26" t="n">
        <v>435.0199999999997</v>
      </c>
      <c r="G36" s="26" t="n">
        <v>251.22</v>
      </c>
      <c r="H36" s="26" t="n">
        <v>107.95</v>
      </c>
      <c r="I36" s="26" t="n">
        <v>1347.21</v>
      </c>
      <c r="J36" s="26" t="n">
        <v>1756.7</v>
      </c>
      <c r="K36" s="26" t="n">
        <v>943.7199999999999</v>
      </c>
      <c r="L36" s="26" t="n">
        <v>994.7800000000002</v>
      </c>
      <c r="M36" s="26" t="n">
        <v>268.1</v>
      </c>
      <c r="N36" s="26">
        <f>SUM(B36:M36)</f>
        <v/>
      </c>
      <c r="O36" s="26" t="n">
        <v>1554.62</v>
      </c>
      <c r="P36" s="26" t="n">
        <v>72.67</v>
      </c>
      <c r="Q36" s="26" t="n">
        <v>140.01</v>
      </c>
      <c r="R36" s="26" t="n">
        <v>156.47</v>
      </c>
      <c r="S36" s="26" t="n">
        <v>45.49</v>
      </c>
      <c r="T36" s="26" t="n">
        <v>559.77</v>
      </c>
      <c r="U36" s="26" t="n">
        <v>1555.73</v>
      </c>
      <c r="AA36" s="26">
        <f>SUM(O36:U36)</f>
        <v/>
      </c>
      <c r="AB36" s="26">
        <f>SUM(O36:Z36)</f>
        <v/>
      </c>
      <c r="AC36" s="26" t="n">
        <v>0</v>
      </c>
      <c r="AD36" s="26" t="n">
        <v>0</v>
      </c>
      <c r="AE36" s="26" t="n">
        <v>0</v>
      </c>
      <c r="AF36" s="26" t="n">
        <v>0</v>
      </c>
      <c r="AG36" s="26" t="n">
        <v>0</v>
      </c>
      <c r="AH36" s="26" t="n">
        <v>0</v>
      </c>
      <c r="AI36" s="34">
        <f>SUM(AC36:AH36)</f>
        <v/>
      </c>
      <c r="AJ36" s="26">
        <f>SUM(AC36:AH36)+AI36</f>
        <v/>
      </c>
      <c r="AK36" s="11">
        <f>IF(N36&lt;&gt;0,(AB36-N36)/ABS(N36),0)</f>
        <v/>
      </c>
      <c r="AL36" s="11">
        <f>IF(AB36&lt;&gt;0,(AJ36-AB36)/ABS(AB36),0)</f>
        <v/>
      </c>
    </row>
    <row r="37" ht="13" customHeight="1">
      <c r="A37" s="25" t="inlineStr">
        <is>
          <t xml:space="preserve">    Cleaning</t>
        </is>
      </c>
      <c r="B37" s="26" t="n">
        <v>309.94</v>
      </c>
      <c r="C37" s="26" t="n">
        <v>0</v>
      </c>
      <c r="D37" s="26" t="n">
        <v>277.05</v>
      </c>
      <c r="E37" s="26" t="n">
        <v>362.46</v>
      </c>
      <c r="F37" s="26" t="n">
        <v>318.28</v>
      </c>
      <c r="G37" s="26" t="n">
        <v>106.85</v>
      </c>
      <c r="H37" s="26" t="n">
        <v>241.78</v>
      </c>
      <c r="I37" s="26" t="n">
        <v>110.35</v>
      </c>
      <c r="J37" s="26" t="n">
        <v>265.47</v>
      </c>
      <c r="K37" s="26" t="n">
        <v>161.46</v>
      </c>
      <c r="L37" s="26" t="n">
        <v>302.11</v>
      </c>
      <c r="M37" s="26" t="n">
        <v>146.87</v>
      </c>
      <c r="N37" s="26">
        <f>SUM(B37:M37)</f>
        <v/>
      </c>
      <c r="O37" s="26" t="n">
        <v>136.54</v>
      </c>
      <c r="P37" s="26" t="n">
        <v>125.08</v>
      </c>
      <c r="Q37" s="26" t="n">
        <v>172.92</v>
      </c>
      <c r="R37" s="26" t="n">
        <v>115.14</v>
      </c>
      <c r="S37" s="26" t="n">
        <v>0</v>
      </c>
      <c r="T37" s="26" t="n">
        <v>164.48</v>
      </c>
      <c r="U37" s="26" t="n">
        <v>221.88</v>
      </c>
      <c r="AA37" s="26">
        <f>SUM(O37:U37)</f>
        <v/>
      </c>
      <c r="AB37" s="26">
        <f>SUM(O37:Z37)</f>
        <v/>
      </c>
      <c r="AC37" s="26" t="n">
        <v>221</v>
      </c>
      <c r="AD37" s="26" t="n">
        <v>221</v>
      </c>
      <c r="AE37" s="26" t="n">
        <v>221</v>
      </c>
      <c r="AF37" s="26" t="n">
        <v>221</v>
      </c>
      <c r="AG37" s="26" t="n">
        <v>221</v>
      </c>
      <c r="AH37" s="26" t="n">
        <v>221</v>
      </c>
      <c r="AI37" s="34">
        <f>SUM(AC37:AH37)</f>
        <v/>
      </c>
      <c r="AJ37" s="26">
        <f>SUM(AC37:AH37)+AI37</f>
        <v/>
      </c>
      <c r="AK37" s="11">
        <f>IF(N37&lt;&gt;0,(AB37-N37)/ABS(N37),0)</f>
        <v/>
      </c>
      <c r="AL37" s="11">
        <f>IF(AB37&lt;&gt;0,(AJ37-AB37)/ABS(AB37),0)</f>
        <v/>
      </c>
    </row>
    <row r="38" ht="13" customHeight="1">
      <c r="A38" s="25" t="inlineStr">
        <is>
          <t xml:space="preserve">    Waste Disposal</t>
        </is>
      </c>
      <c r="B38" s="26" t="n">
        <v>379.15</v>
      </c>
      <c r="C38" s="26" t="n">
        <v>413.35</v>
      </c>
      <c r="D38" s="26" t="n">
        <v>531.62</v>
      </c>
      <c r="E38" s="26" t="n">
        <v>296.9299999999999</v>
      </c>
      <c r="F38" s="26" t="n">
        <v>430.74</v>
      </c>
      <c r="G38" s="26" t="n">
        <v>394.55</v>
      </c>
      <c r="H38" s="26" t="n">
        <v>313.24</v>
      </c>
      <c r="I38" s="26" t="n">
        <v>298.24</v>
      </c>
      <c r="J38" s="26" t="n">
        <v>444.35</v>
      </c>
      <c r="K38" s="26" t="n">
        <v>307.21</v>
      </c>
      <c r="L38" s="26" t="n">
        <v>426.55</v>
      </c>
      <c r="M38" s="26" t="n">
        <v>379.16</v>
      </c>
      <c r="N38" s="26">
        <f>SUM(B38:M38)</f>
        <v/>
      </c>
      <c r="O38" s="26" t="n">
        <v>348.17</v>
      </c>
      <c r="P38" s="26" t="n">
        <v>426.54</v>
      </c>
      <c r="Q38" s="26" t="n">
        <v>428.49</v>
      </c>
      <c r="R38" s="26" t="n">
        <v>433.79</v>
      </c>
      <c r="S38" s="26" t="n">
        <v>338.45</v>
      </c>
      <c r="T38" s="26" t="n">
        <v>271.95</v>
      </c>
      <c r="U38" s="26" t="n">
        <v>551.62</v>
      </c>
      <c r="AA38" s="26">
        <f>SUM(O38:U38)</f>
        <v/>
      </c>
      <c r="AB38" s="26">
        <f>SUM(O38:Z38)</f>
        <v/>
      </c>
      <c r="AC38" s="26" t="n">
        <v>389</v>
      </c>
      <c r="AD38" s="26" t="n">
        <v>389</v>
      </c>
      <c r="AE38" s="26" t="n">
        <v>389</v>
      </c>
      <c r="AF38" s="26" t="n">
        <v>389</v>
      </c>
      <c r="AG38" s="26" t="n">
        <v>389</v>
      </c>
      <c r="AH38" s="26" t="n">
        <v>389</v>
      </c>
      <c r="AI38" s="34">
        <f>SUM(AC38:AH38)</f>
        <v/>
      </c>
      <c r="AJ38" s="26">
        <f>SUM(AC38:AH38)+AI38</f>
        <v/>
      </c>
      <c r="AK38" s="11">
        <f>IF(N38&lt;&gt;0,(AB38-N38)/ABS(N38),0)</f>
        <v/>
      </c>
      <c r="AL38" s="11">
        <f>IF(AB38&lt;&gt;0,(AJ38-AB38)/ABS(AB38),0)</f>
        <v/>
      </c>
    </row>
    <row r="39" ht="13" customHeight="1">
      <c r="A39" s="25" t="inlineStr">
        <is>
          <t xml:space="preserve">    Postage/Printing/Stationery</t>
        </is>
      </c>
      <c r="B39" s="26" t="n">
        <v>134.31</v>
      </c>
      <c r="C39" s="26" t="n">
        <v>193.15</v>
      </c>
      <c r="D39" s="26" t="n">
        <v>108.59</v>
      </c>
      <c r="E39" s="26" t="n">
        <v>158.57</v>
      </c>
      <c r="F39" s="26" t="n">
        <v>40.91</v>
      </c>
      <c r="G39" s="26" t="n">
        <v>188.02</v>
      </c>
      <c r="H39" s="26" t="n">
        <v>36.03</v>
      </c>
      <c r="I39" s="26" t="n">
        <v>140.04</v>
      </c>
      <c r="J39" s="26" t="n">
        <v>159.8</v>
      </c>
      <c r="K39" s="26" t="n">
        <v>546.86</v>
      </c>
      <c r="L39" s="26" t="n">
        <v>154.65</v>
      </c>
      <c r="M39" s="26" t="n">
        <v>163.62</v>
      </c>
      <c r="N39" s="26">
        <f>SUM(B39:M39)</f>
        <v/>
      </c>
      <c r="O39" s="26" t="n">
        <v>66.11</v>
      </c>
      <c r="P39" s="26" t="n">
        <v>90</v>
      </c>
      <c r="Q39" s="26" t="n">
        <v>78.90000000000001</v>
      </c>
      <c r="R39" s="26" t="n">
        <v>109.06</v>
      </c>
      <c r="S39" s="26" t="n">
        <v>91.40000000000001</v>
      </c>
      <c r="T39" s="26" t="n">
        <v>94.31999999999999</v>
      </c>
      <c r="U39" s="26" t="n">
        <v>19.99</v>
      </c>
      <c r="AA39" s="26">
        <f>SUM(O39:U39)</f>
        <v/>
      </c>
      <c r="AB39" s="26">
        <f>SUM(O39:Z39)</f>
        <v/>
      </c>
      <c r="AC39" s="26" t="n">
        <v>0</v>
      </c>
      <c r="AD39" s="26" t="n">
        <v>0</v>
      </c>
      <c r="AE39" s="26" t="n">
        <v>0</v>
      </c>
      <c r="AF39" s="26" t="n">
        <v>0</v>
      </c>
      <c r="AG39" s="26" t="n">
        <v>0</v>
      </c>
      <c r="AH39" s="26" t="n">
        <v>0</v>
      </c>
      <c r="AI39" s="34">
        <f>SUM(AC39:AH39)</f>
        <v/>
      </c>
      <c r="AJ39" s="26">
        <f>SUM(AC39:AH39)+AI39</f>
        <v/>
      </c>
      <c r="AK39" s="11">
        <f>IF(N39&lt;&gt;0,(AB39-N39)/ABS(N39),0)</f>
        <v/>
      </c>
      <c r="AL39" s="11">
        <f>IF(AB39&lt;&gt;0,(AJ39-AB39)/ABS(AB39),0)</f>
        <v/>
      </c>
    </row>
    <row r="40" ht="13" customHeight="1">
      <c r="A40" s="25" t="inlineStr">
        <is>
          <t xml:space="preserve">    Telephone</t>
        </is>
      </c>
      <c r="B40" s="26" t="n">
        <v>0</v>
      </c>
      <c r="C40" s="26" t="n">
        <v>0</v>
      </c>
      <c r="D40" s="26" t="n">
        <v>0</v>
      </c>
      <c r="E40" s="26" t="n">
        <v>0</v>
      </c>
      <c r="F40" s="26" t="n">
        <v>0</v>
      </c>
      <c r="G40" s="26" t="n">
        <v>0</v>
      </c>
      <c r="H40" s="26" t="n">
        <v>0</v>
      </c>
      <c r="I40" s="26" t="n">
        <v>0</v>
      </c>
      <c r="J40" s="26" t="n">
        <v>0</v>
      </c>
      <c r="K40" s="26" t="n">
        <v>0</v>
      </c>
      <c r="L40" s="26" t="n">
        <v>0</v>
      </c>
      <c r="M40" s="26" t="n">
        <v>0</v>
      </c>
      <c r="N40" s="26">
        <f>SUM(B40:M40)</f>
        <v/>
      </c>
      <c r="O40" s="26" t="n">
        <v>14.2</v>
      </c>
      <c r="P40" s="26" t="n">
        <v>63.62</v>
      </c>
      <c r="Q40" s="26" t="n">
        <v>7.75</v>
      </c>
      <c r="R40" s="26" t="n">
        <v>215.54</v>
      </c>
      <c r="S40" s="26" t="n">
        <v>84.84</v>
      </c>
      <c r="T40" s="26" t="n">
        <v>311.31</v>
      </c>
      <c r="U40" s="26" t="n">
        <v>0</v>
      </c>
      <c r="AA40" s="26">
        <f>SUM(O40:U40)</f>
        <v/>
      </c>
      <c r="AB40" s="26">
        <f>SUM(O40:Z40)</f>
        <v/>
      </c>
      <c r="AC40" s="26" t="n">
        <v>0</v>
      </c>
      <c r="AD40" s="26" t="n">
        <v>0</v>
      </c>
      <c r="AE40" s="26" t="n">
        <v>0</v>
      </c>
      <c r="AF40" s="26" t="n">
        <v>0</v>
      </c>
      <c r="AG40" s="26" t="n">
        <v>0</v>
      </c>
      <c r="AH40" s="26" t="n">
        <v>0</v>
      </c>
      <c r="AI40" s="34">
        <f>SUM(AC40:AH40)</f>
        <v/>
      </c>
      <c r="AJ40" s="26">
        <f>SUM(AC40:AH40)+AI40</f>
        <v/>
      </c>
      <c r="AK40" s="11">
        <f>IF(N40&lt;&gt;0,(AB40-N40)/ABS(N40),0)</f>
        <v/>
      </c>
      <c r="AL40" s="11">
        <f>IF(AB40&lt;&gt;0,(AJ40-AB40)/ABS(AB40),0)</f>
        <v/>
      </c>
    </row>
    <row r="41" ht="13" customHeight="1">
      <c r="A41" s="25" t="inlineStr">
        <is>
          <t xml:space="preserve">    Marketing</t>
        </is>
      </c>
      <c r="B41" s="26" t="n">
        <v>0</v>
      </c>
      <c r="C41" s="26" t="n">
        <v>0</v>
      </c>
      <c r="D41" s="26" t="n">
        <v>0</v>
      </c>
      <c r="E41" s="26" t="n">
        <v>0</v>
      </c>
      <c r="F41" s="26" t="n">
        <v>0</v>
      </c>
      <c r="G41" s="26" t="n">
        <v>0</v>
      </c>
      <c r="H41" s="26" t="n">
        <v>0</v>
      </c>
      <c r="I41" s="26" t="n">
        <v>0</v>
      </c>
      <c r="J41" s="26" t="n">
        <v>0</v>
      </c>
      <c r="K41" s="26" t="n">
        <v>0</v>
      </c>
      <c r="L41" s="26" t="n">
        <v>29.98</v>
      </c>
      <c r="M41" s="26" t="n">
        <v>0</v>
      </c>
      <c r="N41" s="26">
        <f>SUM(B41:M41)</f>
        <v/>
      </c>
      <c r="O41" s="26" t="n">
        <v>0</v>
      </c>
      <c r="P41" s="26" t="n">
        <v>0</v>
      </c>
      <c r="Q41" s="26" t="n">
        <v>0</v>
      </c>
      <c r="R41" s="26" t="n">
        <v>0</v>
      </c>
      <c r="S41" s="26" t="n">
        <v>0</v>
      </c>
      <c r="T41" s="26" t="n">
        <v>0</v>
      </c>
      <c r="U41" s="26" t="n">
        <v>0</v>
      </c>
      <c r="V41" s="26" t="n">
        <v>0</v>
      </c>
      <c r="W41" s="26" t="n">
        <v>0</v>
      </c>
      <c r="X41" s="26" t="n">
        <v>0</v>
      </c>
      <c r="Y41" s="26" t="n">
        <v>0</v>
      </c>
      <c r="Z41" s="26" t="n">
        <v>0</v>
      </c>
      <c r="AA41" s="26">
        <f>SUM(O41:U41)</f>
        <v/>
      </c>
      <c r="AB41" s="26">
        <f>SUM(O41:Z41)</f>
        <v/>
      </c>
      <c r="AC41" s="26" t="n">
        <v>100</v>
      </c>
      <c r="AD41" s="26" t="n">
        <v>100</v>
      </c>
      <c r="AE41" s="26" t="n">
        <v>100</v>
      </c>
      <c r="AF41" s="26" t="n">
        <v>100</v>
      </c>
      <c r="AG41" s="26" t="n">
        <v>100</v>
      </c>
      <c r="AH41" s="26" t="n">
        <v>100</v>
      </c>
      <c r="AI41" s="34">
        <f>SUM(AC41:AH41)</f>
        <v/>
      </c>
      <c r="AJ41" s="26">
        <f>SUM(AC41:AH41)+AI41</f>
        <v/>
      </c>
      <c r="AK41" s="11">
        <f>IF(N41&lt;&gt;0,(AB41-N41)/ABS(N41),0)</f>
        <v/>
      </c>
      <c r="AL41" s="11">
        <f>IF(AB41&lt;&gt;0,(AJ41-AB41)/ABS(AB41),0)</f>
        <v/>
      </c>
    </row>
    <row r="42" ht="13" customHeight="1">
      <c r="A42" s="27" t="inlineStr">
        <is>
          <t>Total Premises &amp; Admin</t>
        </is>
      </c>
      <c r="B42" s="28">
        <f>B33+B34+B35+B36+B37+B38+B39+B40+B41</f>
        <v/>
      </c>
      <c r="C42" s="28">
        <f>C33+C34+C35+C36+C37+C38+C39+C40+C41</f>
        <v/>
      </c>
      <c r="D42" s="28">
        <f>D33+D34+D35+D36+D37+D38+D39+D40+D41</f>
        <v/>
      </c>
      <c r="E42" s="28">
        <f>E33+E34+E35+E36+E37+E38+E39+E40+E41</f>
        <v/>
      </c>
      <c r="F42" s="28">
        <f>F33+F34+F35+F36+F37+F38+F39+F40+F41</f>
        <v/>
      </c>
      <c r="G42" s="28">
        <f>G33+G34+G35+G36+G37+G38+G39+G40+G41</f>
        <v/>
      </c>
      <c r="H42" s="28">
        <f>H33+H34+H35+H36+H37+H38+H39+H40+H41</f>
        <v/>
      </c>
      <c r="I42" s="28">
        <f>I33+I34+I35+I36+I37+I38+I39+I40+I41</f>
        <v/>
      </c>
      <c r="J42" s="28">
        <f>J33+J34+J35+J36+J37+J38+J39+J40+J41</f>
        <v/>
      </c>
      <c r="K42" s="28">
        <f>K33+K34+K35+K36+K37+K38+K39+K40+K41</f>
        <v/>
      </c>
      <c r="L42" s="28">
        <f>L33+L34+L35+L36+L37+L38+L39+L40+L41</f>
        <v/>
      </c>
      <c r="M42" s="28">
        <f>M33+M34+M35+M36+M37+M38+M39+M40+M41</f>
        <v/>
      </c>
      <c r="N42" s="28">
        <f>N33+N34+N35+N36+N37+N38+N39+N40+N41</f>
        <v/>
      </c>
      <c r="O42" s="28">
        <f>O33+O34+O35+O36+O37+O38+O39+O40+O41</f>
        <v/>
      </c>
      <c r="P42" s="28">
        <f>P33+P34+P35+P36+P37+P38+P39+P40+P41</f>
        <v/>
      </c>
      <c r="Q42" s="28">
        <f>Q33+Q34+Q35+Q36+Q37+Q38+Q39+Q40+Q41</f>
        <v/>
      </c>
      <c r="R42" s="28">
        <f>R33+R34+R35+R36+R37+R38+R39+R40+R41</f>
        <v/>
      </c>
      <c r="S42" s="28">
        <f>S33+S34+S35+S36+S37+S38+S39+S40+S41</f>
        <v/>
      </c>
      <c r="T42" s="28">
        <f>T33+T34+T35+T36+T37+T38+T39+T40+T41</f>
        <v/>
      </c>
      <c r="U42" s="28">
        <f>U33+U34+U35+U36+U37+U38+U39+U40+U41</f>
        <v/>
      </c>
      <c r="V42" s="28">
        <f>V33+V34+V35+V36+V37+V38+V39+V40+V41</f>
        <v/>
      </c>
      <c r="W42" s="28">
        <f>W33+W34+W35+W36+W37+W38+W39+W40+W41</f>
        <v/>
      </c>
      <c r="X42" s="28">
        <f>X33+X34+X35+X36+X37+X38+X39+X40+X41</f>
        <v/>
      </c>
      <c r="Y42" s="28">
        <f>Y33+Y34+Y35+Y36+Y37+Y38+Y39+Y40+Y41</f>
        <v/>
      </c>
      <c r="Z42" s="28">
        <f>Z33+Z34+Z35+Z36+Z37+Z38+Z39+Z40+Z41</f>
        <v/>
      </c>
      <c r="AA42" s="28">
        <f>AA33+AA34+AA35+AA36+AA37+AA38+AA39+AA40+AA41</f>
        <v/>
      </c>
      <c r="AB42" s="28">
        <f>AB33+AB34+AB35+AB36+AB37+AB38+AB39+AB40+AB41</f>
        <v/>
      </c>
      <c r="AC42" s="28">
        <f>AC33+AC34+AC35+AC36+AC37+AC38+AC39+AC40+AC41</f>
        <v/>
      </c>
      <c r="AD42" s="28">
        <f>AD33+AD34+AD35+AD36+AD37+AD38+AD39+AD40+AD41</f>
        <v/>
      </c>
      <c r="AE42" s="28">
        <f>AE33+AE34+AE35+AE36+AE37+AE38+AE39+AE40+AE41</f>
        <v/>
      </c>
      <c r="AF42" s="28">
        <f>AF33+AF34+AF35+AF36+AF37+AF38+AF39+AF40+AF41</f>
        <v/>
      </c>
      <c r="AG42" s="28">
        <f>AG33+AG34+AG35+AG36+AG37+AG38+AG39+AG40+AG41</f>
        <v/>
      </c>
      <c r="AH42" s="28">
        <f>AH33+AH34+AH35+AH36+AH37+AH38+AH39+AH40+AH41</f>
        <v/>
      </c>
      <c r="AI42" s="28">
        <f>AI33+AI34+AI35+AI36+AI37+AI38+AI39+AI40+AI41</f>
        <v/>
      </c>
      <c r="AJ42" s="28">
        <f>AJ33+AJ34+AJ35+AJ36+AJ37+AJ38+AJ39+AJ40+AJ41</f>
        <v/>
      </c>
      <c r="AK42" s="11">
        <f>IF(N42&lt;&gt;0,(AB42-N42)/ABS(N42),0)</f>
        <v/>
      </c>
      <c r="AL42" s="11">
        <f>IF(AB42&lt;&gt;0,(AJ42-AB42)/ABS(AB42),0)</f>
        <v/>
      </c>
    </row>
    <row r="43" ht="5" customHeight="1"/>
    <row r="44" ht="13" customHeight="1">
      <c r="A44" s="29" t="inlineStr">
        <is>
          <t>Total Direct Costs</t>
        </is>
      </c>
      <c r="AK44" s="11">
        <f>IF(N44&lt;&gt;0,(AB44-N44)/ABS(N44),0)</f>
        <v/>
      </c>
      <c r="AL44" s="11">
        <f>IF(AB44&lt;&gt;0,(AJ44-AB44)/ABS(AB44),0)</f>
        <v/>
      </c>
    </row>
    <row r="45" ht="5" customHeight="1"/>
    <row r="46" ht="15" customHeight="1">
      <c r="A46" s="30" t="inlineStr">
        <is>
          <t>CONTRIBUTION</t>
        </is>
      </c>
      <c r="B46" s="31">
        <f>B7-B44</f>
        <v/>
      </c>
      <c r="C46" s="31">
        <f>C7-C44</f>
        <v/>
      </c>
      <c r="D46" s="31">
        <f>D7-D44</f>
        <v/>
      </c>
      <c r="E46" s="31">
        <f>E7-E44</f>
        <v/>
      </c>
      <c r="F46" s="31">
        <f>F7-F44</f>
        <v/>
      </c>
      <c r="G46" s="31">
        <f>G7-G44</f>
        <v/>
      </c>
      <c r="H46" s="31">
        <f>H7-H44</f>
        <v/>
      </c>
      <c r="I46" s="31">
        <f>I7-I44</f>
        <v/>
      </c>
      <c r="J46" s="31">
        <f>J7-J44</f>
        <v/>
      </c>
      <c r="K46" s="31">
        <f>K7-K44</f>
        <v/>
      </c>
      <c r="L46" s="31">
        <f>L7-L44</f>
        <v/>
      </c>
      <c r="M46" s="31">
        <f>M7-M44</f>
        <v/>
      </c>
      <c r="N46" s="31">
        <f>N7-N44</f>
        <v/>
      </c>
      <c r="O46" s="31">
        <f>O7-O44</f>
        <v/>
      </c>
      <c r="P46" s="31">
        <f>P7-P44</f>
        <v/>
      </c>
      <c r="Q46" s="31">
        <f>Q7-Q44</f>
        <v/>
      </c>
      <c r="R46" s="31">
        <f>R7-R44</f>
        <v/>
      </c>
      <c r="S46" s="31">
        <f>S7-S44</f>
        <v/>
      </c>
      <c r="T46" s="31">
        <f>T7-T44</f>
        <v/>
      </c>
      <c r="U46" s="31">
        <f>U7-U44</f>
        <v/>
      </c>
      <c r="V46" s="31">
        <f>V7-V44</f>
        <v/>
      </c>
      <c r="W46" s="31">
        <f>W7-W44</f>
        <v/>
      </c>
      <c r="X46" s="31">
        <f>X7-X44</f>
        <v/>
      </c>
      <c r="Y46" s="31">
        <f>Y7-Y44</f>
        <v/>
      </c>
      <c r="Z46" s="31">
        <f>Z7-Z44</f>
        <v/>
      </c>
      <c r="AA46" s="31">
        <f>AA7-AA44</f>
        <v/>
      </c>
      <c r="AB46" s="31">
        <f>AB7-AB44</f>
        <v/>
      </c>
      <c r="AC46" s="31">
        <f>AC7-AC44</f>
        <v/>
      </c>
      <c r="AD46" s="31">
        <f>AD7-AD44</f>
        <v/>
      </c>
      <c r="AE46" s="31">
        <f>AE7-AE44</f>
        <v/>
      </c>
      <c r="AF46" s="31">
        <f>AF7-AF44</f>
        <v/>
      </c>
      <c r="AG46" s="31">
        <f>AG7-AG44</f>
        <v/>
      </c>
      <c r="AH46" s="31">
        <f>AH7-AH44</f>
        <v/>
      </c>
      <c r="AI46" s="31">
        <f>AI7-AI44</f>
        <v/>
      </c>
      <c r="AJ46" s="31">
        <f>AJ7-AJ44</f>
        <v/>
      </c>
      <c r="AK46" s="11">
        <f>IF(N46&lt;&gt;0,(AB46-N46)/ABS(N46),0)</f>
        <v/>
      </c>
      <c r="AL46" s="11">
        <f>IF(AB46&lt;&gt;0,(AJ46-AB46)/ABS(AB46),0)</f>
        <v/>
      </c>
    </row>
  </sheetData>
  <mergeCells count="8">
    <mergeCell ref="A10:AL10"/>
    <mergeCell ref="B1:N1"/>
    <mergeCell ref="A23:AL23"/>
    <mergeCell ref="A32:AL32"/>
    <mergeCell ref="AC1:AJ1"/>
    <mergeCell ref="A9:AL9"/>
    <mergeCell ref="A3:AL3"/>
    <mergeCell ref="O1:AB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L4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9.5" customWidth="1" min="27" max="27"/>
    <col width="9.5" customWidth="1" min="28" max="28"/>
    <col width="9.5" customWidth="1" min="29" max="29"/>
    <col width="9.5" customWidth="1" min="30" max="30"/>
    <col width="9.5" customWidth="1" min="31" max="31"/>
    <col width="9.5" customWidth="1" min="32" max="32"/>
    <col width="9.5" customWidth="1" min="33" max="33"/>
    <col width="9.5" customWidth="1" min="34" max="34"/>
    <col width="9.5" customWidth="1" min="35" max="35"/>
    <col width="11" customWidth="1" min="36" max="36"/>
    <col width="10" customWidth="1" min="37" max="37"/>
    <col width="10" customWidth="1" min="38" max="38"/>
  </cols>
  <sheetData>
    <row r="1" ht="18" customHeight="1">
      <c r="A1" s="1" t="inlineStr">
        <is>
          <t>Kingsclere</t>
        </is>
      </c>
      <c r="B1" s="2" t="inlineStr">
        <is>
          <t>Actuals 2025</t>
        </is>
      </c>
      <c r="O1" s="2" t="inlineStr">
        <is>
          <t>2026 Actual / Forecast</t>
        </is>
      </c>
      <c r="AC1" s="32" t="inlineStr">
        <is>
          <t>2027 Plan</t>
        </is>
      </c>
      <c r="AK1" s="3" t="inlineStr">
        <is>
          <t>YoY</t>
        </is>
      </c>
      <c r="AL1" s="3" t="inlineStr">
        <is>
          <t>YoY</t>
        </is>
      </c>
    </row>
    <row r="2" ht="22" customHeight="1">
      <c r="B2" s="4" t="inlineStr">
        <is>
          <t>Jan</t>
        </is>
      </c>
      <c r="C2" s="4" t="inlineStr">
        <is>
          <t>Feb</t>
        </is>
      </c>
      <c r="D2" s="4" t="inlineStr">
        <is>
          <t>Mar</t>
        </is>
      </c>
      <c r="E2" s="4" t="inlineStr">
        <is>
          <t>Apr</t>
        </is>
      </c>
      <c r="F2" s="4" t="inlineStr">
        <is>
          <t>May</t>
        </is>
      </c>
      <c r="G2" s="4" t="inlineStr">
        <is>
          <t>Jun</t>
        </is>
      </c>
      <c r="H2" s="4" t="inlineStr">
        <is>
          <t>Jul</t>
        </is>
      </c>
      <c r="I2" s="4" t="inlineStr">
        <is>
          <t>Aug</t>
        </is>
      </c>
      <c r="J2" s="4" t="inlineStr">
        <is>
          <t>Sep</t>
        </is>
      </c>
      <c r="K2" s="4" t="inlineStr">
        <is>
          <t>Oct</t>
        </is>
      </c>
      <c r="L2" s="4" t="inlineStr">
        <is>
          <t>Nov</t>
        </is>
      </c>
      <c r="M2" s="4" t="inlineStr">
        <is>
          <t>Dec</t>
        </is>
      </c>
      <c r="N2" s="5" t="inlineStr">
        <is>
          <t>FY2025
Total</t>
        </is>
      </c>
      <c r="O2" s="4" t="inlineStr">
        <is>
          <t>Jan</t>
        </is>
      </c>
      <c r="P2" s="4" t="inlineStr">
        <is>
          <t>Feb</t>
        </is>
      </c>
      <c r="Q2" s="4" t="inlineStr">
        <is>
          <t>Mar</t>
        </is>
      </c>
      <c r="R2" s="4" t="inlineStr">
        <is>
          <t>Apr</t>
        </is>
      </c>
      <c r="S2" s="4" t="inlineStr">
        <is>
          <t>May</t>
        </is>
      </c>
      <c r="T2" s="4" t="inlineStr">
        <is>
          <t>Jun</t>
        </is>
      </c>
      <c r="U2" s="4" t="inlineStr">
        <is>
          <t>Jul</t>
        </is>
      </c>
      <c r="V2" s="4" t="inlineStr">
        <is>
          <t>Aug</t>
        </is>
      </c>
      <c r="W2" s="4" t="inlineStr">
        <is>
          <t>Sep</t>
        </is>
      </c>
      <c r="X2" s="4" t="inlineStr">
        <is>
          <t>Oct</t>
        </is>
      </c>
      <c r="Y2" s="4" t="inlineStr">
        <is>
          <t>Nov</t>
        </is>
      </c>
      <c r="Z2" s="4" t="inlineStr">
        <is>
          <t>Dec</t>
        </is>
      </c>
      <c r="AA2" s="4" t="inlineStr">
        <is>
          <t>YTD</t>
        </is>
      </c>
      <c r="AB2" s="5" t="inlineStr">
        <is>
          <t>FY2026
Outlook</t>
        </is>
      </c>
      <c r="AC2" s="4" t="inlineStr">
        <is>
          <t>Jan</t>
        </is>
      </c>
      <c r="AD2" s="4" t="inlineStr">
        <is>
          <t>Feb</t>
        </is>
      </c>
      <c r="AE2" s="4" t="inlineStr">
        <is>
          <t>Mar</t>
        </is>
      </c>
      <c r="AF2" s="4" t="inlineStr">
        <is>
          <t>Apr</t>
        </is>
      </c>
      <c r="AG2" s="4" t="inlineStr">
        <is>
          <t>May</t>
        </is>
      </c>
      <c r="AH2" s="4" t="inlineStr">
        <is>
          <t>Jun</t>
        </is>
      </c>
      <c r="AI2" s="33" t="inlineStr">
        <is>
          <t>Jul-Dec
Plan</t>
        </is>
      </c>
      <c r="AJ2" s="4" t="inlineStr">
        <is>
          <t>FY2027</t>
        </is>
      </c>
      <c r="AK2" s="6" t="inlineStr">
        <is>
          <t>25→26
%</t>
        </is>
      </c>
      <c r="AL2" s="6" t="inlineStr">
        <is>
          <t>26→27
%</t>
        </is>
      </c>
    </row>
    <row r="3" ht="15" customHeight="1">
      <c r="A3" s="7" t="inlineStr">
        <is>
          <t>INCOME</t>
        </is>
      </c>
    </row>
    <row r="4" ht="13" customHeight="1">
      <c r="A4" s="8" t="inlineStr">
        <is>
          <t xml:space="preserve">    Fee Income Regular</t>
        </is>
      </c>
      <c r="B4" s="9" t="n">
        <v>22870.34</v>
      </c>
      <c r="C4" s="9" t="n">
        <v>20355.4</v>
      </c>
      <c r="D4" s="9" t="n">
        <v>23704.42</v>
      </c>
      <c r="E4" s="9" t="n">
        <v>26731.27</v>
      </c>
      <c r="F4" s="9" t="n">
        <v>24249.3</v>
      </c>
      <c r="G4" s="9" t="n">
        <v>26195.06</v>
      </c>
      <c r="H4" s="9" t="n">
        <v>34918.49</v>
      </c>
      <c r="I4" s="9" t="n">
        <v>29544.89</v>
      </c>
      <c r="J4" s="9" t="n">
        <v>19810.11</v>
      </c>
      <c r="K4" s="9" t="n">
        <v>19723.77</v>
      </c>
      <c r="L4" s="9" t="n">
        <v>17281.63</v>
      </c>
      <c r="M4" s="9" t="n">
        <v>23883.61</v>
      </c>
      <c r="N4" s="9">
        <f>SUM(B4:M4)</f>
        <v/>
      </c>
      <c r="O4" s="9" t="n">
        <v>15245.31</v>
      </c>
      <c r="P4" s="9" t="n">
        <v>15771.12</v>
      </c>
      <c r="Q4" s="9" t="n">
        <v>20469.41999999999</v>
      </c>
      <c r="R4" s="9" t="n">
        <v>22519.66</v>
      </c>
      <c r="S4" s="9" t="n">
        <v>20135.17</v>
      </c>
      <c r="T4" s="9" t="n">
        <v>22751.51</v>
      </c>
      <c r="U4" s="9" t="n">
        <v>32640.36</v>
      </c>
      <c r="AA4" s="9">
        <f>SUM(O4:U4)</f>
        <v/>
      </c>
      <c r="AB4" s="9">
        <f>SUM(O4:Z4)</f>
        <v/>
      </c>
      <c r="AC4" s="9" t="n">
        <v>39926.56</v>
      </c>
      <c r="AD4" s="9" t="n">
        <v>37674.64</v>
      </c>
      <c r="AE4" s="9" t="n">
        <v>44411.48</v>
      </c>
      <c r="AF4" s="9" t="n">
        <v>42605.35</v>
      </c>
      <c r="AG4" s="9" t="n">
        <v>42601.69</v>
      </c>
      <c r="AH4" s="9" t="n">
        <v>43952.64</v>
      </c>
      <c r="AI4" s="34">
        <f>SUM(AC4:AH4)</f>
        <v/>
      </c>
      <c r="AJ4" s="9">
        <f>SUM(AC4:AH4)+AI4</f>
        <v/>
      </c>
      <c r="AK4" s="11">
        <f>IF(N4&lt;&gt;0,(AB4-N4)/ABS(N4),0)</f>
        <v/>
      </c>
      <c r="AL4" s="11">
        <f>IF(AB4&lt;&gt;0,(AJ4-AB4)/ABS(AB4),0)</f>
        <v/>
      </c>
    </row>
    <row r="5" ht="13" customHeight="1">
      <c r="A5" s="8" t="inlineStr">
        <is>
          <t xml:space="preserve">    EEEF Embedded</t>
        </is>
      </c>
      <c r="B5" s="9" t="n">
        <v>6489.72</v>
      </c>
      <c r="C5" s="9" t="n">
        <v>6489.72</v>
      </c>
      <c r="D5" s="9" t="n">
        <v>6776.320000000001</v>
      </c>
      <c r="E5" s="9" t="n">
        <v>7503.04</v>
      </c>
      <c r="F5" s="9" t="n">
        <v>7503.04</v>
      </c>
      <c r="G5" s="9" t="n">
        <v>7503.04</v>
      </c>
      <c r="H5" s="9" t="n">
        <v>15996.92</v>
      </c>
      <c r="I5" s="9" t="n">
        <v>0</v>
      </c>
      <c r="J5" s="9" t="n">
        <v>6466.01</v>
      </c>
      <c r="K5" s="9" t="n">
        <v>6466.01</v>
      </c>
      <c r="L5" s="9" t="n">
        <v>17054.35</v>
      </c>
      <c r="M5" s="9" t="n">
        <v>17215.99</v>
      </c>
      <c r="N5" s="9">
        <f>SUM(B5:M5)</f>
        <v/>
      </c>
      <c r="O5" s="9" t="n">
        <v>11761.35</v>
      </c>
      <c r="P5" s="9" t="n">
        <v>11761.35</v>
      </c>
      <c r="Q5" s="9" t="n">
        <v>14620.91</v>
      </c>
      <c r="R5" s="9" t="n">
        <v>13713.51</v>
      </c>
      <c r="S5" s="9" t="n">
        <v>13713.51</v>
      </c>
      <c r="T5" s="9" t="n">
        <v>13663.92</v>
      </c>
      <c r="U5" s="9" t="n">
        <v>13696.98</v>
      </c>
      <c r="AA5" s="9">
        <f>SUM(O5:U5)</f>
        <v/>
      </c>
      <c r="AB5" s="9">
        <f>SUM(O5:Z5)</f>
        <v/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34">
        <f>SUM(AC5:AH5)</f>
        <v/>
      </c>
      <c r="AJ5" s="9">
        <f>SUM(AC5:AH5)+AI5</f>
        <v/>
      </c>
      <c r="AK5" s="11">
        <f>IF(N5&lt;&gt;0,(AB5-N5)/ABS(N5),0)</f>
        <v/>
      </c>
      <c r="AL5" s="11">
        <f>IF(AB5&lt;&gt;0,(AJ5-AB5)/ABS(AB5),0)</f>
        <v/>
      </c>
    </row>
    <row r="6" ht="13" customHeight="1">
      <c r="A6" s="8" t="inlineStr">
        <is>
          <t xml:space="preserve">    Other Income</t>
        </is>
      </c>
      <c r="B6" s="9" t="n">
        <v>0</v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1724.64</v>
      </c>
      <c r="J6" s="9" t="n">
        <v>0</v>
      </c>
      <c r="K6" s="9" t="n">
        <v>0</v>
      </c>
      <c r="L6" s="9" t="n">
        <v>0</v>
      </c>
      <c r="M6" s="9" t="n">
        <v>0</v>
      </c>
      <c r="N6" s="9">
        <f>SUM(B6:M6)</f>
        <v/>
      </c>
      <c r="O6" s="9" t="n">
        <v>500</v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AA6" s="9">
        <f>SUM(O6:U6)</f>
        <v/>
      </c>
      <c r="AB6" s="9">
        <f>SUM(O6:Z6)</f>
        <v/>
      </c>
      <c r="AC6" s="9" t="n">
        <v>0</v>
      </c>
      <c r="AD6" s="9" t="n">
        <v>0</v>
      </c>
      <c r="AE6" s="9" t="n">
        <v>0</v>
      </c>
      <c r="AF6" s="9" t="n">
        <v>0</v>
      </c>
      <c r="AG6" s="9" t="n">
        <v>0</v>
      </c>
      <c r="AH6" s="9" t="n">
        <v>0</v>
      </c>
      <c r="AI6" s="34">
        <f>SUM(AC6:AH6)</f>
        <v/>
      </c>
      <c r="AJ6" s="9">
        <f>SUM(AC6:AH6)+AI6</f>
        <v/>
      </c>
      <c r="AK6" s="11">
        <f>IF(N6&lt;&gt;0,(AB6-N6)/ABS(N6),0)</f>
        <v/>
      </c>
      <c r="AL6" s="11">
        <f>IF(AB6&lt;&gt;0,(AJ6-AB6)/ABS(AB6),0)</f>
        <v/>
      </c>
    </row>
    <row r="7" ht="13" customHeight="1">
      <c r="A7" s="12" t="inlineStr">
        <is>
          <t>Total Income</t>
        </is>
      </c>
      <c r="B7" s="13">
        <f>B4+B5+B6</f>
        <v/>
      </c>
      <c r="C7" s="13">
        <f>C4+C5+C6</f>
        <v/>
      </c>
      <c r="D7" s="13">
        <f>D4+D5+D6</f>
        <v/>
      </c>
      <c r="E7" s="13">
        <f>E4+E5+E6</f>
        <v/>
      </c>
      <c r="F7" s="13">
        <f>F4+F5+F6</f>
        <v/>
      </c>
      <c r="G7" s="13">
        <f>G4+G5+G6</f>
        <v/>
      </c>
      <c r="H7" s="13">
        <f>H4+H5+H6</f>
        <v/>
      </c>
      <c r="I7" s="13">
        <f>I4+I5+I6</f>
        <v/>
      </c>
      <c r="J7" s="13">
        <f>J4+J5+J6</f>
        <v/>
      </c>
      <c r="K7" s="13">
        <f>K4+K5+K6</f>
        <v/>
      </c>
      <c r="L7" s="13">
        <f>L4+L5+L6</f>
        <v/>
      </c>
      <c r="M7" s="13">
        <f>M4+M5+M6</f>
        <v/>
      </c>
      <c r="N7" s="13">
        <f>N4+N5+N6</f>
        <v/>
      </c>
      <c r="O7" s="13">
        <f>O4+O5+O6</f>
        <v/>
      </c>
      <c r="P7" s="13">
        <f>P4+P5+P6</f>
        <v/>
      </c>
      <c r="Q7" s="13">
        <f>Q4+Q5+Q6</f>
        <v/>
      </c>
      <c r="R7" s="13">
        <f>R4+R5+R6</f>
        <v/>
      </c>
      <c r="S7" s="13">
        <f>S4+S5+S6</f>
        <v/>
      </c>
      <c r="T7" s="13">
        <f>T4+T5+T6</f>
        <v/>
      </c>
      <c r="U7" s="13">
        <f>U4+U5+U6</f>
        <v/>
      </c>
      <c r="V7" s="13">
        <f>V4+V5+V6</f>
        <v/>
      </c>
      <c r="W7" s="13">
        <f>W4+W5+W6</f>
        <v/>
      </c>
      <c r="X7" s="13">
        <f>X4+X5+X6</f>
        <v/>
      </c>
      <c r="Y7" s="13">
        <f>Y4+Y5+Y6</f>
        <v/>
      </c>
      <c r="Z7" s="13">
        <f>Z4+Z5+Z6</f>
        <v/>
      </c>
      <c r="AA7" s="13">
        <f>AA4+AA5+AA6</f>
        <v/>
      </c>
      <c r="AB7" s="13">
        <f>AB4+AB5+AB6</f>
        <v/>
      </c>
      <c r="AC7" s="13">
        <f>AC4+AC5+AC6</f>
        <v/>
      </c>
      <c r="AD7" s="13">
        <f>AD4+AD5+AD6</f>
        <v/>
      </c>
      <c r="AE7" s="13">
        <f>AE4+AE5+AE6</f>
        <v/>
      </c>
      <c r="AF7" s="13">
        <f>AF4+AF5+AF6</f>
        <v/>
      </c>
      <c r="AG7" s="13">
        <f>AG4+AG5+AG6</f>
        <v/>
      </c>
      <c r="AH7" s="13">
        <f>AH4+AH5+AH6</f>
        <v/>
      </c>
      <c r="AI7" s="13">
        <f>AI4+AI5+AI6</f>
        <v/>
      </c>
      <c r="AJ7" s="13">
        <f>AJ4+AJ5+AJ6</f>
        <v/>
      </c>
      <c r="AK7" s="11">
        <f>IF(N7&lt;&gt;0,(AB7-N7)/ABS(N7),0)</f>
        <v/>
      </c>
      <c r="AL7" s="11">
        <f>IF(AB7&lt;&gt;0,(AJ7-AB7)/ABS(AB7),0)</f>
        <v/>
      </c>
    </row>
    <row r="8" ht="5" customHeight="1"/>
    <row r="9" ht="15" customHeight="1">
      <c r="A9" s="7" t="inlineStr">
        <is>
          <t>DIRECT COSTS</t>
        </is>
      </c>
    </row>
    <row r="10" ht="13" customHeight="1">
      <c r="A10" s="14" t="inlineStr">
        <is>
          <t>Personnel</t>
        </is>
      </c>
    </row>
    <row r="11" ht="13" customHeight="1">
      <c r="A11" s="15" t="inlineStr">
        <is>
          <t xml:space="preserve">    Nursery Salaries</t>
        </is>
      </c>
      <c r="B11" s="16" t="n">
        <v>13592.8</v>
      </c>
      <c r="C11" s="16" t="n">
        <v>16596.28</v>
      </c>
      <c r="D11" s="16" t="n">
        <v>16290.85</v>
      </c>
      <c r="E11" s="16" t="n">
        <v>16097.89</v>
      </c>
      <c r="F11" s="16" t="n">
        <v>16253.33</v>
      </c>
      <c r="G11" s="16" t="n">
        <v>16542.65</v>
      </c>
      <c r="H11" s="16" t="n">
        <v>16564.15</v>
      </c>
      <c r="I11" s="16" t="n">
        <v>15091.52</v>
      </c>
      <c r="J11" s="16" t="n">
        <v>15920.49</v>
      </c>
      <c r="K11" s="16" t="n">
        <v>15616.67</v>
      </c>
      <c r="L11" s="16" t="n">
        <v>15962.02</v>
      </c>
      <c r="M11" s="16" t="n">
        <v>14849.14</v>
      </c>
      <c r="N11" s="16">
        <f>SUM(B11:M11)</f>
        <v/>
      </c>
      <c r="O11" s="16" t="n">
        <v>20041.17</v>
      </c>
      <c r="P11" s="16" t="n">
        <v>18133.19</v>
      </c>
      <c r="Q11" s="16" t="n">
        <v>15924.14</v>
      </c>
      <c r="R11" s="16" t="n">
        <v>16140.24</v>
      </c>
      <c r="S11" s="16" t="n">
        <v>15928.26</v>
      </c>
      <c r="T11" s="16" t="n">
        <v>17171.98</v>
      </c>
      <c r="U11" s="16" t="n">
        <v>16231.3</v>
      </c>
      <c r="AA11" s="16">
        <f>SUM(O11:U11)</f>
        <v/>
      </c>
      <c r="AB11" s="16">
        <f>SUM(O11:Z11)</f>
        <v/>
      </c>
      <c r="AC11" s="16" t="n">
        <v>16231.3</v>
      </c>
      <c r="AD11" s="16" t="n">
        <v>16231.3</v>
      </c>
      <c r="AE11" s="16" t="n">
        <v>16231.3</v>
      </c>
      <c r="AF11" s="16" t="n">
        <v>16231.3</v>
      </c>
      <c r="AG11" s="16" t="n">
        <v>16231.3</v>
      </c>
      <c r="AH11" s="16" t="n">
        <v>16231.3</v>
      </c>
      <c r="AI11" s="34">
        <f>SUM(AC11:AH11)</f>
        <v/>
      </c>
      <c r="AJ11" s="16">
        <f>SUM(AC11:AH11)+AI11</f>
        <v/>
      </c>
      <c r="AK11" s="11">
        <f>IF(N11&lt;&gt;0,(AB11-N11)/ABS(N11),0)</f>
        <v/>
      </c>
      <c r="AL11" s="11">
        <f>IF(AB11&lt;&gt;0,(AJ11-AB11)/ABS(AB11),0)</f>
        <v/>
      </c>
    </row>
    <row r="12" ht="13" customHeight="1">
      <c r="A12" s="15" t="inlineStr">
        <is>
          <t xml:space="preserve">    Nursery NI</t>
        </is>
      </c>
      <c r="B12" s="16" t="n">
        <v>996.45</v>
      </c>
      <c r="C12" s="16" t="n">
        <v>1024.17</v>
      </c>
      <c r="D12" s="16" t="n">
        <v>1057.44</v>
      </c>
      <c r="E12" s="16" t="n">
        <v>1332.69</v>
      </c>
      <c r="F12" s="16" t="n">
        <v>1575.02</v>
      </c>
      <c r="G12" s="16" t="n">
        <v>1629.49</v>
      </c>
      <c r="H12" s="16" t="n">
        <v>1641.72</v>
      </c>
      <c r="I12" s="16" t="n">
        <v>1473.5</v>
      </c>
      <c r="J12" s="16" t="n">
        <v>1458.61</v>
      </c>
      <c r="K12" s="16" t="n">
        <v>1759.2</v>
      </c>
      <c r="L12" s="16" t="n">
        <v>1810.4</v>
      </c>
      <c r="M12" s="16" t="n">
        <v>1642.86</v>
      </c>
      <c r="N12" s="16">
        <f>SUM(B12:M12)</f>
        <v/>
      </c>
      <c r="O12" s="16" t="n">
        <v>2355.2</v>
      </c>
      <c r="P12" s="16" t="n">
        <v>2183.14</v>
      </c>
      <c r="Q12" s="16" t="n">
        <v>1783.6</v>
      </c>
      <c r="R12" s="16" t="n">
        <v>1777.72</v>
      </c>
      <c r="S12" s="16" t="n">
        <v>1615.62</v>
      </c>
      <c r="T12" s="16" t="n">
        <v>1700.15</v>
      </c>
      <c r="U12" s="16" t="n">
        <v>1608.31</v>
      </c>
      <c r="AA12" s="16">
        <f>SUM(O12:U12)</f>
        <v/>
      </c>
      <c r="AB12" s="16">
        <f>SUM(O12:Z12)</f>
        <v/>
      </c>
      <c r="AC12" s="16" t="n">
        <v>1608.31</v>
      </c>
      <c r="AD12" s="16" t="n">
        <v>1608.31</v>
      </c>
      <c r="AE12" s="16" t="n">
        <v>1608.31</v>
      </c>
      <c r="AF12" s="16" t="n">
        <v>1608.31</v>
      </c>
      <c r="AG12" s="16" t="n">
        <v>1608.31</v>
      </c>
      <c r="AH12" s="16" t="n">
        <v>1608.31</v>
      </c>
      <c r="AI12" s="34">
        <f>SUM(AC12:AH12)</f>
        <v/>
      </c>
      <c r="AJ12" s="16">
        <f>SUM(AC12:AH12)+AI12</f>
        <v/>
      </c>
      <c r="AK12" s="11">
        <f>IF(N12&lt;&gt;0,(AB12-N12)/ABS(N12),0)</f>
        <v/>
      </c>
      <c r="AL12" s="11">
        <f>IF(AB12&lt;&gt;0,(AJ12-AB12)/ABS(AB12),0)</f>
        <v/>
      </c>
    </row>
    <row r="13" ht="13" customHeight="1">
      <c r="A13" s="15" t="inlineStr">
        <is>
          <t xml:space="preserve">    Nursery Pension</t>
        </is>
      </c>
      <c r="B13" s="16" t="n">
        <v>245.17</v>
      </c>
      <c r="C13" s="16" t="n">
        <v>251.2</v>
      </c>
      <c r="D13" s="16" t="n">
        <v>244.04</v>
      </c>
      <c r="E13" s="16" t="n">
        <v>193.55</v>
      </c>
      <c r="F13" s="16" t="n">
        <v>236.58</v>
      </c>
      <c r="G13" s="16" t="n">
        <v>310.42</v>
      </c>
      <c r="H13" s="16" t="n">
        <v>312.87</v>
      </c>
      <c r="I13" s="16" t="n">
        <v>279.23</v>
      </c>
      <c r="J13" s="16" t="n">
        <v>273.16</v>
      </c>
      <c r="K13" s="16" t="n">
        <v>280.62</v>
      </c>
      <c r="L13" s="16" t="n">
        <v>291.55</v>
      </c>
      <c r="M13" s="16" t="n">
        <v>252.72</v>
      </c>
      <c r="N13" s="16">
        <f>SUM(B13:M13)</f>
        <v/>
      </c>
      <c r="O13" s="16" t="n">
        <v>293.1</v>
      </c>
      <c r="P13" s="16" t="n">
        <v>253.75</v>
      </c>
      <c r="Q13" s="16" t="n">
        <v>295.81</v>
      </c>
      <c r="R13" s="16" t="n">
        <v>306.68</v>
      </c>
      <c r="S13" s="16" t="n">
        <v>301.09</v>
      </c>
      <c r="T13" s="16" t="n">
        <v>321.47</v>
      </c>
      <c r="U13" s="16" t="n">
        <v>303.09</v>
      </c>
      <c r="AA13" s="16">
        <f>SUM(O13:U13)</f>
        <v/>
      </c>
      <c r="AB13" s="16">
        <f>SUM(O13:Z13)</f>
        <v/>
      </c>
      <c r="AC13" s="16" t="n">
        <v>303.09</v>
      </c>
      <c r="AD13" s="16" t="n">
        <v>303.09</v>
      </c>
      <c r="AE13" s="16" t="n">
        <v>303.09</v>
      </c>
      <c r="AF13" s="16" t="n">
        <v>303.09</v>
      </c>
      <c r="AG13" s="16" t="n">
        <v>303.09</v>
      </c>
      <c r="AH13" s="16" t="n">
        <v>303.09</v>
      </c>
      <c r="AI13" s="34">
        <f>SUM(AC13:AH13)</f>
        <v/>
      </c>
      <c r="AJ13" s="16">
        <f>SUM(AC13:AH13)+AI13</f>
        <v/>
      </c>
      <c r="AK13" s="11">
        <f>IF(N13&lt;&gt;0,(AB13-N13)/ABS(N13),0)</f>
        <v/>
      </c>
      <c r="AL13" s="11">
        <f>IF(AB13&lt;&gt;0,(AJ13-AB13)/ABS(AB13),0)</f>
        <v/>
      </c>
    </row>
    <row r="14" ht="13" customHeight="1">
      <c r="A14" s="15" t="inlineStr">
        <is>
          <t xml:space="preserve">    Uniform</t>
        </is>
      </c>
      <c r="B14" s="16" t="n">
        <v>50.22</v>
      </c>
      <c r="C14" s="16" t="n">
        <v>0</v>
      </c>
      <c r="D14" s="16" t="n">
        <v>0</v>
      </c>
      <c r="E14" s="16" t="n">
        <v>0</v>
      </c>
      <c r="F14" s="16" t="n">
        <v>57.3</v>
      </c>
      <c r="G14" s="16" t="n">
        <v>0</v>
      </c>
      <c r="H14" s="16" t="n">
        <v>160.14</v>
      </c>
      <c r="I14" s="16" t="n">
        <v>0</v>
      </c>
      <c r="J14" s="16" t="n">
        <v>185.22</v>
      </c>
      <c r="K14" s="16" t="n">
        <v>70.14</v>
      </c>
      <c r="L14" s="16" t="n">
        <v>28.68</v>
      </c>
      <c r="M14" s="16" t="n">
        <v>7.99</v>
      </c>
      <c r="N14" s="16">
        <f>SUM(B14:M14)</f>
        <v/>
      </c>
      <c r="O14" s="16" t="n">
        <v>116.64</v>
      </c>
      <c r="P14" s="16" t="n">
        <v>0</v>
      </c>
      <c r="Q14" s="16" t="n">
        <v>0</v>
      </c>
      <c r="R14" s="16" t="n">
        <v>0</v>
      </c>
      <c r="S14" s="16" t="n">
        <v>124.2</v>
      </c>
      <c r="T14" s="16" t="n">
        <v>27.98</v>
      </c>
      <c r="U14" s="16" t="n">
        <v>0</v>
      </c>
      <c r="AA14" s="16">
        <f>SUM(O14:U14)</f>
        <v/>
      </c>
      <c r="AB14" s="16">
        <f>SUM(O14:Z14)</f>
        <v/>
      </c>
      <c r="AC14" s="16" t="n">
        <v>50</v>
      </c>
      <c r="AD14" s="16" t="n">
        <v>50</v>
      </c>
      <c r="AE14" s="16" t="n">
        <v>50</v>
      </c>
      <c r="AF14" s="16" t="n">
        <v>50</v>
      </c>
      <c r="AG14" s="16" t="n">
        <v>50</v>
      </c>
      <c r="AH14" s="16" t="n">
        <v>50</v>
      </c>
      <c r="AI14" s="34">
        <f>SUM(AC14:AH14)</f>
        <v/>
      </c>
      <c r="AJ14" s="16">
        <f>SUM(AC14:AH14)+AI14</f>
        <v/>
      </c>
      <c r="AK14" s="11">
        <f>IF(N14&lt;&gt;0,(AB14-N14)/ABS(N14),0)</f>
        <v/>
      </c>
      <c r="AL14" s="11">
        <f>IF(AB14&lt;&gt;0,(AJ14-AB14)/ABS(AB14),0)</f>
        <v/>
      </c>
    </row>
    <row r="15" ht="13" customHeight="1">
      <c r="A15" s="15" t="inlineStr">
        <is>
          <t xml:space="preserve">    Training</t>
        </is>
      </c>
      <c r="B15" s="16" t="n">
        <v>56</v>
      </c>
      <c r="C15" s="16" t="n">
        <v>0</v>
      </c>
      <c r="D15" s="16" t="n">
        <v>0</v>
      </c>
      <c r="E15" s="16" t="n">
        <v>46.2</v>
      </c>
      <c r="F15" s="16" t="n">
        <v>18</v>
      </c>
      <c r="G15" s="16" t="n">
        <v>20</v>
      </c>
      <c r="H15" s="16" t="n">
        <v>0</v>
      </c>
      <c r="I15" s="16" t="n">
        <v>70.5</v>
      </c>
      <c r="J15" s="16" t="n">
        <v>0</v>
      </c>
      <c r="K15" s="16" t="n">
        <v>0</v>
      </c>
      <c r="L15" s="16" t="n">
        <v>542.9</v>
      </c>
      <c r="M15" s="16" t="n">
        <v>0</v>
      </c>
      <c r="N15" s="16">
        <f>SUM(B15:M15)</f>
        <v/>
      </c>
      <c r="O15" s="16" t="n">
        <v>0</v>
      </c>
      <c r="P15" s="16" t="n">
        <v>191.99</v>
      </c>
      <c r="Q15" s="16" t="n">
        <v>336</v>
      </c>
      <c r="R15" s="16" t="n">
        <v>0</v>
      </c>
      <c r="S15" s="16" t="n">
        <v>0</v>
      </c>
      <c r="T15" s="16" t="n">
        <v>24</v>
      </c>
      <c r="U15" s="16" t="n">
        <v>0</v>
      </c>
      <c r="AA15" s="16">
        <f>SUM(O15:U15)</f>
        <v/>
      </c>
      <c r="AB15" s="16">
        <f>SUM(O15:Z15)</f>
        <v/>
      </c>
      <c r="AC15" s="16" t="n">
        <v>50</v>
      </c>
      <c r="AD15" s="16" t="n">
        <v>50</v>
      </c>
      <c r="AE15" s="16" t="n">
        <v>50</v>
      </c>
      <c r="AF15" s="16" t="n">
        <v>50</v>
      </c>
      <c r="AG15" s="16" t="n">
        <v>50</v>
      </c>
      <c r="AH15" s="16" t="n">
        <v>50</v>
      </c>
      <c r="AI15" s="34">
        <f>SUM(AC15:AH15)</f>
        <v/>
      </c>
      <c r="AJ15" s="16">
        <f>SUM(AC15:AH15)+AI15</f>
        <v/>
      </c>
      <c r="AK15" s="11">
        <f>IF(N15&lt;&gt;0,(AB15-N15)/ABS(N15),0)</f>
        <v/>
      </c>
      <c r="AL15" s="11">
        <f>IF(AB15&lt;&gt;0,(AJ15-AB15)/ABS(AB15),0)</f>
        <v/>
      </c>
    </row>
    <row r="16" ht="13" customHeight="1">
      <c r="A16" s="15" t="inlineStr">
        <is>
          <t xml:space="preserve">    Staff Welfare</t>
        </is>
      </c>
      <c r="B16" s="16" t="n">
        <v>84.36</v>
      </c>
      <c r="C16" s="16" t="n">
        <v>530.3099999999999</v>
      </c>
      <c r="D16" s="16" t="n">
        <v>35.12</v>
      </c>
      <c r="E16" s="16" t="n">
        <v>69.5</v>
      </c>
      <c r="F16" s="16" t="n">
        <v>103.74</v>
      </c>
      <c r="G16" s="16" t="n">
        <v>23.19</v>
      </c>
      <c r="H16" s="16" t="n">
        <v>104.06</v>
      </c>
      <c r="I16" s="16" t="n">
        <v>211.05</v>
      </c>
      <c r="J16" s="16" t="n">
        <v>87.06</v>
      </c>
      <c r="K16" s="16" t="n">
        <v>323.12</v>
      </c>
      <c r="L16" s="16" t="n">
        <v>235.68</v>
      </c>
      <c r="M16" s="16" t="n">
        <v>142.07</v>
      </c>
      <c r="N16" s="16">
        <f>SUM(B16:M16)</f>
        <v/>
      </c>
      <c r="O16" s="16" t="n">
        <v>186.99</v>
      </c>
      <c r="P16" s="16" t="n">
        <v>196.28</v>
      </c>
      <c r="Q16" s="16" t="n">
        <v>26.69</v>
      </c>
      <c r="R16" s="16" t="n">
        <v>65</v>
      </c>
      <c r="S16" s="16" t="n">
        <v>48.38</v>
      </c>
      <c r="T16" s="16" t="n">
        <v>191.64</v>
      </c>
      <c r="U16" s="16" t="n">
        <v>231.86</v>
      </c>
      <c r="AA16" s="16">
        <f>SUM(O16:U16)</f>
        <v/>
      </c>
      <c r="AB16" s="16">
        <f>SUM(O16:Z16)</f>
        <v/>
      </c>
      <c r="AC16" s="16" t="n">
        <v>80</v>
      </c>
      <c r="AD16" s="16" t="n">
        <v>80</v>
      </c>
      <c r="AE16" s="16" t="n">
        <v>80</v>
      </c>
      <c r="AF16" s="16" t="n">
        <v>80</v>
      </c>
      <c r="AG16" s="16" t="n">
        <v>80</v>
      </c>
      <c r="AH16" s="16" t="n">
        <v>80</v>
      </c>
      <c r="AI16" s="34">
        <f>SUM(AC16:AH16)</f>
        <v/>
      </c>
      <c r="AJ16" s="16">
        <f>SUM(AC16:AH16)+AI16</f>
        <v/>
      </c>
      <c r="AK16" s="11">
        <f>IF(N16&lt;&gt;0,(AB16-N16)/ABS(N16),0)</f>
        <v/>
      </c>
      <c r="AL16" s="11">
        <f>IF(AB16&lt;&gt;0,(AJ16-AB16)/ABS(AB16),0)</f>
        <v/>
      </c>
    </row>
    <row r="17" ht="13" customHeight="1">
      <c r="A17" s="15" t="inlineStr">
        <is>
          <t xml:space="preserve">    Recruitment</t>
        </is>
      </c>
      <c r="B17" s="16" t="n">
        <v>0</v>
      </c>
      <c r="C17" s="16" t="n">
        <v>0</v>
      </c>
      <c r="D17" s="16" t="n">
        <v>0</v>
      </c>
      <c r="E17" s="16" t="n">
        <v>0</v>
      </c>
      <c r="F17" s="16" t="n">
        <v>0</v>
      </c>
      <c r="G17" s="16" t="n">
        <v>0</v>
      </c>
      <c r="H17" s="16" t="n">
        <v>0</v>
      </c>
      <c r="I17" s="16" t="n">
        <v>0</v>
      </c>
      <c r="J17" s="16" t="n">
        <v>0</v>
      </c>
      <c r="K17" s="16" t="n">
        <v>0</v>
      </c>
      <c r="L17" s="16" t="n">
        <v>0</v>
      </c>
      <c r="M17" s="16" t="n">
        <v>0</v>
      </c>
      <c r="N17" s="16">
        <f>SUM(B17:M17)</f>
        <v/>
      </c>
      <c r="O17" s="16" t="n">
        <v>0</v>
      </c>
      <c r="P17" s="16" t="n">
        <v>0</v>
      </c>
      <c r="Q17" s="16" t="n">
        <v>0</v>
      </c>
      <c r="R17" s="16" t="n">
        <v>0</v>
      </c>
      <c r="S17" s="16" t="n">
        <v>0</v>
      </c>
      <c r="T17" s="16" t="n">
        <v>0</v>
      </c>
      <c r="U17" s="16" t="n">
        <v>0</v>
      </c>
      <c r="V17" s="16" t="n">
        <v>0</v>
      </c>
      <c r="W17" s="16" t="n">
        <v>0</v>
      </c>
      <c r="X17" s="16" t="n">
        <v>0</v>
      </c>
      <c r="Y17" s="16" t="n">
        <v>0</v>
      </c>
      <c r="Z17" s="16" t="n">
        <v>0</v>
      </c>
      <c r="AA17" s="16">
        <f>SUM(O17:U17)</f>
        <v/>
      </c>
      <c r="AB17" s="16">
        <f>SUM(O17:Z17)</f>
        <v/>
      </c>
      <c r="AC17" s="16" t="n">
        <v>0</v>
      </c>
      <c r="AD17" s="16" t="n">
        <v>0</v>
      </c>
      <c r="AE17" s="16" t="n">
        <v>0</v>
      </c>
      <c r="AF17" s="16" t="n">
        <v>0</v>
      </c>
      <c r="AG17" s="16" t="n">
        <v>0</v>
      </c>
      <c r="AH17" s="16" t="n">
        <v>0</v>
      </c>
      <c r="AI17" s="34">
        <f>SUM(AC17:AH17)</f>
        <v/>
      </c>
      <c r="AJ17" s="16">
        <f>SUM(AC17:AH17)+AI17</f>
        <v/>
      </c>
      <c r="AK17" s="11">
        <f>IF(N17&lt;&gt;0,(AB17-N17)/ABS(N17),0)</f>
        <v/>
      </c>
      <c r="AL17" s="11">
        <f>IF(AB17&lt;&gt;0,(AJ17-AB17)/ABS(AB17),0)</f>
        <v/>
      </c>
    </row>
    <row r="18" ht="13" customHeight="1">
      <c r="A18" s="15" t="inlineStr">
        <is>
          <t xml:space="preserve">    Rewards &amp; Recognition</t>
        </is>
      </c>
      <c r="B18" s="16" t="n">
        <v>0</v>
      </c>
      <c r="C18" s="16" t="n">
        <v>0</v>
      </c>
      <c r="D18" s="16" t="n">
        <v>0</v>
      </c>
      <c r="E18" s="16" t="n">
        <v>0</v>
      </c>
      <c r="F18" s="16" t="n">
        <v>0</v>
      </c>
      <c r="G18" s="16" t="n">
        <v>0</v>
      </c>
      <c r="H18" s="16" t="n">
        <v>13.9</v>
      </c>
      <c r="I18" s="16" t="n">
        <v>55.46</v>
      </c>
      <c r="J18" s="16" t="n">
        <v>0</v>
      </c>
      <c r="K18" s="16" t="n">
        <v>0</v>
      </c>
      <c r="L18" s="16" t="n">
        <v>72.23999999999999</v>
      </c>
      <c r="M18" s="16" t="n">
        <v>0</v>
      </c>
      <c r="N18" s="16">
        <f>SUM(B18:M18)</f>
        <v/>
      </c>
      <c r="O18" s="16" t="n">
        <v>75.96000000000001</v>
      </c>
      <c r="P18" s="16" t="n">
        <v>51.55</v>
      </c>
      <c r="Q18" s="16" t="n">
        <v>37.88</v>
      </c>
      <c r="R18" s="16" t="n">
        <v>3.99</v>
      </c>
      <c r="S18" s="16" t="n">
        <v>0</v>
      </c>
      <c r="T18" s="16" t="n">
        <v>0</v>
      </c>
      <c r="U18" s="16" t="n">
        <v>82.06</v>
      </c>
      <c r="AA18" s="16">
        <f>SUM(O18:U18)</f>
        <v/>
      </c>
      <c r="AB18" s="16">
        <f>SUM(O18:Z18)</f>
        <v/>
      </c>
      <c r="AC18" s="16" t="n">
        <v>33</v>
      </c>
      <c r="AD18" s="16" t="n">
        <v>33</v>
      </c>
      <c r="AE18" s="16" t="n">
        <v>33</v>
      </c>
      <c r="AF18" s="16" t="n">
        <v>33</v>
      </c>
      <c r="AG18" s="16" t="n">
        <v>33</v>
      </c>
      <c r="AH18" s="16" t="n">
        <v>33</v>
      </c>
      <c r="AI18" s="34">
        <f>SUM(AC18:AH18)</f>
        <v/>
      </c>
      <c r="AJ18" s="16">
        <f>SUM(AC18:AH18)+AI18</f>
        <v/>
      </c>
      <c r="AK18" s="11">
        <f>IF(N18&lt;&gt;0,(AB18-N18)/ABS(N18),0)</f>
        <v/>
      </c>
      <c r="AL18" s="11">
        <f>IF(AB18&lt;&gt;0,(AJ18-AB18)/ABS(AB18),0)</f>
        <v/>
      </c>
    </row>
    <row r="19" ht="13" customHeight="1">
      <c r="A19" s="15" t="inlineStr">
        <is>
          <t xml:space="preserve">    Temps</t>
        </is>
      </c>
      <c r="B19" s="16" t="n">
        <v>0</v>
      </c>
      <c r="C19" s="16" t="n">
        <v>0</v>
      </c>
      <c r="D19" s="16" t="n">
        <v>0</v>
      </c>
      <c r="E19" s="16" t="n">
        <v>0</v>
      </c>
      <c r="F19" s="16" t="n">
        <v>0</v>
      </c>
      <c r="G19" s="16" t="n">
        <v>0</v>
      </c>
      <c r="H19" s="16" t="n">
        <v>0</v>
      </c>
      <c r="I19" s="16" t="n">
        <v>0</v>
      </c>
      <c r="J19" s="16" t="n">
        <v>1410.72</v>
      </c>
      <c r="K19" s="16" t="n">
        <v>483.23</v>
      </c>
      <c r="L19" s="16" t="n">
        <v>0</v>
      </c>
      <c r="M19" s="16" t="n">
        <v>0</v>
      </c>
      <c r="N19" s="16">
        <f>SUM(B19:M19)</f>
        <v/>
      </c>
      <c r="O19" s="16" t="n">
        <v>0</v>
      </c>
      <c r="P19" s="16" t="n">
        <v>0</v>
      </c>
      <c r="Q19" s="16" t="n">
        <v>0</v>
      </c>
      <c r="R19" s="16" t="n">
        <v>0</v>
      </c>
      <c r="S19" s="16" t="n">
        <v>0</v>
      </c>
      <c r="T19" s="16" t="n">
        <v>0</v>
      </c>
      <c r="U19" s="16" t="n">
        <v>0</v>
      </c>
      <c r="V19" s="16" t="n">
        <v>0</v>
      </c>
      <c r="W19" s="16" t="n">
        <v>0</v>
      </c>
      <c r="X19" s="16" t="n">
        <v>0</v>
      </c>
      <c r="Y19" s="16" t="n">
        <v>0</v>
      </c>
      <c r="Z19" s="16" t="n">
        <v>0</v>
      </c>
      <c r="AA19" s="16">
        <f>SUM(O19:U19)</f>
        <v/>
      </c>
      <c r="AB19" s="16">
        <f>SUM(O19:Z19)</f>
        <v/>
      </c>
      <c r="AC19" s="16" t="n">
        <v>0</v>
      </c>
      <c r="AD19" s="16" t="n">
        <v>0</v>
      </c>
      <c r="AE19" s="16" t="n">
        <v>0</v>
      </c>
      <c r="AF19" s="16" t="n">
        <v>0</v>
      </c>
      <c r="AG19" s="16" t="n">
        <v>0</v>
      </c>
      <c r="AH19" s="16" t="n">
        <v>0</v>
      </c>
      <c r="AI19" s="34">
        <f>SUM(AC19:AH19)</f>
        <v/>
      </c>
      <c r="AJ19" s="16">
        <f>SUM(AC19:AH19)+AI19</f>
        <v/>
      </c>
      <c r="AK19" s="11">
        <f>IF(N19&lt;&gt;0,(AB19-N19)/ABS(N19),0)</f>
        <v/>
      </c>
      <c r="AL19" s="11">
        <f>IF(AB19&lt;&gt;0,(AJ19-AB19)/ABS(AB19),0)</f>
        <v/>
      </c>
    </row>
    <row r="20" ht="13" customHeight="1">
      <c r="A20" s="17" t="inlineStr">
        <is>
          <t>Total Personnel</t>
        </is>
      </c>
      <c r="B20" s="18">
        <f>B11+B12+B13+B14+B15+B16+B17+B18+B19</f>
        <v/>
      </c>
      <c r="C20" s="18">
        <f>C11+C12+C13+C14+C15+C16+C17+C18+C19</f>
        <v/>
      </c>
      <c r="D20" s="18">
        <f>D11+D12+D13+D14+D15+D16+D17+D18+D19</f>
        <v/>
      </c>
      <c r="E20" s="18">
        <f>E11+E12+E13+E14+E15+E16+E17+E18+E19</f>
        <v/>
      </c>
      <c r="F20" s="18">
        <f>F11+F12+F13+F14+F15+F16+F17+F18+F19</f>
        <v/>
      </c>
      <c r="G20" s="18">
        <f>G11+G12+G13+G14+G15+G16+G17+G18+G19</f>
        <v/>
      </c>
      <c r="H20" s="18">
        <f>H11+H12+H13+H14+H15+H16+H17+H18+H19</f>
        <v/>
      </c>
      <c r="I20" s="18">
        <f>I11+I12+I13+I14+I15+I16+I17+I18+I19</f>
        <v/>
      </c>
      <c r="J20" s="18">
        <f>J11+J12+J13+J14+J15+J16+J17+J18+J19</f>
        <v/>
      </c>
      <c r="K20" s="18">
        <f>K11+K12+K13+K14+K15+K16+K17+K18+K19</f>
        <v/>
      </c>
      <c r="L20" s="18">
        <f>L11+L12+L13+L14+L15+L16+L17+L18+L19</f>
        <v/>
      </c>
      <c r="M20" s="18">
        <f>M11+M12+M13+M14+M15+M16+M17+M18+M19</f>
        <v/>
      </c>
      <c r="N20" s="18">
        <f>N11+N12+N13+N14+N15+N16+N17+N18+N19</f>
        <v/>
      </c>
      <c r="O20" s="18">
        <f>O11+O12+O13+O14+O15+O16+O17+O18+O19</f>
        <v/>
      </c>
      <c r="P20" s="18">
        <f>P11+P12+P13+P14+P15+P16+P17+P18+P19</f>
        <v/>
      </c>
      <c r="Q20" s="18">
        <f>Q11+Q12+Q13+Q14+Q15+Q16+Q17+Q18+Q19</f>
        <v/>
      </c>
      <c r="R20" s="18">
        <f>R11+R12+R13+R14+R15+R16+R17+R18+R19</f>
        <v/>
      </c>
      <c r="S20" s="18">
        <f>S11+S12+S13+S14+S15+S16+S17+S18+S19</f>
        <v/>
      </c>
      <c r="T20" s="18">
        <f>T11+T12+T13+T14+T15+T16+T17+T18+T19</f>
        <v/>
      </c>
      <c r="U20" s="18">
        <f>U11+U12+U13+U14+U15+U16+U17+U18+U19</f>
        <v/>
      </c>
      <c r="V20" s="18">
        <f>V11+V12+V13+V14+V15+V16+V17+V18+V19</f>
        <v/>
      </c>
      <c r="W20" s="18">
        <f>W11+W12+W13+W14+W15+W16+W17+W18+W19</f>
        <v/>
      </c>
      <c r="X20" s="18">
        <f>X11+X12+X13+X14+X15+X16+X17+X18+X19</f>
        <v/>
      </c>
      <c r="Y20" s="18">
        <f>Y11+Y12+Y13+Y14+Y15+Y16+Y17+Y18+Y19</f>
        <v/>
      </c>
      <c r="Z20" s="18">
        <f>Z11+Z12+Z13+Z14+Z15+Z16+Z17+Z18+Z19</f>
        <v/>
      </c>
      <c r="AA20" s="18">
        <f>AA11+AA12+AA13+AA14+AA15+AA16+AA17+AA18+AA19</f>
        <v/>
      </c>
      <c r="AB20" s="18">
        <f>AB11+AB12+AB13+AB14+AB15+AB16+AB17+AB18+AB19</f>
        <v/>
      </c>
      <c r="AC20" s="18">
        <f>AC11+AC12+AC13+AC14+AC15+AC16+AC17+AC18+AC19</f>
        <v/>
      </c>
      <c r="AD20" s="18">
        <f>AD11+AD12+AD13+AD14+AD15+AD16+AD17+AD18+AD19</f>
        <v/>
      </c>
      <c r="AE20" s="18">
        <f>AE11+AE12+AE13+AE14+AE15+AE16+AE17+AE18+AE19</f>
        <v/>
      </c>
      <c r="AF20" s="18">
        <f>AF11+AF12+AF13+AF14+AF15+AF16+AF17+AF18+AF19</f>
        <v/>
      </c>
      <c r="AG20" s="18">
        <f>AG11+AG12+AG13+AG14+AG15+AG16+AG17+AG18+AG19</f>
        <v/>
      </c>
      <c r="AH20" s="18">
        <f>AH11+AH12+AH13+AH14+AH15+AH16+AH17+AH18+AH19</f>
        <v/>
      </c>
      <c r="AI20" s="18">
        <f>AI11+AI12+AI13+AI14+AI15+AI16+AI17+AI18+AI19</f>
        <v/>
      </c>
      <c r="AJ20" s="18">
        <f>AJ11+AJ12+AJ13+AJ14+AJ15+AJ16+AJ17+AJ18+AJ19</f>
        <v/>
      </c>
      <c r="AK20" s="11">
        <f>IF(N20&lt;&gt;0,(AB20-N20)/ABS(N20),0)</f>
        <v/>
      </c>
      <c r="AL20" s="11">
        <f>IF(AB20&lt;&gt;0,(AJ20-AB20)/ABS(AB20),0)</f>
        <v/>
      </c>
    </row>
    <row r="21" ht="13" customHeight="1">
      <c r="A21" s="19" t="inlineStr">
        <is>
          <t xml:space="preserve">    Sal:Rev</t>
        </is>
      </c>
      <c r="B21" s="20">
        <f>IF(B7&gt;0,B20/B7,0)</f>
        <v/>
      </c>
      <c r="C21" s="20">
        <f>IF(C7&gt;0,C20/C7,0)</f>
        <v/>
      </c>
      <c r="D21" s="20">
        <f>IF(D7&gt;0,D20/D7,0)</f>
        <v/>
      </c>
      <c r="E21" s="20">
        <f>IF(E7&gt;0,E20/E7,0)</f>
        <v/>
      </c>
      <c r="F21" s="20">
        <f>IF(F7&gt;0,F20/F7,0)</f>
        <v/>
      </c>
      <c r="G21" s="20">
        <f>IF(G7&gt;0,G20/G7,0)</f>
        <v/>
      </c>
      <c r="H21" s="20">
        <f>IF(H7&gt;0,H20/H7,0)</f>
        <v/>
      </c>
      <c r="I21" s="20">
        <f>IF(I7&gt;0,I20/I7,0)</f>
        <v/>
      </c>
      <c r="J21" s="20">
        <f>IF(J7&gt;0,J20/J7,0)</f>
        <v/>
      </c>
      <c r="K21" s="20">
        <f>IF(K7&gt;0,K20/K7,0)</f>
        <v/>
      </c>
      <c r="L21" s="20">
        <f>IF(L7&gt;0,L20/L7,0)</f>
        <v/>
      </c>
      <c r="M21" s="20">
        <f>IF(M7&gt;0,M20/M7,0)</f>
        <v/>
      </c>
      <c r="N21" s="20">
        <f>IF(N7&gt;0,N20/N7,0)</f>
        <v/>
      </c>
      <c r="O21" s="20">
        <f>IF(O7&gt;0,O20/O7,0)</f>
        <v/>
      </c>
      <c r="P21" s="20">
        <f>IF(P7&gt;0,P20/P7,0)</f>
        <v/>
      </c>
      <c r="Q21" s="20">
        <f>IF(Q7&gt;0,Q20/Q7,0)</f>
        <v/>
      </c>
      <c r="R21" s="20">
        <f>IF(R7&gt;0,R20/R7,0)</f>
        <v/>
      </c>
      <c r="S21" s="20">
        <f>IF(S7&gt;0,S20/S7,0)</f>
        <v/>
      </c>
      <c r="T21" s="20">
        <f>IF(T7&gt;0,T20/T7,0)</f>
        <v/>
      </c>
      <c r="U21" s="20">
        <f>IF(U7&gt;0,U20/U7,0)</f>
        <v/>
      </c>
      <c r="V21" s="20">
        <f>IF(V7&gt;0,V20/V7,0)</f>
        <v/>
      </c>
      <c r="W21" s="20">
        <f>IF(W7&gt;0,W20/W7,0)</f>
        <v/>
      </c>
      <c r="X21" s="20">
        <f>IF(X7&gt;0,X20/X7,0)</f>
        <v/>
      </c>
      <c r="Y21" s="20">
        <f>IF(Y7&gt;0,Y20/Y7,0)</f>
        <v/>
      </c>
      <c r="Z21" s="20">
        <f>IF(Z7&gt;0,Z20/Z7,0)</f>
        <v/>
      </c>
      <c r="AA21" s="20">
        <f>IF(AA7&gt;0,AA20/AA7,0)</f>
        <v/>
      </c>
      <c r="AB21" s="20">
        <f>IF(AB7&gt;0,AB20/AB7,0)</f>
        <v/>
      </c>
      <c r="AC21" s="20">
        <f>IF(AC7&gt;0,AC20/AC7,0)</f>
        <v/>
      </c>
      <c r="AD21" s="20">
        <f>IF(AD7&gt;0,AD20/AD7,0)</f>
        <v/>
      </c>
      <c r="AE21" s="20">
        <f>IF(AE7&gt;0,AE20/AE7,0)</f>
        <v/>
      </c>
      <c r="AF21" s="20">
        <f>IF(AF7&gt;0,AF20/AF7,0)</f>
        <v/>
      </c>
      <c r="AG21" s="20">
        <f>IF(AG7&gt;0,AG20/AG7,0)</f>
        <v/>
      </c>
      <c r="AH21" s="20">
        <f>IF(AH7&gt;0,AH20/AH7,0)</f>
        <v/>
      </c>
      <c r="AI21" s="20">
        <f>IF(AI7&gt;0,AI20/AI7,0)</f>
        <v/>
      </c>
      <c r="AJ21" s="20">
        <f>IF(AJ7&gt;0,AJ20/AJ7,0)</f>
        <v/>
      </c>
    </row>
    <row r="22" ht="5" customHeight="1"/>
    <row r="23" ht="13" customHeight="1">
      <c r="A23" s="14" t="inlineStr">
        <is>
          <t>Childcare</t>
        </is>
      </c>
    </row>
    <row r="24" ht="13" customHeight="1">
      <c r="A24" s="21" t="inlineStr">
        <is>
          <t xml:space="preserve">    Catering Costs</t>
        </is>
      </c>
      <c r="N24" s="22">
        <f>SUM(B24:M24)</f>
        <v/>
      </c>
      <c r="O24" s="22" t="n">
        <v>869.5599999999999</v>
      </c>
      <c r="P24" s="22" t="n">
        <v>1160.27</v>
      </c>
      <c r="Q24" s="22" t="n">
        <v>913.08</v>
      </c>
      <c r="R24" s="22" t="n">
        <v>1206.8</v>
      </c>
      <c r="S24" s="22" t="n">
        <v>1861.79</v>
      </c>
      <c r="T24" s="22" t="n">
        <v>1094.42</v>
      </c>
      <c r="U24" s="22" t="n">
        <v>1315.06</v>
      </c>
      <c r="V24" s="22" t="n">
        <v>929.55</v>
      </c>
      <c r="W24" s="22" t="n">
        <v>1152.06</v>
      </c>
      <c r="X24" s="22" t="n">
        <v>1189.11</v>
      </c>
      <c r="Y24" s="22" t="n">
        <v>1197.21</v>
      </c>
      <c r="Z24" s="22" t="n">
        <v>1163.67</v>
      </c>
      <c r="AA24" s="22">
        <f>SUM(O24:U24)</f>
        <v/>
      </c>
      <c r="AB24" s="22">
        <f>SUM(O24:Z24)</f>
        <v/>
      </c>
      <c r="AC24" s="22" t="n">
        <v>1197.7968</v>
      </c>
      <c r="AD24" s="22" t="n">
        <v>1130.2392</v>
      </c>
      <c r="AE24" s="22" t="n">
        <v>1332.3444</v>
      </c>
      <c r="AF24" s="22" t="n">
        <v>1278.1605</v>
      </c>
      <c r="AG24" s="22" t="n">
        <v>1278.0507</v>
      </c>
      <c r="AH24" s="22" t="n">
        <v>1318.5792</v>
      </c>
      <c r="AI24" s="34">
        <f>SUM(AC24:AH24)</f>
        <v/>
      </c>
      <c r="AJ24" s="22">
        <f>SUM(AC24:AH24)+AI24</f>
        <v/>
      </c>
      <c r="AK24" s="11">
        <f>IF(N24&lt;&gt;0,(AB24-N24)/ABS(N24),0)</f>
        <v/>
      </c>
      <c r="AL24" s="11">
        <f>IF(AB24&lt;&gt;0,(AJ24-AB24)/ABS(AB24),0)</f>
        <v/>
      </c>
    </row>
    <row r="25" ht="13" customHeight="1">
      <c r="A25" s="21" t="inlineStr">
        <is>
          <t xml:space="preserve">    Toys and Games</t>
        </is>
      </c>
      <c r="B25" s="22" t="n">
        <v>67.66</v>
      </c>
      <c r="C25" s="22" t="n">
        <v>15.5</v>
      </c>
      <c r="D25" s="22" t="n">
        <v>101.01</v>
      </c>
      <c r="E25" s="22" t="n">
        <v>148.99</v>
      </c>
      <c r="F25" s="22" t="n">
        <v>199.49</v>
      </c>
      <c r="G25" s="22" t="n">
        <v>26.91</v>
      </c>
      <c r="H25" s="22" t="n">
        <v>73.44</v>
      </c>
      <c r="I25" s="22" t="n">
        <v>738</v>
      </c>
      <c r="J25" s="22" t="n">
        <v>21.8</v>
      </c>
      <c r="K25" s="22" t="n">
        <v>28.47</v>
      </c>
      <c r="L25" s="22" t="n">
        <v>0</v>
      </c>
      <c r="M25" s="22" t="n">
        <v>113.69</v>
      </c>
      <c r="N25" s="22">
        <f>SUM(B25:M25)</f>
        <v/>
      </c>
      <c r="O25" s="22" t="n">
        <v>0</v>
      </c>
      <c r="P25" s="22" t="n">
        <v>260.81</v>
      </c>
      <c r="Q25" s="22" t="n">
        <v>38.98</v>
      </c>
      <c r="R25" s="22" t="n">
        <v>69.72999999999999</v>
      </c>
      <c r="S25" s="22" t="n">
        <v>77.25999999999999</v>
      </c>
      <c r="T25" s="22" t="n">
        <v>44.32</v>
      </c>
      <c r="U25" s="22" t="n">
        <v>57.69</v>
      </c>
      <c r="AA25" s="22">
        <f>SUM(O25:U25)</f>
        <v/>
      </c>
      <c r="AB25" s="22">
        <f>SUM(O25:Z25)</f>
        <v/>
      </c>
      <c r="AC25" s="22" t="n">
        <v>50</v>
      </c>
      <c r="AD25" s="22" t="n">
        <v>50</v>
      </c>
      <c r="AE25" s="22" t="n">
        <v>50</v>
      </c>
      <c r="AF25" s="22" t="n">
        <v>50</v>
      </c>
      <c r="AG25" s="22" t="n">
        <v>50</v>
      </c>
      <c r="AH25" s="22" t="n">
        <v>50</v>
      </c>
      <c r="AI25" s="34">
        <f>SUM(AC25:AH25)</f>
        <v/>
      </c>
      <c r="AJ25" s="22">
        <f>SUM(AC25:AH25)+AI25</f>
        <v/>
      </c>
      <c r="AK25" s="11">
        <f>IF(N25&lt;&gt;0,(AB25-N25)/ABS(N25),0)</f>
        <v/>
      </c>
      <c r="AL25" s="11">
        <f>IF(AB25&lt;&gt;0,(AJ25-AB25)/ABS(AB25),0)</f>
        <v/>
      </c>
    </row>
    <row r="26" ht="13" customHeight="1">
      <c r="A26" s="21" t="inlineStr">
        <is>
          <t xml:space="preserve">    Art Materials</t>
        </is>
      </c>
      <c r="N26" s="22">
        <f>SUM(B26:M26)</f>
        <v/>
      </c>
      <c r="O26" s="22" t="n">
        <v>94.07000000000001</v>
      </c>
      <c r="P26" s="22" t="n">
        <v>60.89</v>
      </c>
      <c r="Q26" s="22" t="n">
        <v>64.42999999999999</v>
      </c>
      <c r="R26" s="22" t="n">
        <v>32.94</v>
      </c>
      <c r="S26" s="22" t="n">
        <v>8.48</v>
      </c>
      <c r="T26" s="22" t="n">
        <v>333.48</v>
      </c>
      <c r="U26" s="22" t="n">
        <v>27.94</v>
      </c>
      <c r="V26" s="22" t="n">
        <v>123.94</v>
      </c>
      <c r="W26" s="22" t="n">
        <v>153.608</v>
      </c>
      <c r="X26" s="22" t="n">
        <v>158.548</v>
      </c>
      <c r="Y26" s="22" t="n">
        <v>159.628</v>
      </c>
      <c r="Z26" s="22" t="n">
        <v>155.156</v>
      </c>
      <c r="AA26" s="22">
        <f>SUM(O26:U26)</f>
        <v/>
      </c>
      <c r="AB26" s="22">
        <f>SUM(O26:Z26)</f>
        <v/>
      </c>
      <c r="AC26" s="22" t="n">
        <v>159.70624</v>
      </c>
      <c r="AD26" s="22" t="n">
        <v>150.69856</v>
      </c>
      <c r="AE26" s="22" t="n">
        <v>177.64592</v>
      </c>
      <c r="AF26" s="22" t="n">
        <v>170.4214</v>
      </c>
      <c r="AG26" s="22" t="n">
        <v>170.40676</v>
      </c>
      <c r="AH26" s="22" t="n">
        <v>175.81056</v>
      </c>
      <c r="AI26" s="34">
        <f>SUM(AC26:AH26)</f>
        <v/>
      </c>
      <c r="AJ26" s="22">
        <f>SUM(AC26:AH26)+AI26</f>
        <v/>
      </c>
      <c r="AK26" s="11">
        <f>IF(N26&lt;&gt;0,(AB26-N26)/ABS(N26),0)</f>
        <v/>
      </c>
      <c r="AL26" s="11">
        <f>IF(AB26&lt;&gt;0,(AJ26-AB26)/ABS(AB26),0)</f>
        <v/>
      </c>
    </row>
    <row r="27" ht="13" customHeight="1">
      <c r="A27" s="21" t="inlineStr">
        <is>
          <t xml:space="preserve">    Nursery Stationery</t>
        </is>
      </c>
      <c r="B27" s="22" t="n">
        <v>36.35</v>
      </c>
      <c r="C27" s="22" t="n">
        <v>28.59</v>
      </c>
      <c r="D27" s="22" t="n">
        <v>0</v>
      </c>
      <c r="E27" s="22" t="n">
        <v>16.15</v>
      </c>
      <c r="F27" s="22" t="n">
        <v>21.12</v>
      </c>
      <c r="G27" s="22" t="n">
        <v>0</v>
      </c>
      <c r="H27" s="22" t="n">
        <v>14.52</v>
      </c>
      <c r="I27" s="22" t="n">
        <v>18.44</v>
      </c>
      <c r="J27" s="22" t="n">
        <v>7.88</v>
      </c>
      <c r="K27" s="22" t="n">
        <v>0</v>
      </c>
      <c r="L27" s="22" t="n">
        <v>4.99</v>
      </c>
      <c r="M27" s="22" t="n">
        <v>57.13</v>
      </c>
      <c r="N27" s="22">
        <f>SUM(B27:M27)</f>
        <v/>
      </c>
      <c r="O27" s="22" t="n">
        <v>60.4</v>
      </c>
      <c r="P27" s="22" t="n">
        <v>7.69</v>
      </c>
      <c r="Q27" s="22" t="n">
        <v>0</v>
      </c>
      <c r="R27" s="22" t="n">
        <v>24.32</v>
      </c>
      <c r="S27" s="22" t="n">
        <v>0</v>
      </c>
      <c r="T27" s="22" t="n">
        <v>0</v>
      </c>
      <c r="U27" s="22" t="n">
        <v>0</v>
      </c>
      <c r="AA27" s="22">
        <f>SUM(O27:U27)</f>
        <v/>
      </c>
      <c r="AB27" s="22">
        <f>SUM(O27:Z27)</f>
        <v/>
      </c>
      <c r="AC27" s="22" t="n">
        <v>75</v>
      </c>
      <c r="AD27" s="22" t="n">
        <v>75</v>
      </c>
      <c r="AE27" s="22" t="n">
        <v>75</v>
      </c>
      <c r="AF27" s="22" t="n">
        <v>75</v>
      </c>
      <c r="AG27" s="22" t="n">
        <v>75</v>
      </c>
      <c r="AH27" s="22" t="n">
        <v>75</v>
      </c>
      <c r="AI27" s="34">
        <f>SUM(AC27:AH27)</f>
        <v/>
      </c>
      <c r="AJ27" s="22">
        <f>SUM(AC27:AH27)+AI27</f>
        <v/>
      </c>
      <c r="AK27" s="11">
        <f>IF(N27&lt;&gt;0,(AB27-N27)/ABS(N27),0)</f>
        <v/>
      </c>
      <c r="AL27" s="11">
        <f>IF(AB27&lt;&gt;0,(AJ27-AB27)/ABS(AB27),0)</f>
        <v/>
      </c>
    </row>
    <row r="28" ht="13" customHeight="1">
      <c r="A28" s="21" t="inlineStr">
        <is>
          <t xml:space="preserve">    Nursery Equipment</t>
        </is>
      </c>
      <c r="B28" s="22" t="n">
        <v>37.02</v>
      </c>
      <c r="C28" s="22" t="n">
        <v>112.99</v>
      </c>
      <c r="D28" s="22" t="n">
        <v>13.99</v>
      </c>
      <c r="E28" s="22" t="n">
        <v>53.88</v>
      </c>
      <c r="F28" s="22" t="n">
        <v>650.1800000000001</v>
      </c>
      <c r="G28" s="22" t="n">
        <v>57.55</v>
      </c>
      <c r="H28" s="22" t="n">
        <v>14.48</v>
      </c>
      <c r="I28" s="22" t="n">
        <v>16</v>
      </c>
      <c r="J28" s="22" t="n">
        <v>121.89</v>
      </c>
      <c r="K28" s="22" t="n">
        <v>116.71</v>
      </c>
      <c r="L28" s="22" t="n">
        <v>84.96000000000001</v>
      </c>
      <c r="M28" s="22" t="n">
        <v>51.93</v>
      </c>
      <c r="N28" s="22">
        <f>SUM(B28:M28)</f>
        <v/>
      </c>
      <c r="O28" s="22" t="n">
        <v>40.43</v>
      </c>
      <c r="P28" s="22" t="n">
        <v>0</v>
      </c>
      <c r="Q28" s="22" t="n">
        <v>0</v>
      </c>
      <c r="R28" s="22" t="n">
        <v>171.31</v>
      </c>
      <c r="S28" s="22" t="n">
        <v>0</v>
      </c>
      <c r="T28" s="22" t="n">
        <v>54.31</v>
      </c>
      <c r="U28" s="22" t="n">
        <v>78.27000000000001</v>
      </c>
      <c r="AA28" s="22">
        <f>SUM(O28:U28)</f>
        <v/>
      </c>
      <c r="AB28" s="22">
        <f>SUM(O28:Z28)</f>
        <v/>
      </c>
      <c r="AC28" s="22" t="n">
        <v>50</v>
      </c>
      <c r="AD28" s="22" t="n">
        <v>50</v>
      </c>
      <c r="AE28" s="22" t="n">
        <v>50</v>
      </c>
      <c r="AF28" s="22" t="n">
        <v>50</v>
      </c>
      <c r="AG28" s="22" t="n">
        <v>50</v>
      </c>
      <c r="AH28" s="22" t="n">
        <v>50</v>
      </c>
      <c r="AI28" s="34">
        <f>SUM(AC28:AH28)</f>
        <v/>
      </c>
      <c r="AJ28" s="22">
        <f>SUM(AC28:AH28)+AI28</f>
        <v/>
      </c>
      <c r="AK28" s="11">
        <f>IF(N28&lt;&gt;0,(AB28-N28)/ABS(N28),0)</f>
        <v/>
      </c>
      <c r="AL28" s="11">
        <f>IF(AB28&lt;&gt;0,(AJ28-AB28)/ABS(AB28),0)</f>
        <v/>
      </c>
    </row>
    <row r="29" ht="13" customHeight="1">
      <c r="A29" s="21" t="inlineStr">
        <is>
          <t xml:space="preserve">    Nursery Consumables</t>
        </is>
      </c>
      <c r="N29" s="22">
        <f>SUM(B29:M29)</f>
        <v/>
      </c>
      <c r="O29" s="22" t="n">
        <v>77.58</v>
      </c>
      <c r="P29" s="22" t="n">
        <v>87.23</v>
      </c>
      <c r="Q29" s="22" t="n">
        <v>115.59</v>
      </c>
      <c r="R29" s="22" t="n">
        <v>129.41</v>
      </c>
      <c r="S29" s="22" t="n">
        <v>308.1199999999999</v>
      </c>
      <c r="T29" s="22" t="n">
        <v>279.57</v>
      </c>
      <c r="U29" s="22" t="n">
        <v>251.68</v>
      </c>
      <c r="V29" s="22" t="n">
        <v>185.91</v>
      </c>
      <c r="W29" s="22" t="n">
        <v>230.412</v>
      </c>
      <c r="X29" s="22" t="n">
        <v>237.822</v>
      </c>
      <c r="Y29" s="22" t="n">
        <v>239.442</v>
      </c>
      <c r="Z29" s="22" t="n">
        <v>232.734</v>
      </c>
      <c r="AA29" s="22">
        <f>SUM(O29:U29)</f>
        <v/>
      </c>
      <c r="AB29" s="22">
        <f>SUM(O29:Z29)</f>
        <v/>
      </c>
      <c r="AC29" s="22" t="n">
        <v>239.55936</v>
      </c>
      <c r="AD29" s="22" t="n">
        <v>226.04784</v>
      </c>
      <c r="AE29" s="22" t="n">
        <v>266.46888</v>
      </c>
      <c r="AF29" s="22" t="n">
        <v>255.6321</v>
      </c>
      <c r="AG29" s="22" t="n">
        <v>255.61014</v>
      </c>
      <c r="AH29" s="22" t="n">
        <v>263.71584</v>
      </c>
      <c r="AI29" s="34">
        <f>SUM(AC29:AH29)</f>
        <v/>
      </c>
      <c r="AJ29" s="22">
        <f>SUM(AC29:AH29)+AI29</f>
        <v/>
      </c>
      <c r="AK29" s="11">
        <f>IF(N29&lt;&gt;0,(AB29-N29)/ABS(N29),0)</f>
        <v/>
      </c>
      <c r="AL29" s="11">
        <f>IF(AB29&lt;&gt;0,(AJ29-AB29)/ABS(AB29),0)</f>
        <v/>
      </c>
    </row>
    <row r="30" ht="13" customHeight="1">
      <c r="A30" s="23" t="inlineStr">
        <is>
          <t>Total Childcare Costs</t>
        </is>
      </c>
      <c r="B30" s="24">
        <f>B24+B25+B26+B27+B28+B29</f>
        <v/>
      </c>
      <c r="C30" s="24">
        <f>C24+C25+C26+C27+C28+C29</f>
        <v/>
      </c>
      <c r="D30" s="24">
        <f>D24+D25+D26+D27+D28+D29</f>
        <v/>
      </c>
      <c r="E30" s="24">
        <f>E24+E25+E26+E27+E28+E29</f>
        <v/>
      </c>
      <c r="F30" s="24">
        <f>F24+F25+F26+F27+F28+F29</f>
        <v/>
      </c>
      <c r="G30" s="24">
        <f>G24+G25+G26+G27+G28+G29</f>
        <v/>
      </c>
      <c r="H30" s="24">
        <f>H24+H25+H26+H27+H28+H29</f>
        <v/>
      </c>
      <c r="I30" s="24">
        <f>I24+I25+I26+I27+I28+I29</f>
        <v/>
      </c>
      <c r="J30" s="24">
        <f>J24+J25+J26+J27+J28+J29</f>
        <v/>
      </c>
      <c r="K30" s="24">
        <f>K24+K25+K26+K27+K28+K29</f>
        <v/>
      </c>
      <c r="L30" s="24">
        <f>L24+L25+L26+L27+L28+L29</f>
        <v/>
      </c>
      <c r="M30" s="24">
        <f>M24+M25+M26+M27+M28+M29</f>
        <v/>
      </c>
      <c r="N30" s="24">
        <f>N24+N25+N26+N27+N28+N29</f>
        <v/>
      </c>
      <c r="O30" s="24">
        <f>O24+O25+O26+O27+O28+O29</f>
        <v/>
      </c>
      <c r="P30" s="24">
        <f>P24+P25+P26+P27+P28+P29</f>
        <v/>
      </c>
      <c r="Q30" s="24">
        <f>Q24+Q25+Q26+Q27+Q28+Q29</f>
        <v/>
      </c>
      <c r="R30" s="24">
        <f>R24+R25+R26+R27+R28+R29</f>
        <v/>
      </c>
      <c r="S30" s="24">
        <f>S24+S25+S26+S27+S28+S29</f>
        <v/>
      </c>
      <c r="T30" s="24">
        <f>T24+T25+T26+T27+T28+T29</f>
        <v/>
      </c>
      <c r="U30" s="24">
        <f>U24+U25+U26+U27+U28+U29</f>
        <v/>
      </c>
      <c r="V30" s="24">
        <f>V24+V25+V26+V27+V28+V29</f>
        <v/>
      </c>
      <c r="W30" s="24">
        <f>W24+W25+W26+W27+W28+W29</f>
        <v/>
      </c>
      <c r="X30" s="24">
        <f>X24+X25+X26+X27+X28+X29</f>
        <v/>
      </c>
      <c r="Y30" s="24">
        <f>Y24+Y25+Y26+Y27+Y28+Y29</f>
        <v/>
      </c>
      <c r="Z30" s="24">
        <f>Z24+Z25+Z26+Z27+Z28+Z29</f>
        <v/>
      </c>
      <c r="AA30" s="24">
        <f>AA24+AA25+AA26+AA27+AA28+AA29</f>
        <v/>
      </c>
      <c r="AB30" s="24">
        <f>AB24+AB25+AB26+AB27+AB28+AB29</f>
        <v/>
      </c>
      <c r="AC30" s="24">
        <f>AC24+AC25+AC26+AC27+AC28+AC29</f>
        <v/>
      </c>
      <c r="AD30" s="24">
        <f>AD24+AD25+AD26+AD27+AD28+AD29</f>
        <v/>
      </c>
      <c r="AE30" s="24">
        <f>AE24+AE25+AE26+AE27+AE28+AE29</f>
        <v/>
      </c>
      <c r="AF30" s="24">
        <f>AF24+AF25+AF26+AF27+AF28+AF29</f>
        <v/>
      </c>
      <c r="AG30" s="24">
        <f>AG24+AG25+AG26+AG27+AG28+AG29</f>
        <v/>
      </c>
      <c r="AH30" s="24">
        <f>AH24+AH25+AH26+AH27+AH28+AH29</f>
        <v/>
      </c>
      <c r="AI30" s="24">
        <f>AI24+AI25+AI26+AI27+AI28+AI29</f>
        <v/>
      </c>
      <c r="AJ30" s="24">
        <f>AJ24+AJ25+AJ26+AJ27+AJ28+AJ29</f>
        <v/>
      </c>
      <c r="AK30" s="11">
        <f>IF(N30&lt;&gt;0,(AB30-N30)/ABS(N30),0)</f>
        <v/>
      </c>
      <c r="AL30" s="11">
        <f>IF(AB30&lt;&gt;0,(AJ30-AB30)/ABS(AB30),0)</f>
        <v/>
      </c>
    </row>
    <row r="31" ht="5" customHeight="1"/>
    <row r="32" ht="13" customHeight="1">
      <c r="A32" s="14" t="inlineStr">
        <is>
          <t>Premises &amp; Admin</t>
        </is>
      </c>
    </row>
    <row r="33" ht="13" customHeight="1">
      <c r="A33" s="25" t="inlineStr">
        <is>
          <t xml:space="preserve">    Rent</t>
        </is>
      </c>
      <c r="B33" s="26" t="n">
        <v>0</v>
      </c>
      <c r="C33" s="26" t="n">
        <v>0</v>
      </c>
      <c r="D33" s="26" t="n">
        <v>0</v>
      </c>
      <c r="E33" s="26" t="n">
        <v>0</v>
      </c>
      <c r="F33" s="26" t="n">
        <v>0</v>
      </c>
      <c r="G33" s="26" t="n">
        <v>0</v>
      </c>
      <c r="H33" s="26" t="n">
        <v>0</v>
      </c>
      <c r="I33" s="26" t="n">
        <v>0</v>
      </c>
      <c r="J33" s="26" t="n">
        <v>0</v>
      </c>
      <c r="K33" s="26" t="n">
        <v>0</v>
      </c>
      <c r="L33" s="26" t="n">
        <v>0</v>
      </c>
      <c r="M33" s="26" t="n">
        <v>0</v>
      </c>
      <c r="N33" s="26">
        <f>SUM(B33:M33)</f>
        <v/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  <c r="V33" s="26" t="n">
        <v>0</v>
      </c>
      <c r="W33" s="26" t="n">
        <v>0</v>
      </c>
      <c r="X33" s="26" t="n">
        <v>0</v>
      </c>
      <c r="Y33" s="26" t="n">
        <v>0</v>
      </c>
      <c r="Z33" s="26" t="n">
        <v>0</v>
      </c>
      <c r="AA33" s="26">
        <f>SUM(O33:U33)</f>
        <v/>
      </c>
      <c r="AB33" s="26">
        <f>SUM(O33:Z33)</f>
        <v/>
      </c>
      <c r="AC33" s="26" t="n">
        <v>0</v>
      </c>
      <c r="AD33" s="26" t="n">
        <v>0</v>
      </c>
      <c r="AE33" s="26" t="n">
        <v>0</v>
      </c>
      <c r="AF33" s="26" t="n">
        <v>0</v>
      </c>
      <c r="AG33" s="26" t="n">
        <v>0</v>
      </c>
      <c r="AH33" s="26" t="n">
        <v>0</v>
      </c>
      <c r="AI33" s="34">
        <f>SUM(AC33:AH33)</f>
        <v/>
      </c>
      <c r="AJ33" s="26">
        <f>SUM(AC33:AH33)+AI33</f>
        <v/>
      </c>
      <c r="AK33" s="11">
        <f>IF(N33&lt;&gt;0,(AB33-N33)/ABS(N33),0)</f>
        <v/>
      </c>
      <c r="AL33" s="11">
        <f>IF(AB33&lt;&gt;0,(AJ33-AB33)/ABS(AB33),0)</f>
        <v/>
      </c>
    </row>
    <row r="34" ht="13" customHeight="1">
      <c r="A34" s="25" t="inlineStr">
        <is>
          <t xml:space="preserve">    Business Rates</t>
        </is>
      </c>
      <c r="B34" s="26" t="n">
        <v>758.9</v>
      </c>
      <c r="C34" s="26" t="n">
        <v>758.9</v>
      </c>
      <c r="D34" s="26" t="n">
        <v>758.9</v>
      </c>
      <c r="E34" s="26" t="n">
        <v>758.9</v>
      </c>
      <c r="F34" s="26" t="n">
        <v>758.9</v>
      </c>
      <c r="G34" s="26" t="n">
        <v>758.9</v>
      </c>
      <c r="H34" s="26" t="n">
        <v>758.9</v>
      </c>
      <c r="I34" s="26" t="n">
        <v>758.9</v>
      </c>
      <c r="J34" s="26" t="n">
        <v>758.9</v>
      </c>
      <c r="K34" s="26" t="n">
        <v>758.9</v>
      </c>
      <c r="L34" s="26" t="n">
        <v>758.9</v>
      </c>
      <c r="M34" s="26" t="n">
        <v>758.9</v>
      </c>
      <c r="N34" s="26">
        <f>SUM(B34:M34)</f>
        <v/>
      </c>
      <c r="O34" s="26" t="n">
        <v>758.89</v>
      </c>
      <c r="P34" s="26" t="n">
        <v>758.88</v>
      </c>
      <c r="Q34" s="26" t="n">
        <v>758.88</v>
      </c>
      <c r="R34" s="26" t="n">
        <v>681.42</v>
      </c>
      <c r="S34" s="26" t="n">
        <v>681.42</v>
      </c>
      <c r="T34" s="26" t="n">
        <v>681.42</v>
      </c>
      <c r="U34" s="26" t="n">
        <v>681.42</v>
      </c>
      <c r="AA34" s="26">
        <f>SUM(O34:U34)</f>
        <v/>
      </c>
      <c r="AB34" s="26">
        <f>SUM(O34:Z34)</f>
        <v/>
      </c>
      <c r="AC34" s="26" t="n">
        <v>682</v>
      </c>
      <c r="AD34" s="26" t="n">
        <v>682</v>
      </c>
      <c r="AE34" s="26" t="n">
        <v>682</v>
      </c>
      <c r="AF34" s="26" t="n">
        <v>682</v>
      </c>
      <c r="AG34" s="26" t="n">
        <v>682</v>
      </c>
      <c r="AH34" s="26" t="n">
        <v>682</v>
      </c>
      <c r="AI34" s="34">
        <f>SUM(AC34:AH34)</f>
        <v/>
      </c>
      <c r="AJ34" s="26">
        <f>SUM(AC34:AH34)+AI34</f>
        <v/>
      </c>
      <c r="AK34" s="11">
        <f>IF(N34&lt;&gt;0,(AB34-N34)/ABS(N34),0)</f>
        <v/>
      </c>
      <c r="AL34" s="11">
        <f>IF(AB34&lt;&gt;0,(AJ34-AB34)/ABS(AB34),0)</f>
        <v/>
      </c>
    </row>
    <row r="35" ht="13" customHeight="1">
      <c r="A35" s="25" t="inlineStr">
        <is>
          <t xml:space="preserve">    Utilities</t>
        </is>
      </c>
      <c r="B35" s="26" t="n">
        <v>872.46</v>
      </c>
      <c r="C35" s="26" t="n">
        <v>507.52</v>
      </c>
      <c r="D35" s="26" t="n">
        <v>466.58</v>
      </c>
      <c r="E35" s="26" t="n">
        <v>2967.25</v>
      </c>
      <c r="F35" s="26" t="n">
        <v>84.62</v>
      </c>
      <c r="G35" s="26" t="n">
        <v>279.5</v>
      </c>
      <c r="H35" s="26" t="n">
        <v>221.45</v>
      </c>
      <c r="I35" s="26" t="n">
        <v>960.99</v>
      </c>
      <c r="J35" s="26" t="n">
        <v>501.45</v>
      </c>
      <c r="K35" s="26" t="n">
        <v>437.86</v>
      </c>
      <c r="L35" s="26" t="n">
        <v>626.24</v>
      </c>
      <c r="M35" s="26" t="n">
        <v>739.01</v>
      </c>
      <c r="N35" s="26">
        <f>SUM(B35:M35)</f>
        <v/>
      </c>
      <c r="O35" s="26" t="n">
        <v>781.29</v>
      </c>
      <c r="P35" s="26" t="n">
        <v>896.36</v>
      </c>
      <c r="Q35" s="26" t="n">
        <v>481.44</v>
      </c>
      <c r="R35" s="26" t="n">
        <v>822.63</v>
      </c>
      <c r="S35" s="26" t="n">
        <v>608.29</v>
      </c>
      <c r="T35" s="26" t="n">
        <v>359.85</v>
      </c>
      <c r="U35" s="26" t="n">
        <v>564.25</v>
      </c>
      <c r="AA35" s="26">
        <f>SUM(O35:U35)</f>
        <v/>
      </c>
      <c r="AB35" s="26">
        <f>SUM(O35:Z35)</f>
        <v/>
      </c>
      <c r="AC35" s="26" t="n">
        <v>755</v>
      </c>
      <c r="AD35" s="26" t="n">
        <v>755</v>
      </c>
      <c r="AE35" s="26" t="n">
        <v>755</v>
      </c>
      <c r="AF35" s="26" t="n">
        <v>755</v>
      </c>
      <c r="AG35" s="26" t="n">
        <v>755</v>
      </c>
      <c r="AH35" s="26" t="n">
        <v>755</v>
      </c>
      <c r="AI35" s="34">
        <f>SUM(AC35:AH35)</f>
        <v/>
      </c>
      <c r="AJ35" s="26">
        <f>SUM(AC35:AH35)+AI35</f>
        <v/>
      </c>
      <c r="AK35" s="11">
        <f>IF(N35&lt;&gt;0,(AB35-N35)/ABS(N35),0)</f>
        <v/>
      </c>
      <c r="AL35" s="11">
        <f>IF(AB35&lt;&gt;0,(AJ35-AB35)/ABS(AB35),0)</f>
        <v/>
      </c>
    </row>
    <row r="36" ht="13" customHeight="1">
      <c r="A36" s="25" t="inlineStr">
        <is>
          <t xml:space="preserve">    Repairs &amp; Maintenance</t>
        </is>
      </c>
      <c r="B36" s="26" t="n">
        <v>387.14</v>
      </c>
      <c r="C36" s="26" t="n">
        <v>108.38</v>
      </c>
      <c r="D36" s="26" t="n">
        <v>277.96</v>
      </c>
      <c r="E36" s="26" t="n">
        <v>372.75</v>
      </c>
      <c r="F36" s="26" t="n">
        <v>389.89</v>
      </c>
      <c r="G36" s="26" t="n">
        <v>0</v>
      </c>
      <c r="H36" s="26" t="n">
        <v>421.2</v>
      </c>
      <c r="I36" s="26" t="n">
        <v>252</v>
      </c>
      <c r="J36" s="26" t="n">
        <v>69.92</v>
      </c>
      <c r="K36" s="26" t="n">
        <v>0</v>
      </c>
      <c r="L36" s="26" t="n">
        <v>147.46</v>
      </c>
      <c r="M36" s="26" t="n">
        <v>108</v>
      </c>
      <c r="N36" s="26">
        <f>SUM(B36:M36)</f>
        <v/>
      </c>
      <c r="O36" s="26" t="n">
        <v>0</v>
      </c>
      <c r="P36" s="26" t="n">
        <v>0</v>
      </c>
      <c r="Q36" s="26" t="n">
        <v>33.29</v>
      </c>
      <c r="R36" s="26" t="n">
        <v>0</v>
      </c>
      <c r="S36" s="26" t="n">
        <v>0</v>
      </c>
      <c r="T36" s="26" t="n">
        <v>0</v>
      </c>
      <c r="U36" s="26" t="n">
        <v>108</v>
      </c>
      <c r="AA36" s="26">
        <f>SUM(O36:U36)</f>
        <v/>
      </c>
      <c r="AB36" s="26">
        <f>SUM(O36:Z36)</f>
        <v/>
      </c>
      <c r="AC36" s="26" t="n">
        <v>0</v>
      </c>
      <c r="AD36" s="26" t="n">
        <v>0</v>
      </c>
      <c r="AE36" s="26" t="n">
        <v>0</v>
      </c>
      <c r="AF36" s="26" t="n">
        <v>0</v>
      </c>
      <c r="AG36" s="26" t="n">
        <v>0</v>
      </c>
      <c r="AH36" s="26" t="n">
        <v>0</v>
      </c>
      <c r="AI36" s="34">
        <f>SUM(AC36:AH36)</f>
        <v/>
      </c>
      <c r="AJ36" s="26">
        <f>SUM(AC36:AH36)+AI36</f>
        <v/>
      </c>
      <c r="AK36" s="11">
        <f>IF(N36&lt;&gt;0,(AB36-N36)/ABS(N36),0)</f>
        <v/>
      </c>
      <c r="AL36" s="11">
        <f>IF(AB36&lt;&gt;0,(AJ36-AB36)/ABS(AB36),0)</f>
        <v/>
      </c>
    </row>
    <row r="37" ht="13" customHeight="1">
      <c r="A37" s="25" t="inlineStr">
        <is>
          <t xml:space="preserve">    Cleaning</t>
        </is>
      </c>
      <c r="B37" s="26" t="n">
        <v>165.33</v>
      </c>
      <c r="C37" s="26" t="n">
        <v>90.19</v>
      </c>
      <c r="D37" s="26" t="n">
        <v>168.34</v>
      </c>
      <c r="E37" s="26" t="n">
        <v>290</v>
      </c>
      <c r="F37" s="26" t="n">
        <v>234.76</v>
      </c>
      <c r="G37" s="26" t="n">
        <v>142.75</v>
      </c>
      <c r="H37" s="26" t="n">
        <v>227.02</v>
      </c>
      <c r="I37" s="26" t="n">
        <v>220.38</v>
      </c>
      <c r="J37" s="26" t="n">
        <v>109.95</v>
      </c>
      <c r="K37" s="26" t="n">
        <v>206.87</v>
      </c>
      <c r="L37" s="26" t="n">
        <v>200.81</v>
      </c>
      <c r="M37" s="26" t="n">
        <v>0</v>
      </c>
      <c r="N37" s="26">
        <f>SUM(B37:M37)</f>
        <v/>
      </c>
      <c r="O37" s="26" t="n">
        <v>247.78</v>
      </c>
      <c r="P37" s="26" t="n">
        <v>16.8</v>
      </c>
      <c r="Q37" s="26" t="n">
        <v>358.17</v>
      </c>
      <c r="R37" s="26" t="n">
        <v>7.4</v>
      </c>
      <c r="S37" s="26" t="n">
        <v>129.71</v>
      </c>
      <c r="T37" s="26" t="n">
        <v>284.27</v>
      </c>
      <c r="U37" s="26" t="n">
        <v>326.1899999999999</v>
      </c>
      <c r="AA37" s="26">
        <f>SUM(O37:U37)</f>
        <v/>
      </c>
      <c r="AB37" s="26">
        <f>SUM(O37:Z37)</f>
        <v/>
      </c>
      <c r="AC37" s="26" t="n">
        <v>185</v>
      </c>
      <c r="AD37" s="26" t="n">
        <v>185</v>
      </c>
      <c r="AE37" s="26" t="n">
        <v>185</v>
      </c>
      <c r="AF37" s="26" t="n">
        <v>185</v>
      </c>
      <c r="AG37" s="26" t="n">
        <v>185</v>
      </c>
      <c r="AH37" s="26" t="n">
        <v>185</v>
      </c>
      <c r="AI37" s="34">
        <f>SUM(AC37:AH37)</f>
        <v/>
      </c>
      <c r="AJ37" s="26">
        <f>SUM(AC37:AH37)+AI37</f>
        <v/>
      </c>
      <c r="AK37" s="11">
        <f>IF(N37&lt;&gt;0,(AB37-N37)/ABS(N37),0)</f>
        <v/>
      </c>
      <c r="AL37" s="11">
        <f>IF(AB37&lt;&gt;0,(AJ37-AB37)/ABS(AB37),0)</f>
        <v/>
      </c>
    </row>
    <row r="38" ht="13" customHeight="1">
      <c r="A38" s="25" t="inlineStr">
        <is>
          <t xml:space="preserve">    Waste Disposal</t>
        </is>
      </c>
      <c r="B38" s="26" t="n">
        <v>403.55</v>
      </c>
      <c r="C38" s="26" t="n">
        <v>655.55</v>
      </c>
      <c r="D38" s="26" t="n">
        <v>533.88</v>
      </c>
      <c r="E38" s="26" t="n">
        <v>385.87</v>
      </c>
      <c r="F38" s="26" t="n">
        <v>337.46</v>
      </c>
      <c r="G38" s="26" t="n">
        <v>361.96</v>
      </c>
      <c r="H38" s="26" t="n">
        <v>308.55</v>
      </c>
      <c r="I38" s="26" t="n">
        <v>322.85</v>
      </c>
      <c r="J38" s="26" t="n">
        <v>483.96</v>
      </c>
      <c r="K38" s="26" t="n">
        <v>430.55</v>
      </c>
      <c r="L38" s="26" t="n">
        <v>322.85</v>
      </c>
      <c r="M38" s="26" t="n">
        <v>376.2599999999999</v>
      </c>
      <c r="N38" s="26">
        <f>SUM(B38:M38)</f>
        <v/>
      </c>
      <c r="O38" s="26" t="n">
        <v>340.84</v>
      </c>
      <c r="P38" s="26" t="n">
        <v>332.16</v>
      </c>
      <c r="Q38" s="26" t="n">
        <v>385.56</v>
      </c>
      <c r="R38" s="26" t="n">
        <v>440.2</v>
      </c>
      <c r="S38" s="26" t="n">
        <v>359.16</v>
      </c>
      <c r="T38" s="26" t="n">
        <v>250.5</v>
      </c>
      <c r="U38" s="26" t="n">
        <v>428.86</v>
      </c>
      <c r="AA38" s="26">
        <f>SUM(O38:U38)</f>
        <v/>
      </c>
      <c r="AB38" s="26">
        <f>SUM(O38:Z38)</f>
        <v/>
      </c>
      <c r="AC38" s="26" t="n">
        <v>422</v>
      </c>
      <c r="AD38" s="26" t="n">
        <v>422</v>
      </c>
      <c r="AE38" s="26" t="n">
        <v>422</v>
      </c>
      <c r="AF38" s="26" t="n">
        <v>422</v>
      </c>
      <c r="AG38" s="26" t="n">
        <v>422</v>
      </c>
      <c r="AH38" s="26" t="n">
        <v>422</v>
      </c>
      <c r="AI38" s="34">
        <f>SUM(AC38:AH38)</f>
        <v/>
      </c>
      <c r="AJ38" s="26">
        <f>SUM(AC38:AH38)+AI38</f>
        <v/>
      </c>
      <c r="AK38" s="11">
        <f>IF(N38&lt;&gt;0,(AB38-N38)/ABS(N38),0)</f>
        <v/>
      </c>
      <c r="AL38" s="11">
        <f>IF(AB38&lt;&gt;0,(AJ38-AB38)/ABS(AB38),0)</f>
        <v/>
      </c>
    </row>
    <row r="39" ht="13" customHeight="1">
      <c r="A39" s="25" t="inlineStr">
        <is>
          <t xml:space="preserve">    Postage/Printing/Stationery</t>
        </is>
      </c>
      <c r="B39" s="26" t="n">
        <v>43.45</v>
      </c>
      <c r="C39" s="26" t="n">
        <v>71.89999999999999</v>
      </c>
      <c r="D39" s="26" t="n">
        <v>34.49</v>
      </c>
      <c r="E39" s="26" t="n">
        <v>38.27</v>
      </c>
      <c r="F39" s="26" t="n">
        <v>56.39</v>
      </c>
      <c r="G39" s="26" t="n">
        <v>29.28</v>
      </c>
      <c r="H39" s="26" t="n">
        <v>17.79</v>
      </c>
      <c r="I39" s="26" t="n">
        <v>23.77</v>
      </c>
      <c r="J39" s="26" t="n">
        <v>49.73</v>
      </c>
      <c r="K39" s="26" t="n">
        <v>24.86</v>
      </c>
      <c r="L39" s="26" t="n">
        <v>23.78</v>
      </c>
      <c r="M39" s="26" t="n">
        <v>25.28</v>
      </c>
      <c r="N39" s="26">
        <f>SUM(B39:M39)</f>
        <v/>
      </c>
      <c r="O39" s="26" t="n">
        <v>57.89</v>
      </c>
      <c r="P39" s="26" t="n">
        <v>24.87</v>
      </c>
      <c r="Q39" s="26" t="n">
        <v>24.88</v>
      </c>
      <c r="R39" s="26" t="n">
        <v>25.12</v>
      </c>
      <c r="S39" s="26" t="n">
        <v>37.12</v>
      </c>
      <c r="T39" s="26" t="n">
        <v>63.19</v>
      </c>
      <c r="U39" s="26" t="n">
        <v>39.28</v>
      </c>
      <c r="AA39" s="26">
        <f>SUM(O39:U39)</f>
        <v/>
      </c>
      <c r="AB39" s="26">
        <f>SUM(O39:Z39)</f>
        <v/>
      </c>
      <c r="AC39" s="26" t="n">
        <v>0</v>
      </c>
      <c r="AD39" s="26" t="n">
        <v>0</v>
      </c>
      <c r="AE39" s="26" t="n">
        <v>0</v>
      </c>
      <c r="AF39" s="26" t="n">
        <v>0</v>
      </c>
      <c r="AG39" s="26" t="n">
        <v>0</v>
      </c>
      <c r="AH39" s="26" t="n">
        <v>0</v>
      </c>
      <c r="AI39" s="34">
        <f>SUM(AC39:AH39)</f>
        <v/>
      </c>
      <c r="AJ39" s="26">
        <f>SUM(AC39:AH39)+AI39</f>
        <v/>
      </c>
      <c r="AK39" s="11">
        <f>IF(N39&lt;&gt;0,(AB39-N39)/ABS(N39),0)</f>
        <v/>
      </c>
      <c r="AL39" s="11">
        <f>IF(AB39&lt;&gt;0,(AJ39-AB39)/ABS(AB39),0)</f>
        <v/>
      </c>
    </row>
    <row r="40" ht="13" customHeight="1">
      <c r="A40" s="25" t="inlineStr">
        <is>
          <t xml:space="preserve">    Telephone</t>
        </is>
      </c>
      <c r="B40" s="26" t="n">
        <v>0</v>
      </c>
      <c r="C40" s="26" t="n">
        <v>0</v>
      </c>
      <c r="D40" s="26" t="n">
        <v>0</v>
      </c>
      <c r="E40" s="26" t="n">
        <v>0</v>
      </c>
      <c r="F40" s="26" t="n">
        <v>0</v>
      </c>
      <c r="G40" s="26" t="n">
        <v>0</v>
      </c>
      <c r="H40" s="26" t="n">
        <v>0</v>
      </c>
      <c r="I40" s="26" t="n">
        <v>0</v>
      </c>
      <c r="J40" s="26" t="n">
        <v>0</v>
      </c>
      <c r="K40" s="26" t="n">
        <v>0</v>
      </c>
      <c r="L40" s="26" t="n">
        <v>0</v>
      </c>
      <c r="M40" s="26" t="n">
        <v>0</v>
      </c>
      <c r="N40" s="26">
        <f>SUM(B40:M40)</f>
        <v/>
      </c>
      <c r="O40" s="26" t="n">
        <v>0</v>
      </c>
      <c r="P40" s="26" t="n">
        <v>0</v>
      </c>
      <c r="Q40" s="26" t="n">
        <v>72</v>
      </c>
      <c r="R40" s="26" t="n">
        <v>24</v>
      </c>
      <c r="S40" s="26" t="n">
        <v>0</v>
      </c>
      <c r="T40" s="26" t="n">
        <v>0</v>
      </c>
      <c r="U40" s="26" t="n">
        <v>0</v>
      </c>
      <c r="AA40" s="26">
        <f>SUM(O40:U40)</f>
        <v/>
      </c>
      <c r="AB40" s="26">
        <f>SUM(O40:Z40)</f>
        <v/>
      </c>
      <c r="AC40" s="26" t="n">
        <v>0</v>
      </c>
      <c r="AD40" s="26" t="n">
        <v>0</v>
      </c>
      <c r="AE40" s="26" t="n">
        <v>0</v>
      </c>
      <c r="AF40" s="26" t="n">
        <v>0</v>
      </c>
      <c r="AG40" s="26" t="n">
        <v>0</v>
      </c>
      <c r="AH40" s="26" t="n">
        <v>0</v>
      </c>
      <c r="AI40" s="34">
        <f>SUM(AC40:AH40)</f>
        <v/>
      </c>
      <c r="AJ40" s="26">
        <f>SUM(AC40:AH40)+AI40</f>
        <v/>
      </c>
      <c r="AK40" s="11">
        <f>IF(N40&lt;&gt;0,(AB40-N40)/ABS(N40),0)</f>
        <v/>
      </c>
      <c r="AL40" s="11">
        <f>IF(AB40&lt;&gt;0,(AJ40-AB40)/ABS(AB40),0)</f>
        <v/>
      </c>
    </row>
    <row r="41" ht="13" customHeight="1">
      <c r="A41" s="25" t="inlineStr">
        <is>
          <t xml:space="preserve">    Marketing</t>
        </is>
      </c>
      <c r="B41" s="26" t="n">
        <v>7.99</v>
      </c>
      <c r="C41" s="26" t="n">
        <v>0</v>
      </c>
      <c r="D41" s="26" t="n">
        <v>143.21</v>
      </c>
      <c r="E41" s="26" t="n">
        <v>0</v>
      </c>
      <c r="F41" s="26" t="n">
        <v>0</v>
      </c>
      <c r="G41" s="26" t="n">
        <v>265</v>
      </c>
      <c r="H41" s="26" t="n">
        <v>0</v>
      </c>
      <c r="I41" s="26" t="n">
        <v>45</v>
      </c>
      <c r="J41" s="26" t="n">
        <v>0</v>
      </c>
      <c r="K41" s="26" t="n">
        <v>0</v>
      </c>
      <c r="L41" s="26" t="n">
        <v>0</v>
      </c>
      <c r="M41" s="26" t="n">
        <v>0</v>
      </c>
      <c r="N41" s="26">
        <f>SUM(B41:M41)</f>
        <v/>
      </c>
      <c r="O41" s="26" t="n">
        <v>48</v>
      </c>
      <c r="P41" s="26" t="n">
        <v>0</v>
      </c>
      <c r="Q41" s="26" t="n">
        <v>0</v>
      </c>
      <c r="R41" s="26" t="n">
        <v>48</v>
      </c>
      <c r="S41" s="26" t="n">
        <v>0</v>
      </c>
      <c r="T41" s="26" t="n">
        <v>220</v>
      </c>
      <c r="U41" s="26" t="n">
        <v>0</v>
      </c>
      <c r="AA41" s="26">
        <f>SUM(O41:U41)</f>
        <v/>
      </c>
      <c r="AB41" s="26">
        <f>SUM(O41:Z41)</f>
        <v/>
      </c>
      <c r="AC41" s="26" t="n">
        <v>100</v>
      </c>
      <c r="AD41" s="26" t="n">
        <v>100</v>
      </c>
      <c r="AE41" s="26" t="n">
        <v>100</v>
      </c>
      <c r="AF41" s="26" t="n">
        <v>100</v>
      </c>
      <c r="AG41" s="26" t="n">
        <v>100</v>
      </c>
      <c r="AH41" s="26" t="n">
        <v>100</v>
      </c>
      <c r="AI41" s="34">
        <f>SUM(AC41:AH41)</f>
        <v/>
      </c>
      <c r="AJ41" s="26">
        <f>SUM(AC41:AH41)+AI41</f>
        <v/>
      </c>
      <c r="AK41" s="11">
        <f>IF(N41&lt;&gt;0,(AB41-N41)/ABS(N41),0)</f>
        <v/>
      </c>
      <c r="AL41" s="11">
        <f>IF(AB41&lt;&gt;0,(AJ41-AB41)/ABS(AB41),0)</f>
        <v/>
      </c>
    </row>
    <row r="42" ht="13" customHeight="1">
      <c r="A42" s="27" t="inlineStr">
        <is>
          <t>Total Premises &amp; Admin</t>
        </is>
      </c>
      <c r="B42" s="28">
        <f>B33+B34+B35+B36+B37+B38+B39+B40+B41</f>
        <v/>
      </c>
      <c r="C42" s="28">
        <f>C33+C34+C35+C36+C37+C38+C39+C40+C41</f>
        <v/>
      </c>
      <c r="D42" s="28">
        <f>D33+D34+D35+D36+D37+D38+D39+D40+D41</f>
        <v/>
      </c>
      <c r="E42" s="28">
        <f>E33+E34+E35+E36+E37+E38+E39+E40+E41</f>
        <v/>
      </c>
      <c r="F42" s="28">
        <f>F33+F34+F35+F36+F37+F38+F39+F40+F41</f>
        <v/>
      </c>
      <c r="G42" s="28">
        <f>G33+G34+G35+G36+G37+G38+G39+G40+G41</f>
        <v/>
      </c>
      <c r="H42" s="28">
        <f>H33+H34+H35+H36+H37+H38+H39+H40+H41</f>
        <v/>
      </c>
      <c r="I42" s="28">
        <f>I33+I34+I35+I36+I37+I38+I39+I40+I41</f>
        <v/>
      </c>
      <c r="J42" s="28">
        <f>J33+J34+J35+J36+J37+J38+J39+J40+J41</f>
        <v/>
      </c>
      <c r="K42" s="28">
        <f>K33+K34+K35+K36+K37+K38+K39+K40+K41</f>
        <v/>
      </c>
      <c r="L42" s="28">
        <f>L33+L34+L35+L36+L37+L38+L39+L40+L41</f>
        <v/>
      </c>
      <c r="M42" s="28">
        <f>M33+M34+M35+M36+M37+M38+M39+M40+M41</f>
        <v/>
      </c>
      <c r="N42" s="28">
        <f>N33+N34+N35+N36+N37+N38+N39+N40+N41</f>
        <v/>
      </c>
      <c r="O42" s="28">
        <f>O33+O34+O35+O36+O37+O38+O39+O40+O41</f>
        <v/>
      </c>
      <c r="P42" s="28">
        <f>P33+P34+P35+P36+P37+P38+P39+P40+P41</f>
        <v/>
      </c>
      <c r="Q42" s="28">
        <f>Q33+Q34+Q35+Q36+Q37+Q38+Q39+Q40+Q41</f>
        <v/>
      </c>
      <c r="R42" s="28">
        <f>R33+R34+R35+R36+R37+R38+R39+R40+R41</f>
        <v/>
      </c>
      <c r="S42" s="28">
        <f>S33+S34+S35+S36+S37+S38+S39+S40+S41</f>
        <v/>
      </c>
      <c r="T42" s="28">
        <f>T33+T34+T35+T36+T37+T38+T39+T40+T41</f>
        <v/>
      </c>
      <c r="U42" s="28">
        <f>U33+U34+U35+U36+U37+U38+U39+U40+U41</f>
        <v/>
      </c>
      <c r="V42" s="28">
        <f>V33+V34+V35+V36+V37+V38+V39+V40+V41</f>
        <v/>
      </c>
      <c r="W42" s="28">
        <f>W33+W34+W35+W36+W37+W38+W39+W40+W41</f>
        <v/>
      </c>
      <c r="X42" s="28">
        <f>X33+X34+X35+X36+X37+X38+X39+X40+X41</f>
        <v/>
      </c>
      <c r="Y42" s="28">
        <f>Y33+Y34+Y35+Y36+Y37+Y38+Y39+Y40+Y41</f>
        <v/>
      </c>
      <c r="Z42" s="28">
        <f>Z33+Z34+Z35+Z36+Z37+Z38+Z39+Z40+Z41</f>
        <v/>
      </c>
      <c r="AA42" s="28">
        <f>AA33+AA34+AA35+AA36+AA37+AA38+AA39+AA40+AA41</f>
        <v/>
      </c>
      <c r="AB42" s="28">
        <f>AB33+AB34+AB35+AB36+AB37+AB38+AB39+AB40+AB41</f>
        <v/>
      </c>
      <c r="AC42" s="28">
        <f>AC33+AC34+AC35+AC36+AC37+AC38+AC39+AC40+AC41</f>
        <v/>
      </c>
      <c r="AD42" s="28">
        <f>AD33+AD34+AD35+AD36+AD37+AD38+AD39+AD40+AD41</f>
        <v/>
      </c>
      <c r="AE42" s="28">
        <f>AE33+AE34+AE35+AE36+AE37+AE38+AE39+AE40+AE41</f>
        <v/>
      </c>
      <c r="AF42" s="28">
        <f>AF33+AF34+AF35+AF36+AF37+AF38+AF39+AF40+AF41</f>
        <v/>
      </c>
      <c r="AG42" s="28">
        <f>AG33+AG34+AG35+AG36+AG37+AG38+AG39+AG40+AG41</f>
        <v/>
      </c>
      <c r="AH42" s="28">
        <f>AH33+AH34+AH35+AH36+AH37+AH38+AH39+AH40+AH41</f>
        <v/>
      </c>
      <c r="AI42" s="28">
        <f>AI33+AI34+AI35+AI36+AI37+AI38+AI39+AI40+AI41</f>
        <v/>
      </c>
      <c r="AJ42" s="28">
        <f>AJ33+AJ34+AJ35+AJ36+AJ37+AJ38+AJ39+AJ40+AJ41</f>
        <v/>
      </c>
      <c r="AK42" s="11">
        <f>IF(N42&lt;&gt;0,(AB42-N42)/ABS(N42),0)</f>
        <v/>
      </c>
      <c r="AL42" s="11">
        <f>IF(AB42&lt;&gt;0,(AJ42-AB42)/ABS(AB42),0)</f>
        <v/>
      </c>
    </row>
    <row r="43" ht="5" customHeight="1"/>
    <row r="44" ht="13" customHeight="1">
      <c r="A44" s="29" t="inlineStr">
        <is>
          <t>Total Direct Costs</t>
        </is>
      </c>
      <c r="AK44" s="11">
        <f>IF(N44&lt;&gt;0,(AB44-N44)/ABS(N44),0)</f>
        <v/>
      </c>
      <c r="AL44" s="11">
        <f>IF(AB44&lt;&gt;0,(AJ44-AB44)/ABS(AB44),0)</f>
        <v/>
      </c>
    </row>
    <row r="45" ht="5" customHeight="1"/>
    <row r="46" ht="15" customHeight="1">
      <c r="A46" s="30" t="inlineStr">
        <is>
          <t>CONTRIBUTION</t>
        </is>
      </c>
      <c r="B46" s="31">
        <f>B7-B44</f>
        <v/>
      </c>
      <c r="C46" s="31">
        <f>C7-C44</f>
        <v/>
      </c>
      <c r="D46" s="31">
        <f>D7-D44</f>
        <v/>
      </c>
      <c r="E46" s="31">
        <f>E7-E44</f>
        <v/>
      </c>
      <c r="F46" s="31">
        <f>F7-F44</f>
        <v/>
      </c>
      <c r="G46" s="31">
        <f>G7-G44</f>
        <v/>
      </c>
      <c r="H46" s="31">
        <f>H7-H44</f>
        <v/>
      </c>
      <c r="I46" s="31">
        <f>I7-I44</f>
        <v/>
      </c>
      <c r="J46" s="31">
        <f>J7-J44</f>
        <v/>
      </c>
      <c r="K46" s="31">
        <f>K7-K44</f>
        <v/>
      </c>
      <c r="L46" s="31">
        <f>L7-L44</f>
        <v/>
      </c>
      <c r="M46" s="31">
        <f>M7-M44</f>
        <v/>
      </c>
      <c r="N46" s="31">
        <f>N7-N44</f>
        <v/>
      </c>
      <c r="O46" s="31">
        <f>O7-O44</f>
        <v/>
      </c>
      <c r="P46" s="31">
        <f>P7-P44</f>
        <v/>
      </c>
      <c r="Q46" s="31">
        <f>Q7-Q44</f>
        <v/>
      </c>
      <c r="R46" s="31">
        <f>R7-R44</f>
        <v/>
      </c>
      <c r="S46" s="31">
        <f>S7-S44</f>
        <v/>
      </c>
      <c r="T46" s="31">
        <f>T7-T44</f>
        <v/>
      </c>
      <c r="U46" s="31">
        <f>U7-U44</f>
        <v/>
      </c>
      <c r="V46" s="31">
        <f>V7-V44</f>
        <v/>
      </c>
      <c r="W46" s="31">
        <f>W7-W44</f>
        <v/>
      </c>
      <c r="X46" s="31">
        <f>X7-X44</f>
        <v/>
      </c>
      <c r="Y46" s="31">
        <f>Y7-Y44</f>
        <v/>
      </c>
      <c r="Z46" s="31">
        <f>Z7-Z44</f>
        <v/>
      </c>
      <c r="AA46" s="31">
        <f>AA7-AA44</f>
        <v/>
      </c>
      <c r="AB46" s="31">
        <f>AB7-AB44</f>
        <v/>
      </c>
      <c r="AC46" s="31">
        <f>AC7-AC44</f>
        <v/>
      </c>
      <c r="AD46" s="31">
        <f>AD7-AD44</f>
        <v/>
      </c>
      <c r="AE46" s="31">
        <f>AE7-AE44</f>
        <v/>
      </c>
      <c r="AF46" s="31">
        <f>AF7-AF44</f>
        <v/>
      </c>
      <c r="AG46" s="31">
        <f>AG7-AG44</f>
        <v/>
      </c>
      <c r="AH46" s="31">
        <f>AH7-AH44</f>
        <v/>
      </c>
      <c r="AI46" s="31">
        <f>AI7-AI44</f>
        <v/>
      </c>
      <c r="AJ46" s="31">
        <f>AJ7-AJ44</f>
        <v/>
      </c>
      <c r="AK46" s="11">
        <f>IF(N46&lt;&gt;0,(AB46-N46)/ABS(N46),0)</f>
        <v/>
      </c>
      <c r="AL46" s="11">
        <f>IF(AB46&lt;&gt;0,(AJ46-AB46)/ABS(AB46),0)</f>
        <v/>
      </c>
    </row>
  </sheetData>
  <mergeCells count="8">
    <mergeCell ref="A10:AL10"/>
    <mergeCell ref="B1:N1"/>
    <mergeCell ref="A23:AL23"/>
    <mergeCell ref="A32:AL32"/>
    <mergeCell ref="AC1:AJ1"/>
    <mergeCell ref="A9:AL9"/>
    <mergeCell ref="A3:AL3"/>
    <mergeCell ref="O1:AB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L4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9.5" customWidth="1" min="27" max="27"/>
    <col width="9.5" customWidth="1" min="28" max="28"/>
    <col width="9.5" customWidth="1" min="29" max="29"/>
    <col width="9.5" customWidth="1" min="30" max="30"/>
    <col width="9.5" customWidth="1" min="31" max="31"/>
    <col width="9.5" customWidth="1" min="32" max="32"/>
    <col width="9.5" customWidth="1" min="33" max="33"/>
    <col width="9.5" customWidth="1" min="34" max="34"/>
    <col width="9.5" customWidth="1" min="35" max="35"/>
    <col width="11" customWidth="1" min="36" max="36"/>
    <col width="10" customWidth="1" min="37" max="37"/>
    <col width="10" customWidth="1" min="38" max="38"/>
  </cols>
  <sheetData>
    <row r="1" ht="18" customHeight="1">
      <c r="A1" s="1" t="inlineStr">
        <is>
          <t>Lower Earley</t>
        </is>
      </c>
      <c r="B1" s="2" t="inlineStr">
        <is>
          <t>Actuals 2025</t>
        </is>
      </c>
      <c r="O1" s="2" t="inlineStr">
        <is>
          <t>2026 Actual / Forecast</t>
        </is>
      </c>
      <c r="AC1" s="32" t="inlineStr">
        <is>
          <t>2027 Plan</t>
        </is>
      </c>
      <c r="AK1" s="3" t="inlineStr">
        <is>
          <t>YoY</t>
        </is>
      </c>
      <c r="AL1" s="3" t="inlineStr">
        <is>
          <t>YoY</t>
        </is>
      </c>
    </row>
    <row r="2" ht="22" customHeight="1">
      <c r="B2" s="4" t="inlineStr">
        <is>
          <t>Jan</t>
        </is>
      </c>
      <c r="C2" s="4" t="inlineStr">
        <is>
          <t>Feb</t>
        </is>
      </c>
      <c r="D2" s="4" t="inlineStr">
        <is>
          <t>Mar</t>
        </is>
      </c>
      <c r="E2" s="4" t="inlineStr">
        <is>
          <t>Apr</t>
        </is>
      </c>
      <c r="F2" s="4" t="inlineStr">
        <is>
          <t>May</t>
        </is>
      </c>
      <c r="G2" s="4" t="inlineStr">
        <is>
          <t>Jun</t>
        </is>
      </c>
      <c r="H2" s="4" t="inlineStr">
        <is>
          <t>Jul</t>
        </is>
      </c>
      <c r="I2" s="4" t="inlineStr">
        <is>
          <t>Aug</t>
        </is>
      </c>
      <c r="J2" s="4" t="inlineStr">
        <is>
          <t>Sep</t>
        </is>
      </c>
      <c r="K2" s="4" t="inlineStr">
        <is>
          <t>Oct</t>
        </is>
      </c>
      <c r="L2" s="4" t="inlineStr">
        <is>
          <t>Nov</t>
        </is>
      </c>
      <c r="M2" s="4" t="inlineStr">
        <is>
          <t>Dec</t>
        </is>
      </c>
      <c r="N2" s="5" t="inlineStr">
        <is>
          <t>FY2025
Total</t>
        </is>
      </c>
      <c r="O2" s="4" t="inlineStr">
        <is>
          <t>Jan</t>
        </is>
      </c>
      <c r="P2" s="4" t="inlineStr">
        <is>
          <t>Feb</t>
        </is>
      </c>
      <c r="Q2" s="4" t="inlineStr">
        <is>
          <t>Mar</t>
        </is>
      </c>
      <c r="R2" s="4" t="inlineStr">
        <is>
          <t>Apr</t>
        </is>
      </c>
      <c r="S2" s="4" t="inlineStr">
        <is>
          <t>May</t>
        </is>
      </c>
      <c r="T2" s="4" t="inlineStr">
        <is>
          <t>Jun</t>
        </is>
      </c>
      <c r="U2" s="4" t="inlineStr">
        <is>
          <t>Jul</t>
        </is>
      </c>
      <c r="V2" s="4" t="inlineStr">
        <is>
          <t>Aug</t>
        </is>
      </c>
      <c r="W2" s="4" t="inlineStr">
        <is>
          <t>Sep</t>
        </is>
      </c>
      <c r="X2" s="4" t="inlineStr">
        <is>
          <t>Oct</t>
        </is>
      </c>
      <c r="Y2" s="4" t="inlineStr">
        <is>
          <t>Nov</t>
        </is>
      </c>
      <c r="Z2" s="4" t="inlineStr">
        <is>
          <t>Dec</t>
        </is>
      </c>
      <c r="AA2" s="4" t="inlineStr">
        <is>
          <t>YTD</t>
        </is>
      </c>
      <c r="AB2" s="5" t="inlineStr">
        <is>
          <t>FY2026
Outlook</t>
        </is>
      </c>
      <c r="AC2" s="4" t="inlineStr">
        <is>
          <t>Jan</t>
        </is>
      </c>
      <c r="AD2" s="4" t="inlineStr">
        <is>
          <t>Feb</t>
        </is>
      </c>
      <c r="AE2" s="4" t="inlineStr">
        <is>
          <t>Mar</t>
        </is>
      </c>
      <c r="AF2" s="4" t="inlineStr">
        <is>
          <t>Apr</t>
        </is>
      </c>
      <c r="AG2" s="4" t="inlineStr">
        <is>
          <t>May</t>
        </is>
      </c>
      <c r="AH2" s="4" t="inlineStr">
        <is>
          <t>Jun</t>
        </is>
      </c>
      <c r="AI2" s="33" t="inlineStr">
        <is>
          <t>Jul-Dec
Plan</t>
        </is>
      </c>
      <c r="AJ2" s="4" t="inlineStr">
        <is>
          <t>FY2027</t>
        </is>
      </c>
      <c r="AK2" s="6" t="inlineStr">
        <is>
          <t>25→26
%</t>
        </is>
      </c>
      <c r="AL2" s="6" t="inlineStr">
        <is>
          <t>26→27
%</t>
        </is>
      </c>
    </row>
    <row r="3" ht="15" customHeight="1">
      <c r="A3" s="7" t="inlineStr">
        <is>
          <t>INCOME</t>
        </is>
      </c>
    </row>
    <row r="4" ht="13" customHeight="1">
      <c r="A4" s="8" t="inlineStr">
        <is>
          <t xml:space="preserve">    Fee Income Regular</t>
        </is>
      </c>
      <c r="B4" s="9" t="n">
        <v>30963.16</v>
      </c>
      <c r="C4" s="9" t="n">
        <v>27021.59</v>
      </c>
      <c r="D4" s="9" t="n">
        <v>29812.55</v>
      </c>
      <c r="E4" s="9" t="n">
        <v>31949.87</v>
      </c>
      <c r="F4" s="9" t="n">
        <v>31063.91</v>
      </c>
      <c r="G4" s="9" t="n">
        <v>30350.6</v>
      </c>
      <c r="H4" s="9" t="n">
        <v>34021.42999999999</v>
      </c>
      <c r="I4" s="9" t="n">
        <v>29196.77</v>
      </c>
      <c r="J4" s="9" t="n">
        <v>21455.14</v>
      </c>
      <c r="K4" s="9" t="n">
        <v>24315.15</v>
      </c>
      <c r="L4" s="9" t="n">
        <v>18923.36</v>
      </c>
      <c r="M4" s="9" t="n">
        <v>19499.29</v>
      </c>
      <c r="N4" s="9">
        <f>SUM(B4:M4)</f>
        <v/>
      </c>
      <c r="O4" s="9" t="n">
        <v>20503.25</v>
      </c>
      <c r="P4" s="9" t="n">
        <v>20213.24000000001</v>
      </c>
      <c r="Q4" s="9" t="n">
        <v>18535.67</v>
      </c>
      <c r="R4" s="9" t="n">
        <v>21408.1</v>
      </c>
      <c r="S4" s="9" t="n">
        <v>20206.17</v>
      </c>
      <c r="T4" s="9" t="n">
        <v>20812.27</v>
      </c>
      <c r="U4" s="9" t="n">
        <v>21997.47</v>
      </c>
      <c r="AA4" s="9">
        <f>SUM(O4:U4)</f>
        <v/>
      </c>
      <c r="AB4" s="9">
        <f>SUM(O4:Z4)</f>
        <v/>
      </c>
      <c r="AC4" s="9" t="n">
        <v>27908.68</v>
      </c>
      <c r="AD4" s="9" t="n">
        <v>30111.53</v>
      </c>
      <c r="AE4" s="9" t="n">
        <v>36903.62</v>
      </c>
      <c r="AF4" s="9" t="n">
        <v>34701.33</v>
      </c>
      <c r="AG4" s="9" t="n">
        <v>32867.54</v>
      </c>
      <c r="AH4" s="9" t="n">
        <v>36606.08</v>
      </c>
      <c r="AI4" s="34">
        <f>SUM(AC4:AH4)</f>
        <v/>
      </c>
      <c r="AJ4" s="9">
        <f>SUM(AC4:AH4)+AI4</f>
        <v/>
      </c>
      <c r="AK4" s="11">
        <f>IF(N4&lt;&gt;0,(AB4-N4)/ABS(N4),0)</f>
        <v/>
      </c>
      <c r="AL4" s="11">
        <f>IF(AB4&lt;&gt;0,(AJ4-AB4)/ABS(AB4),0)</f>
        <v/>
      </c>
    </row>
    <row r="5" ht="13" customHeight="1">
      <c r="A5" s="8" t="inlineStr">
        <is>
          <t xml:space="preserve">    EEEF Embedded</t>
        </is>
      </c>
      <c r="B5" s="9" t="n">
        <v>11065.6</v>
      </c>
      <c r="C5" s="9" t="n">
        <v>11065.6</v>
      </c>
      <c r="D5" s="9" t="n">
        <v>14478.45</v>
      </c>
      <c r="E5" s="9" t="n">
        <v>8307.689999999999</v>
      </c>
      <c r="F5" s="9" t="n">
        <v>8307.689999999999</v>
      </c>
      <c r="G5" s="9" t="n">
        <v>8307.690000000001</v>
      </c>
      <c r="H5" s="9" t="n">
        <v>22440.35</v>
      </c>
      <c r="I5" s="9" t="n">
        <v>0</v>
      </c>
      <c r="J5" s="9" t="n">
        <v>7068.51</v>
      </c>
      <c r="K5" s="9" t="n">
        <v>7068.51</v>
      </c>
      <c r="L5" s="9" t="n">
        <v>17784.49</v>
      </c>
      <c r="M5" s="9" t="n">
        <v>17975.48</v>
      </c>
      <c r="N5" s="9">
        <f>SUM(B5:M5)</f>
        <v/>
      </c>
      <c r="O5" s="9" t="n">
        <v>13761.14</v>
      </c>
      <c r="P5" s="9" t="n">
        <v>13761.14</v>
      </c>
      <c r="Q5" s="9" t="n">
        <v>24206.13</v>
      </c>
      <c r="R5" s="9" t="n">
        <v>14877.62</v>
      </c>
      <c r="S5" s="9" t="n">
        <v>14877.62</v>
      </c>
      <c r="T5" s="9" t="n">
        <v>13485.23</v>
      </c>
      <c r="U5" s="9" t="n">
        <v>14413.49</v>
      </c>
      <c r="AA5" s="9">
        <f>SUM(O5:U5)</f>
        <v/>
      </c>
      <c r="AB5" s="9">
        <f>SUM(O5:Z5)</f>
        <v/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34">
        <f>SUM(AC5:AH5)</f>
        <v/>
      </c>
      <c r="AJ5" s="9">
        <f>SUM(AC5:AH5)+AI5</f>
        <v/>
      </c>
      <c r="AK5" s="11">
        <f>IF(N5&lt;&gt;0,(AB5-N5)/ABS(N5),0)</f>
        <v/>
      </c>
      <c r="AL5" s="11">
        <f>IF(AB5&lt;&gt;0,(AJ5-AB5)/ABS(AB5),0)</f>
        <v/>
      </c>
    </row>
    <row r="6" ht="13" customHeight="1">
      <c r="A6" s="8" t="inlineStr">
        <is>
          <t xml:space="preserve">    Other Income</t>
        </is>
      </c>
      <c r="B6" s="9" t="n">
        <v>0</v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2075.37</v>
      </c>
      <c r="J6" s="9" t="n">
        <v>0</v>
      </c>
      <c r="K6" s="9" t="n">
        <v>0</v>
      </c>
      <c r="L6" s="9" t="n">
        <v>0</v>
      </c>
      <c r="M6" s="9" t="n">
        <v>0</v>
      </c>
      <c r="N6" s="9">
        <f>SUM(B6:M6)</f>
        <v/>
      </c>
      <c r="O6" s="9" t="n">
        <v>0</v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0</v>
      </c>
      <c r="W6" s="9" t="n">
        <v>0</v>
      </c>
      <c r="X6" s="9" t="n">
        <v>0</v>
      </c>
      <c r="Y6" s="9" t="n">
        <v>0</v>
      </c>
      <c r="Z6" s="9" t="n">
        <v>0</v>
      </c>
      <c r="AA6" s="9">
        <f>SUM(O6:U6)</f>
        <v/>
      </c>
      <c r="AB6" s="9">
        <f>SUM(O6:Z6)</f>
        <v/>
      </c>
      <c r="AC6" s="9" t="n">
        <v>0</v>
      </c>
      <c r="AD6" s="9" t="n">
        <v>0</v>
      </c>
      <c r="AE6" s="9" t="n">
        <v>0</v>
      </c>
      <c r="AF6" s="9" t="n">
        <v>0</v>
      </c>
      <c r="AG6" s="9" t="n">
        <v>0</v>
      </c>
      <c r="AH6" s="9" t="n">
        <v>0</v>
      </c>
      <c r="AI6" s="34">
        <f>SUM(AC6:AH6)</f>
        <v/>
      </c>
      <c r="AJ6" s="9">
        <f>SUM(AC6:AH6)+AI6</f>
        <v/>
      </c>
      <c r="AK6" s="11">
        <f>IF(N6&lt;&gt;0,(AB6-N6)/ABS(N6),0)</f>
        <v/>
      </c>
      <c r="AL6" s="11">
        <f>IF(AB6&lt;&gt;0,(AJ6-AB6)/ABS(AB6),0)</f>
        <v/>
      </c>
    </row>
    <row r="7" ht="13" customHeight="1">
      <c r="A7" s="12" t="inlineStr">
        <is>
          <t>Total Income</t>
        </is>
      </c>
      <c r="B7" s="13">
        <f>B4+B5+B6</f>
        <v/>
      </c>
      <c r="C7" s="13">
        <f>C4+C5+C6</f>
        <v/>
      </c>
      <c r="D7" s="13">
        <f>D4+D5+D6</f>
        <v/>
      </c>
      <c r="E7" s="13">
        <f>E4+E5+E6</f>
        <v/>
      </c>
      <c r="F7" s="13">
        <f>F4+F5+F6</f>
        <v/>
      </c>
      <c r="G7" s="13">
        <f>G4+G5+G6</f>
        <v/>
      </c>
      <c r="H7" s="13">
        <f>H4+H5+H6</f>
        <v/>
      </c>
      <c r="I7" s="13">
        <f>I4+I5+I6</f>
        <v/>
      </c>
      <c r="J7" s="13">
        <f>J4+J5+J6</f>
        <v/>
      </c>
      <c r="K7" s="13">
        <f>K4+K5+K6</f>
        <v/>
      </c>
      <c r="L7" s="13">
        <f>L4+L5+L6</f>
        <v/>
      </c>
      <c r="M7" s="13">
        <f>M4+M5+M6</f>
        <v/>
      </c>
      <c r="N7" s="13">
        <f>N4+N5+N6</f>
        <v/>
      </c>
      <c r="O7" s="13">
        <f>O4+O5+O6</f>
        <v/>
      </c>
      <c r="P7" s="13">
        <f>P4+P5+P6</f>
        <v/>
      </c>
      <c r="Q7" s="13">
        <f>Q4+Q5+Q6</f>
        <v/>
      </c>
      <c r="R7" s="13">
        <f>R4+R5+R6</f>
        <v/>
      </c>
      <c r="S7" s="13">
        <f>S4+S5+S6</f>
        <v/>
      </c>
      <c r="T7" s="13">
        <f>T4+T5+T6</f>
        <v/>
      </c>
      <c r="U7" s="13">
        <f>U4+U5+U6</f>
        <v/>
      </c>
      <c r="V7" s="13">
        <f>V4+V5+V6</f>
        <v/>
      </c>
      <c r="W7" s="13">
        <f>W4+W5+W6</f>
        <v/>
      </c>
      <c r="X7" s="13">
        <f>X4+X5+X6</f>
        <v/>
      </c>
      <c r="Y7" s="13">
        <f>Y4+Y5+Y6</f>
        <v/>
      </c>
      <c r="Z7" s="13">
        <f>Z4+Z5+Z6</f>
        <v/>
      </c>
      <c r="AA7" s="13">
        <f>AA4+AA5+AA6</f>
        <v/>
      </c>
      <c r="AB7" s="13">
        <f>AB4+AB5+AB6</f>
        <v/>
      </c>
      <c r="AC7" s="13">
        <f>AC4+AC5+AC6</f>
        <v/>
      </c>
      <c r="AD7" s="13">
        <f>AD4+AD5+AD6</f>
        <v/>
      </c>
      <c r="AE7" s="13">
        <f>AE4+AE5+AE6</f>
        <v/>
      </c>
      <c r="AF7" s="13">
        <f>AF4+AF5+AF6</f>
        <v/>
      </c>
      <c r="AG7" s="13">
        <f>AG4+AG5+AG6</f>
        <v/>
      </c>
      <c r="AH7" s="13">
        <f>AH4+AH5+AH6</f>
        <v/>
      </c>
      <c r="AI7" s="13">
        <f>AI4+AI5+AI6</f>
        <v/>
      </c>
      <c r="AJ7" s="13">
        <f>AJ4+AJ5+AJ6</f>
        <v/>
      </c>
      <c r="AK7" s="11">
        <f>IF(N7&lt;&gt;0,(AB7-N7)/ABS(N7),0)</f>
        <v/>
      </c>
      <c r="AL7" s="11">
        <f>IF(AB7&lt;&gt;0,(AJ7-AB7)/ABS(AB7),0)</f>
        <v/>
      </c>
    </row>
    <row r="8" ht="5" customHeight="1"/>
    <row r="9" ht="15" customHeight="1">
      <c r="A9" s="7" t="inlineStr">
        <is>
          <t>DIRECT COSTS</t>
        </is>
      </c>
    </row>
    <row r="10" ht="13" customHeight="1">
      <c r="A10" s="14" t="inlineStr">
        <is>
          <t>Personnel</t>
        </is>
      </c>
    </row>
    <row r="11" ht="13" customHeight="1">
      <c r="A11" s="15" t="inlineStr">
        <is>
          <t xml:space="preserve">    Nursery Salaries</t>
        </is>
      </c>
      <c r="B11" s="16" t="n">
        <v>20563.42</v>
      </c>
      <c r="C11" s="16" t="n">
        <v>20213.37</v>
      </c>
      <c r="D11" s="16" t="n">
        <v>21470.65</v>
      </c>
      <c r="E11" s="16" t="n">
        <v>24892.98</v>
      </c>
      <c r="F11" s="16" t="n">
        <v>23314.35</v>
      </c>
      <c r="G11" s="16" t="n">
        <v>22997.77</v>
      </c>
      <c r="H11" s="16" t="n">
        <v>23503.46</v>
      </c>
      <c r="I11" s="16" t="n">
        <v>18431.22</v>
      </c>
      <c r="J11" s="16" t="n">
        <v>18936.09</v>
      </c>
      <c r="K11" s="16" t="n">
        <v>19115.71</v>
      </c>
      <c r="L11" s="16" t="n">
        <v>19409.15</v>
      </c>
      <c r="M11" s="16" t="n">
        <v>19644.59</v>
      </c>
      <c r="N11" s="16">
        <f>SUM(B11:M11)</f>
        <v/>
      </c>
      <c r="O11" s="16" t="n">
        <v>22397.82</v>
      </c>
      <c r="P11" s="16" t="n">
        <v>20915.8</v>
      </c>
      <c r="Q11" s="16" t="n">
        <v>21228.23</v>
      </c>
      <c r="R11" s="16" t="n">
        <v>24553.16</v>
      </c>
      <c r="S11" s="16" t="n">
        <v>23927.03</v>
      </c>
      <c r="T11" s="16" t="n">
        <v>24496.41</v>
      </c>
      <c r="U11" s="16" t="n">
        <v>24453.12</v>
      </c>
      <c r="AA11" s="16">
        <f>SUM(O11:U11)</f>
        <v/>
      </c>
      <c r="AB11" s="16">
        <f>SUM(O11:Z11)</f>
        <v/>
      </c>
      <c r="AC11" s="16" t="n">
        <v>24326</v>
      </c>
      <c r="AD11" s="16" t="n">
        <v>24326</v>
      </c>
      <c r="AE11" s="16" t="n">
        <v>24326</v>
      </c>
      <c r="AF11" s="16" t="n">
        <v>24326</v>
      </c>
      <c r="AG11" s="16" t="n">
        <v>24326</v>
      </c>
      <c r="AH11" s="16" t="n">
        <v>24326</v>
      </c>
      <c r="AI11" s="34">
        <f>SUM(AC11:AH11)</f>
        <v/>
      </c>
      <c r="AJ11" s="16">
        <f>SUM(AC11:AH11)+AI11</f>
        <v/>
      </c>
      <c r="AK11" s="11">
        <f>IF(N11&lt;&gt;0,(AB11-N11)/ABS(N11),0)</f>
        <v/>
      </c>
      <c r="AL11" s="11">
        <f>IF(AB11&lt;&gt;0,(AJ11-AB11)/ABS(AB11),0)</f>
        <v/>
      </c>
    </row>
    <row r="12" ht="13" customHeight="1">
      <c r="A12" s="15" t="inlineStr">
        <is>
          <t xml:space="preserve">    Nursery NI</t>
        </is>
      </c>
      <c r="B12" s="16" t="n">
        <v>1779.03</v>
      </c>
      <c r="C12" s="16" t="n">
        <v>1715.81</v>
      </c>
      <c r="D12" s="16" t="n">
        <v>1827.23</v>
      </c>
      <c r="E12" s="16" t="n">
        <v>2853.52</v>
      </c>
      <c r="F12" s="16" t="n">
        <v>2716.71</v>
      </c>
      <c r="G12" s="16" t="n">
        <v>2671.16</v>
      </c>
      <c r="H12" s="16" t="n">
        <v>2750.72</v>
      </c>
      <c r="I12" s="16" t="n">
        <v>2020.55</v>
      </c>
      <c r="J12" s="16" t="n">
        <v>2022.69</v>
      </c>
      <c r="K12" s="16" t="n">
        <v>2177.05</v>
      </c>
      <c r="L12" s="16" t="n">
        <v>2121.95</v>
      </c>
      <c r="M12" s="16" t="n">
        <v>2160.08</v>
      </c>
      <c r="N12" s="16">
        <f>SUM(B12:M12)</f>
        <v/>
      </c>
      <c r="O12" s="16" t="n">
        <v>2569.78</v>
      </c>
      <c r="P12" s="16" t="n">
        <v>2333.89</v>
      </c>
      <c r="Q12" s="16" t="n">
        <v>2397.63</v>
      </c>
      <c r="R12" s="16" t="n">
        <v>2810.47</v>
      </c>
      <c r="S12" s="16" t="n">
        <v>2678.16</v>
      </c>
      <c r="T12" s="16" t="n">
        <v>2699.89</v>
      </c>
      <c r="U12" s="16" t="n">
        <v>2746.09</v>
      </c>
      <c r="AA12" s="16">
        <f>SUM(O12:U12)</f>
        <v/>
      </c>
      <c r="AB12" s="16">
        <f>SUM(O12:Z12)</f>
        <v/>
      </c>
      <c r="AC12" s="16" t="n">
        <v>2730</v>
      </c>
      <c r="AD12" s="16" t="n">
        <v>2730</v>
      </c>
      <c r="AE12" s="16" t="n">
        <v>2730</v>
      </c>
      <c r="AF12" s="16" t="n">
        <v>2730</v>
      </c>
      <c r="AG12" s="16" t="n">
        <v>2730</v>
      </c>
      <c r="AH12" s="16" t="n">
        <v>2730</v>
      </c>
      <c r="AI12" s="34">
        <f>SUM(AC12:AH12)</f>
        <v/>
      </c>
      <c r="AJ12" s="16">
        <f>SUM(AC12:AH12)+AI12</f>
        <v/>
      </c>
      <c r="AK12" s="11">
        <f>IF(N12&lt;&gt;0,(AB12-N12)/ABS(N12),0)</f>
        <v/>
      </c>
      <c r="AL12" s="11">
        <f>IF(AB12&lt;&gt;0,(AJ12-AB12)/ABS(AB12),0)</f>
        <v/>
      </c>
    </row>
    <row r="13" ht="13" customHeight="1">
      <c r="A13" s="15" t="inlineStr">
        <is>
          <t xml:space="preserve">    Nursery Pension</t>
        </is>
      </c>
      <c r="B13" s="16" t="n">
        <v>442.12</v>
      </c>
      <c r="C13" s="16" t="n">
        <v>430.09</v>
      </c>
      <c r="D13" s="16" t="n">
        <v>405.36</v>
      </c>
      <c r="E13" s="16" t="n">
        <v>485.36</v>
      </c>
      <c r="F13" s="16" t="n">
        <v>515.48</v>
      </c>
      <c r="G13" s="16" t="n">
        <v>506.37</v>
      </c>
      <c r="H13" s="16" t="n">
        <v>516.35</v>
      </c>
      <c r="I13" s="16" t="n">
        <v>385.54</v>
      </c>
      <c r="J13" s="16" t="n">
        <v>331.38</v>
      </c>
      <c r="K13" s="16" t="n">
        <v>338.82</v>
      </c>
      <c r="L13" s="16" t="n">
        <v>396.08</v>
      </c>
      <c r="M13" s="16" t="n">
        <v>395.76</v>
      </c>
      <c r="N13" s="16">
        <f>SUM(B13:M13)</f>
        <v/>
      </c>
      <c r="O13" s="16" t="n">
        <v>478.5</v>
      </c>
      <c r="P13" s="16" t="n">
        <v>445.11</v>
      </c>
      <c r="Q13" s="16" t="n">
        <v>456.21</v>
      </c>
      <c r="R13" s="16" t="n">
        <v>473.88</v>
      </c>
      <c r="S13" s="16" t="n">
        <v>461.27</v>
      </c>
      <c r="T13" s="16" t="n">
        <v>447.41</v>
      </c>
      <c r="U13" s="16" t="n">
        <v>462.52</v>
      </c>
      <c r="AA13" s="16">
        <f>SUM(O13:U13)</f>
        <v/>
      </c>
      <c r="AB13" s="16">
        <f>SUM(O13:Z13)</f>
        <v/>
      </c>
      <c r="AC13" s="16" t="n">
        <v>478.5</v>
      </c>
      <c r="AD13" s="16" t="n">
        <v>478.5</v>
      </c>
      <c r="AE13" s="16" t="n">
        <v>478.5</v>
      </c>
      <c r="AF13" s="16" t="n">
        <v>478.5</v>
      </c>
      <c r="AG13" s="16" t="n">
        <v>478.5</v>
      </c>
      <c r="AH13" s="16" t="n">
        <v>478.5</v>
      </c>
      <c r="AI13" s="34">
        <f>SUM(AC13:AH13)</f>
        <v/>
      </c>
      <c r="AJ13" s="16">
        <f>SUM(AC13:AH13)+AI13</f>
        <v/>
      </c>
      <c r="AK13" s="11">
        <f>IF(N13&lt;&gt;0,(AB13-N13)/ABS(N13),0)</f>
        <v/>
      </c>
      <c r="AL13" s="11">
        <f>IF(AB13&lt;&gt;0,(AJ13-AB13)/ABS(AB13),0)</f>
        <v/>
      </c>
    </row>
    <row r="14" ht="13" customHeight="1">
      <c r="A14" s="15" t="inlineStr">
        <is>
          <t xml:space="preserve">    Uniform</t>
        </is>
      </c>
      <c r="B14" s="16" t="n">
        <v>0</v>
      </c>
      <c r="C14" s="16" t="n">
        <v>219.84</v>
      </c>
      <c r="D14" s="16" t="n">
        <v>166.92</v>
      </c>
      <c r="E14" s="16" t="n">
        <v>106.38</v>
      </c>
      <c r="F14" s="16" t="n">
        <v>92.34</v>
      </c>
      <c r="G14" s="16" t="n">
        <v>0</v>
      </c>
      <c r="H14" s="16" t="n">
        <v>0</v>
      </c>
      <c r="I14" s="16" t="n">
        <v>91.14</v>
      </c>
      <c r="J14" s="16" t="n">
        <v>13.98</v>
      </c>
      <c r="K14" s="16" t="n">
        <v>534</v>
      </c>
      <c r="L14" s="16" t="n">
        <v>0</v>
      </c>
      <c r="M14" s="16" t="n">
        <v>35.82</v>
      </c>
      <c r="N14" s="16">
        <f>SUM(B14:M14)</f>
        <v/>
      </c>
      <c r="O14" s="16" t="n">
        <v>0</v>
      </c>
      <c r="P14" s="16" t="n">
        <v>0</v>
      </c>
      <c r="Q14" s="16" t="n">
        <v>0</v>
      </c>
      <c r="R14" s="16" t="n">
        <v>0</v>
      </c>
      <c r="S14" s="16" t="n">
        <v>0</v>
      </c>
      <c r="T14" s="16" t="n">
        <v>0</v>
      </c>
      <c r="U14" s="16" t="n">
        <v>113.94</v>
      </c>
      <c r="AA14" s="16">
        <f>SUM(O14:U14)</f>
        <v/>
      </c>
      <c r="AB14" s="16">
        <f>SUM(O14:Z14)</f>
        <v/>
      </c>
      <c r="AC14" s="16" t="n">
        <v>39</v>
      </c>
      <c r="AD14" s="16" t="n">
        <v>39</v>
      </c>
      <c r="AE14" s="16" t="n">
        <v>39</v>
      </c>
      <c r="AF14" s="16" t="n">
        <v>39</v>
      </c>
      <c r="AG14" s="16" t="n">
        <v>39</v>
      </c>
      <c r="AH14" s="16" t="n">
        <v>39</v>
      </c>
      <c r="AI14" s="34">
        <f>SUM(AC14:AH14)</f>
        <v/>
      </c>
      <c r="AJ14" s="16">
        <f>SUM(AC14:AH14)+AI14</f>
        <v/>
      </c>
      <c r="AK14" s="11">
        <f>IF(N14&lt;&gt;0,(AB14-N14)/ABS(N14),0)</f>
        <v/>
      </c>
      <c r="AL14" s="11">
        <f>IF(AB14&lt;&gt;0,(AJ14-AB14)/ABS(AB14),0)</f>
        <v/>
      </c>
    </row>
    <row r="15" ht="13" customHeight="1">
      <c r="A15" s="15" t="inlineStr">
        <is>
          <t xml:space="preserve">    Training</t>
        </is>
      </c>
      <c r="B15" s="16" t="n">
        <v>48</v>
      </c>
      <c r="C15" s="16" t="n">
        <v>0</v>
      </c>
      <c r="D15" s="16" t="n">
        <v>0</v>
      </c>
      <c r="E15" s="16" t="n">
        <v>0</v>
      </c>
      <c r="F15" s="16" t="n">
        <v>61.2</v>
      </c>
      <c r="G15" s="16" t="n">
        <v>0</v>
      </c>
      <c r="H15" s="16" t="n">
        <v>37.2</v>
      </c>
      <c r="I15" s="16" t="n">
        <v>307.19</v>
      </c>
      <c r="J15" s="16" t="n">
        <v>0</v>
      </c>
      <c r="K15" s="16" t="n">
        <v>0</v>
      </c>
      <c r="L15" s="16" t="n">
        <v>114</v>
      </c>
      <c r="M15" s="16" t="n">
        <v>0</v>
      </c>
      <c r="N15" s="16">
        <f>SUM(B15:M15)</f>
        <v/>
      </c>
      <c r="O15" s="16" t="n">
        <v>0</v>
      </c>
      <c r="P15" s="16" t="n">
        <v>-422</v>
      </c>
      <c r="Q15" s="16" t="n">
        <v>0</v>
      </c>
      <c r="R15" s="16" t="n">
        <v>0</v>
      </c>
      <c r="S15" s="16" t="n">
        <v>78</v>
      </c>
      <c r="T15" s="16" t="n">
        <v>252</v>
      </c>
      <c r="U15" s="16" t="n">
        <v>0</v>
      </c>
      <c r="AA15" s="16">
        <f>SUM(O15:U15)</f>
        <v/>
      </c>
      <c r="AB15" s="16">
        <f>SUM(O15:Z15)</f>
        <v/>
      </c>
      <c r="AC15" s="16" t="n">
        <v>50</v>
      </c>
      <c r="AD15" s="16" t="n">
        <v>50</v>
      </c>
      <c r="AE15" s="16" t="n">
        <v>50</v>
      </c>
      <c r="AF15" s="16" t="n">
        <v>50</v>
      </c>
      <c r="AG15" s="16" t="n">
        <v>50</v>
      </c>
      <c r="AH15" s="16" t="n">
        <v>50</v>
      </c>
      <c r="AI15" s="34">
        <f>SUM(AC15:AH15)</f>
        <v/>
      </c>
      <c r="AJ15" s="16">
        <f>SUM(AC15:AH15)+AI15</f>
        <v/>
      </c>
      <c r="AK15" s="11">
        <f>IF(N15&lt;&gt;0,(AB15-N15)/ABS(N15),0)</f>
        <v/>
      </c>
      <c r="AL15" s="11">
        <f>IF(AB15&lt;&gt;0,(AJ15-AB15)/ABS(AB15),0)</f>
        <v/>
      </c>
    </row>
    <row r="16" ht="13" customHeight="1">
      <c r="A16" s="15" t="inlineStr">
        <is>
          <t xml:space="preserve">    Staff Welfare</t>
        </is>
      </c>
      <c r="B16" s="16" t="n">
        <v>130.26</v>
      </c>
      <c r="C16" s="16" t="n">
        <v>218.62</v>
      </c>
      <c r="D16" s="16" t="n">
        <v>222.99</v>
      </c>
      <c r="E16" s="16" t="n">
        <v>233.98</v>
      </c>
      <c r="F16" s="16" t="n">
        <v>99.15000000000001</v>
      </c>
      <c r="G16" s="16" t="n">
        <v>189.15</v>
      </c>
      <c r="H16" s="16" t="n">
        <v>126.5</v>
      </c>
      <c r="I16" s="16" t="n">
        <v>176.63</v>
      </c>
      <c r="J16" s="16" t="n">
        <v>64.90000000000001</v>
      </c>
      <c r="K16" s="16" t="n">
        <v>212.8</v>
      </c>
      <c r="L16" s="16" t="n">
        <v>68.61</v>
      </c>
      <c r="M16" s="16" t="n">
        <v>23.31</v>
      </c>
      <c r="N16" s="16">
        <f>SUM(B16:M16)</f>
        <v/>
      </c>
      <c r="O16" s="16" t="n">
        <v>93.25</v>
      </c>
      <c r="P16" s="16" t="n">
        <v>12.5</v>
      </c>
      <c r="Q16" s="16" t="n">
        <v>167.27</v>
      </c>
      <c r="R16" s="16" t="n">
        <v>161.9</v>
      </c>
      <c r="S16" s="16" t="n">
        <v>163.43</v>
      </c>
      <c r="T16" s="16" t="n">
        <v>23.54</v>
      </c>
      <c r="U16" s="16" t="n">
        <v>191.12</v>
      </c>
      <c r="AA16" s="16">
        <f>SUM(O16:U16)</f>
        <v/>
      </c>
      <c r="AB16" s="16">
        <f>SUM(O16:Z16)</f>
        <v/>
      </c>
      <c r="AC16" s="16" t="n">
        <v>80</v>
      </c>
      <c r="AD16" s="16" t="n">
        <v>80</v>
      </c>
      <c r="AE16" s="16" t="n">
        <v>80</v>
      </c>
      <c r="AF16" s="16" t="n">
        <v>80</v>
      </c>
      <c r="AG16" s="16" t="n">
        <v>80</v>
      </c>
      <c r="AH16" s="16" t="n">
        <v>80</v>
      </c>
      <c r="AI16" s="34">
        <f>SUM(AC16:AH16)</f>
        <v/>
      </c>
      <c r="AJ16" s="16">
        <f>SUM(AC16:AH16)+AI16</f>
        <v/>
      </c>
      <c r="AK16" s="11">
        <f>IF(N16&lt;&gt;0,(AB16-N16)/ABS(N16),0)</f>
        <v/>
      </c>
      <c r="AL16" s="11">
        <f>IF(AB16&lt;&gt;0,(AJ16-AB16)/ABS(AB16),0)</f>
        <v/>
      </c>
    </row>
    <row r="17" ht="13" customHeight="1">
      <c r="A17" s="15" t="inlineStr">
        <is>
          <t xml:space="preserve">    Recruitment</t>
        </is>
      </c>
      <c r="B17" s="16" t="n">
        <v>0</v>
      </c>
      <c r="C17" s="16" t="n">
        <v>0</v>
      </c>
      <c r="D17" s="16" t="n">
        <v>0</v>
      </c>
      <c r="E17" s="16" t="n">
        <v>0</v>
      </c>
      <c r="F17" s="16" t="n">
        <v>0</v>
      </c>
      <c r="G17" s="16" t="n">
        <v>0</v>
      </c>
      <c r="H17" s="16" t="n">
        <v>0</v>
      </c>
      <c r="I17" s="16" t="n">
        <v>0</v>
      </c>
      <c r="J17" s="16" t="n">
        <v>0</v>
      </c>
      <c r="K17" s="16" t="n">
        <v>0</v>
      </c>
      <c r="L17" s="16" t="n">
        <v>0</v>
      </c>
      <c r="M17" s="16" t="n">
        <v>0</v>
      </c>
      <c r="N17" s="16">
        <f>SUM(B17:M17)</f>
        <v/>
      </c>
      <c r="O17" s="16" t="n">
        <v>0</v>
      </c>
      <c r="P17" s="16" t="n">
        <v>0</v>
      </c>
      <c r="Q17" s="16" t="n">
        <v>0</v>
      </c>
      <c r="R17" s="16" t="n">
        <v>0</v>
      </c>
      <c r="S17" s="16" t="n">
        <v>0</v>
      </c>
      <c r="T17" s="16" t="n">
        <v>0</v>
      </c>
      <c r="U17" s="16" t="n">
        <v>0</v>
      </c>
      <c r="V17" s="16" t="n">
        <v>0</v>
      </c>
      <c r="W17" s="16" t="n">
        <v>0</v>
      </c>
      <c r="X17" s="16" t="n">
        <v>0</v>
      </c>
      <c r="Y17" s="16" t="n">
        <v>0</v>
      </c>
      <c r="Z17" s="16" t="n">
        <v>0</v>
      </c>
      <c r="AA17" s="16">
        <f>SUM(O17:U17)</f>
        <v/>
      </c>
      <c r="AB17" s="16">
        <f>SUM(O17:Z17)</f>
        <v/>
      </c>
      <c r="AC17" s="16" t="n">
        <v>0</v>
      </c>
      <c r="AD17" s="16" t="n">
        <v>0</v>
      </c>
      <c r="AE17" s="16" t="n">
        <v>0</v>
      </c>
      <c r="AF17" s="16" t="n">
        <v>0</v>
      </c>
      <c r="AG17" s="16" t="n">
        <v>0</v>
      </c>
      <c r="AH17" s="16" t="n">
        <v>0</v>
      </c>
      <c r="AI17" s="34">
        <f>SUM(AC17:AH17)</f>
        <v/>
      </c>
      <c r="AJ17" s="16">
        <f>SUM(AC17:AH17)+AI17</f>
        <v/>
      </c>
      <c r="AK17" s="11">
        <f>IF(N17&lt;&gt;0,(AB17-N17)/ABS(N17),0)</f>
        <v/>
      </c>
      <c r="AL17" s="11">
        <f>IF(AB17&lt;&gt;0,(AJ17-AB17)/ABS(AB17),0)</f>
        <v/>
      </c>
    </row>
    <row r="18" ht="13" customHeight="1">
      <c r="A18" s="15" t="inlineStr">
        <is>
          <t xml:space="preserve">    Rewards &amp; Recognition</t>
        </is>
      </c>
      <c r="B18" s="16" t="n">
        <v>0</v>
      </c>
      <c r="C18" s="16" t="n">
        <v>0</v>
      </c>
      <c r="D18" s="16" t="n">
        <v>0</v>
      </c>
      <c r="E18" s="16" t="n">
        <v>0</v>
      </c>
      <c r="F18" s="16" t="n">
        <v>0</v>
      </c>
      <c r="G18" s="16" t="n">
        <v>0</v>
      </c>
      <c r="H18" s="16" t="n">
        <v>33</v>
      </c>
      <c r="I18" s="16" t="n">
        <v>0</v>
      </c>
      <c r="J18" s="16" t="n">
        <v>31.5</v>
      </c>
      <c r="K18" s="16" t="n">
        <v>0</v>
      </c>
      <c r="L18" s="16" t="n">
        <v>0</v>
      </c>
      <c r="M18" s="16" t="n">
        <v>0</v>
      </c>
      <c r="N18" s="16">
        <f>SUM(B18:M18)</f>
        <v/>
      </c>
      <c r="O18" s="16" t="n">
        <v>16.5</v>
      </c>
      <c r="P18" s="16" t="n">
        <v>50.23</v>
      </c>
      <c r="Q18" s="16" t="n">
        <v>15.28</v>
      </c>
      <c r="R18" s="16" t="n">
        <v>0</v>
      </c>
      <c r="S18" s="16" t="n">
        <v>16.5</v>
      </c>
      <c r="T18" s="16" t="n">
        <v>0</v>
      </c>
      <c r="U18" s="16" t="n">
        <v>31.9</v>
      </c>
      <c r="AA18" s="16">
        <f>SUM(O18:U18)</f>
        <v/>
      </c>
      <c r="AB18" s="16">
        <f>SUM(O18:Z18)</f>
        <v/>
      </c>
      <c r="AC18" s="16" t="n">
        <v>33</v>
      </c>
      <c r="AD18" s="16" t="n">
        <v>33</v>
      </c>
      <c r="AE18" s="16" t="n">
        <v>33</v>
      </c>
      <c r="AF18" s="16" t="n">
        <v>33</v>
      </c>
      <c r="AG18" s="16" t="n">
        <v>33</v>
      </c>
      <c r="AH18" s="16" t="n">
        <v>33</v>
      </c>
      <c r="AI18" s="34">
        <f>SUM(AC18:AH18)</f>
        <v/>
      </c>
      <c r="AJ18" s="16">
        <f>SUM(AC18:AH18)+AI18</f>
        <v/>
      </c>
      <c r="AK18" s="11">
        <f>IF(N18&lt;&gt;0,(AB18-N18)/ABS(N18),0)</f>
        <v/>
      </c>
      <c r="AL18" s="11">
        <f>IF(AB18&lt;&gt;0,(AJ18-AB18)/ABS(AB18),0)</f>
        <v/>
      </c>
    </row>
    <row r="19" ht="13" customHeight="1">
      <c r="A19" s="15" t="inlineStr">
        <is>
          <t xml:space="preserve">    Temps</t>
        </is>
      </c>
      <c r="B19" s="16" t="n">
        <v>0</v>
      </c>
      <c r="C19" s="16" t="n">
        <v>0</v>
      </c>
      <c r="D19" s="16" t="n">
        <v>0</v>
      </c>
      <c r="E19" s="16" t="n">
        <v>0</v>
      </c>
      <c r="F19" s="16" t="n">
        <v>0</v>
      </c>
      <c r="G19" s="16" t="n">
        <v>0</v>
      </c>
      <c r="H19" s="16" t="n">
        <v>0</v>
      </c>
      <c r="I19" s="16" t="n">
        <v>0</v>
      </c>
      <c r="J19" s="16" t="n">
        <v>0</v>
      </c>
      <c r="K19" s="16" t="n">
        <v>0</v>
      </c>
      <c r="L19" s="16" t="n">
        <v>0</v>
      </c>
      <c r="M19" s="16" t="n">
        <v>0</v>
      </c>
      <c r="N19" s="16">
        <f>SUM(B19:M19)</f>
        <v/>
      </c>
      <c r="O19" s="16" t="n">
        <v>0</v>
      </c>
      <c r="P19" s="16" t="n">
        <v>0</v>
      </c>
      <c r="Q19" s="16" t="n">
        <v>0</v>
      </c>
      <c r="R19" s="16" t="n">
        <v>0</v>
      </c>
      <c r="S19" s="16" t="n">
        <v>0</v>
      </c>
      <c r="T19" s="16" t="n">
        <v>0</v>
      </c>
      <c r="U19" s="16" t="n">
        <v>0</v>
      </c>
      <c r="V19" s="16" t="n">
        <v>0</v>
      </c>
      <c r="W19" s="16" t="n">
        <v>0</v>
      </c>
      <c r="X19" s="16" t="n">
        <v>0</v>
      </c>
      <c r="Y19" s="16" t="n">
        <v>0</v>
      </c>
      <c r="Z19" s="16" t="n">
        <v>0</v>
      </c>
      <c r="AA19" s="16">
        <f>SUM(O19:U19)</f>
        <v/>
      </c>
      <c r="AB19" s="16">
        <f>SUM(O19:Z19)</f>
        <v/>
      </c>
      <c r="AC19" s="16" t="n">
        <v>0</v>
      </c>
      <c r="AD19" s="16" t="n">
        <v>0</v>
      </c>
      <c r="AE19" s="16" t="n">
        <v>0</v>
      </c>
      <c r="AF19" s="16" t="n">
        <v>0</v>
      </c>
      <c r="AG19" s="16" t="n">
        <v>0</v>
      </c>
      <c r="AH19" s="16" t="n">
        <v>0</v>
      </c>
      <c r="AI19" s="34">
        <f>SUM(AC19:AH19)</f>
        <v/>
      </c>
      <c r="AJ19" s="16">
        <f>SUM(AC19:AH19)+AI19</f>
        <v/>
      </c>
      <c r="AK19" s="11">
        <f>IF(N19&lt;&gt;0,(AB19-N19)/ABS(N19),0)</f>
        <v/>
      </c>
      <c r="AL19" s="11">
        <f>IF(AB19&lt;&gt;0,(AJ19-AB19)/ABS(AB19),0)</f>
        <v/>
      </c>
    </row>
    <row r="20" ht="13" customHeight="1">
      <c r="A20" s="17" t="inlineStr">
        <is>
          <t>Total Personnel</t>
        </is>
      </c>
      <c r="B20" s="18">
        <f>B11+B12+B13+B14+B15+B16+B17+B18+B19</f>
        <v/>
      </c>
      <c r="C20" s="18">
        <f>C11+C12+C13+C14+C15+C16+C17+C18+C19</f>
        <v/>
      </c>
      <c r="D20" s="18">
        <f>D11+D12+D13+D14+D15+D16+D17+D18+D19</f>
        <v/>
      </c>
      <c r="E20" s="18">
        <f>E11+E12+E13+E14+E15+E16+E17+E18+E19</f>
        <v/>
      </c>
      <c r="F20" s="18">
        <f>F11+F12+F13+F14+F15+F16+F17+F18+F19</f>
        <v/>
      </c>
      <c r="G20" s="18">
        <f>G11+G12+G13+G14+G15+G16+G17+G18+G19</f>
        <v/>
      </c>
      <c r="H20" s="18">
        <f>H11+H12+H13+H14+H15+H16+H17+H18+H19</f>
        <v/>
      </c>
      <c r="I20" s="18">
        <f>I11+I12+I13+I14+I15+I16+I17+I18+I19</f>
        <v/>
      </c>
      <c r="J20" s="18">
        <f>J11+J12+J13+J14+J15+J16+J17+J18+J19</f>
        <v/>
      </c>
      <c r="K20" s="18">
        <f>K11+K12+K13+K14+K15+K16+K17+K18+K19</f>
        <v/>
      </c>
      <c r="L20" s="18">
        <f>L11+L12+L13+L14+L15+L16+L17+L18+L19</f>
        <v/>
      </c>
      <c r="M20" s="18">
        <f>M11+M12+M13+M14+M15+M16+M17+M18+M19</f>
        <v/>
      </c>
      <c r="N20" s="18">
        <f>N11+N12+N13+N14+N15+N16+N17+N18+N19</f>
        <v/>
      </c>
      <c r="O20" s="18">
        <f>O11+O12+O13+O14+O15+O16+O17+O18+O19</f>
        <v/>
      </c>
      <c r="P20" s="18">
        <f>P11+P12+P13+P14+P15+P16+P17+P18+P19</f>
        <v/>
      </c>
      <c r="Q20" s="18">
        <f>Q11+Q12+Q13+Q14+Q15+Q16+Q17+Q18+Q19</f>
        <v/>
      </c>
      <c r="R20" s="18">
        <f>R11+R12+R13+R14+R15+R16+R17+R18+R19</f>
        <v/>
      </c>
      <c r="S20" s="18">
        <f>S11+S12+S13+S14+S15+S16+S17+S18+S19</f>
        <v/>
      </c>
      <c r="T20" s="18">
        <f>T11+T12+T13+T14+T15+T16+T17+T18+T19</f>
        <v/>
      </c>
      <c r="U20" s="18">
        <f>U11+U12+U13+U14+U15+U16+U17+U18+U19</f>
        <v/>
      </c>
      <c r="V20" s="18">
        <f>V11+V12+V13+V14+V15+V16+V17+V18+V19</f>
        <v/>
      </c>
      <c r="W20" s="18">
        <f>W11+W12+W13+W14+W15+W16+W17+W18+W19</f>
        <v/>
      </c>
      <c r="X20" s="18">
        <f>X11+X12+X13+X14+X15+X16+X17+X18+X19</f>
        <v/>
      </c>
      <c r="Y20" s="18">
        <f>Y11+Y12+Y13+Y14+Y15+Y16+Y17+Y18+Y19</f>
        <v/>
      </c>
      <c r="Z20" s="18">
        <f>Z11+Z12+Z13+Z14+Z15+Z16+Z17+Z18+Z19</f>
        <v/>
      </c>
      <c r="AA20" s="18">
        <f>AA11+AA12+AA13+AA14+AA15+AA16+AA17+AA18+AA19</f>
        <v/>
      </c>
      <c r="AB20" s="18">
        <f>AB11+AB12+AB13+AB14+AB15+AB16+AB17+AB18+AB19</f>
        <v/>
      </c>
      <c r="AC20" s="18">
        <f>AC11+AC12+AC13+AC14+AC15+AC16+AC17+AC18+AC19</f>
        <v/>
      </c>
      <c r="AD20" s="18">
        <f>AD11+AD12+AD13+AD14+AD15+AD16+AD17+AD18+AD19</f>
        <v/>
      </c>
      <c r="AE20" s="18">
        <f>AE11+AE12+AE13+AE14+AE15+AE16+AE17+AE18+AE19</f>
        <v/>
      </c>
      <c r="AF20" s="18">
        <f>AF11+AF12+AF13+AF14+AF15+AF16+AF17+AF18+AF19</f>
        <v/>
      </c>
      <c r="AG20" s="18">
        <f>AG11+AG12+AG13+AG14+AG15+AG16+AG17+AG18+AG19</f>
        <v/>
      </c>
      <c r="AH20" s="18">
        <f>AH11+AH12+AH13+AH14+AH15+AH16+AH17+AH18+AH19</f>
        <v/>
      </c>
      <c r="AI20" s="18">
        <f>AI11+AI12+AI13+AI14+AI15+AI16+AI17+AI18+AI19</f>
        <v/>
      </c>
      <c r="AJ20" s="18">
        <f>AJ11+AJ12+AJ13+AJ14+AJ15+AJ16+AJ17+AJ18+AJ19</f>
        <v/>
      </c>
      <c r="AK20" s="11">
        <f>IF(N20&lt;&gt;0,(AB20-N20)/ABS(N20),0)</f>
        <v/>
      </c>
      <c r="AL20" s="11">
        <f>IF(AB20&lt;&gt;0,(AJ20-AB20)/ABS(AB20),0)</f>
        <v/>
      </c>
    </row>
    <row r="21" ht="13" customHeight="1">
      <c r="A21" s="19" t="inlineStr">
        <is>
          <t xml:space="preserve">    Sal:Rev</t>
        </is>
      </c>
      <c r="B21" s="20">
        <f>IF(B7&gt;0,B20/B7,0)</f>
        <v/>
      </c>
      <c r="C21" s="20">
        <f>IF(C7&gt;0,C20/C7,0)</f>
        <v/>
      </c>
      <c r="D21" s="20">
        <f>IF(D7&gt;0,D20/D7,0)</f>
        <v/>
      </c>
      <c r="E21" s="20">
        <f>IF(E7&gt;0,E20/E7,0)</f>
        <v/>
      </c>
      <c r="F21" s="20">
        <f>IF(F7&gt;0,F20/F7,0)</f>
        <v/>
      </c>
      <c r="G21" s="20">
        <f>IF(G7&gt;0,G20/G7,0)</f>
        <v/>
      </c>
      <c r="H21" s="20">
        <f>IF(H7&gt;0,H20/H7,0)</f>
        <v/>
      </c>
      <c r="I21" s="20">
        <f>IF(I7&gt;0,I20/I7,0)</f>
        <v/>
      </c>
      <c r="J21" s="20">
        <f>IF(J7&gt;0,J20/J7,0)</f>
        <v/>
      </c>
      <c r="K21" s="20">
        <f>IF(K7&gt;0,K20/K7,0)</f>
        <v/>
      </c>
      <c r="L21" s="20">
        <f>IF(L7&gt;0,L20/L7,0)</f>
        <v/>
      </c>
      <c r="M21" s="20">
        <f>IF(M7&gt;0,M20/M7,0)</f>
        <v/>
      </c>
      <c r="N21" s="20">
        <f>IF(N7&gt;0,N20/N7,0)</f>
        <v/>
      </c>
      <c r="O21" s="20">
        <f>IF(O7&gt;0,O20/O7,0)</f>
        <v/>
      </c>
      <c r="P21" s="20">
        <f>IF(P7&gt;0,P20/P7,0)</f>
        <v/>
      </c>
      <c r="Q21" s="20">
        <f>IF(Q7&gt;0,Q20/Q7,0)</f>
        <v/>
      </c>
      <c r="R21" s="20">
        <f>IF(R7&gt;0,R20/R7,0)</f>
        <v/>
      </c>
      <c r="S21" s="20">
        <f>IF(S7&gt;0,S20/S7,0)</f>
        <v/>
      </c>
      <c r="T21" s="20">
        <f>IF(T7&gt;0,T20/T7,0)</f>
        <v/>
      </c>
      <c r="U21" s="20">
        <f>IF(U7&gt;0,U20/U7,0)</f>
        <v/>
      </c>
      <c r="V21" s="20">
        <f>IF(V7&gt;0,V20/V7,0)</f>
        <v/>
      </c>
      <c r="W21" s="20">
        <f>IF(W7&gt;0,W20/W7,0)</f>
        <v/>
      </c>
      <c r="X21" s="20">
        <f>IF(X7&gt;0,X20/X7,0)</f>
        <v/>
      </c>
      <c r="Y21" s="20">
        <f>IF(Y7&gt;0,Y20/Y7,0)</f>
        <v/>
      </c>
      <c r="Z21" s="20">
        <f>IF(Z7&gt;0,Z20/Z7,0)</f>
        <v/>
      </c>
      <c r="AA21" s="20">
        <f>IF(AA7&gt;0,AA20/AA7,0)</f>
        <v/>
      </c>
      <c r="AB21" s="20">
        <f>IF(AB7&gt;0,AB20/AB7,0)</f>
        <v/>
      </c>
      <c r="AC21" s="20">
        <f>IF(AC7&gt;0,AC20/AC7,0)</f>
        <v/>
      </c>
      <c r="AD21" s="20">
        <f>IF(AD7&gt;0,AD20/AD7,0)</f>
        <v/>
      </c>
      <c r="AE21" s="20">
        <f>IF(AE7&gt;0,AE20/AE7,0)</f>
        <v/>
      </c>
      <c r="AF21" s="20">
        <f>IF(AF7&gt;0,AF20/AF7,0)</f>
        <v/>
      </c>
      <c r="AG21" s="20">
        <f>IF(AG7&gt;0,AG20/AG7,0)</f>
        <v/>
      </c>
      <c r="AH21" s="20">
        <f>IF(AH7&gt;0,AH20/AH7,0)</f>
        <v/>
      </c>
      <c r="AI21" s="20">
        <f>IF(AI7&gt;0,AI20/AI7,0)</f>
        <v/>
      </c>
      <c r="AJ21" s="20">
        <f>IF(AJ7&gt;0,AJ20/AJ7,0)</f>
        <v/>
      </c>
    </row>
    <row r="22" ht="5" customHeight="1"/>
    <row r="23" ht="13" customHeight="1">
      <c r="A23" s="14" t="inlineStr">
        <is>
          <t>Childcare</t>
        </is>
      </c>
    </row>
    <row r="24" ht="13" customHeight="1">
      <c r="A24" s="21" t="inlineStr">
        <is>
          <t xml:space="preserve">    Catering Costs</t>
        </is>
      </c>
      <c r="N24" s="22">
        <f>SUM(B24:M24)</f>
        <v/>
      </c>
      <c r="O24" s="22" t="n">
        <v>1428.67</v>
      </c>
      <c r="P24" s="22" t="n">
        <v>1894.54</v>
      </c>
      <c r="Q24" s="22" t="n">
        <v>1660.07</v>
      </c>
      <c r="R24" s="22" t="n">
        <v>2099.27</v>
      </c>
      <c r="S24" s="22" t="n">
        <v>1513.13</v>
      </c>
      <c r="T24" s="22" t="n">
        <v>1672.02</v>
      </c>
      <c r="U24" s="22" t="n">
        <v>1682.53</v>
      </c>
      <c r="V24" s="22" t="n">
        <v>1396.4496</v>
      </c>
      <c r="W24" s="22" t="n">
        <v>1431.9552</v>
      </c>
      <c r="X24" s="22" t="n">
        <v>1649.544</v>
      </c>
      <c r="Y24" s="22" t="n">
        <v>1689.1056</v>
      </c>
      <c r="Z24" s="22" t="n">
        <v>1688.6688</v>
      </c>
      <c r="AA24" s="22">
        <f>SUM(O24:U24)</f>
        <v/>
      </c>
      <c r="AB24" s="22">
        <f>SUM(O24:Z24)</f>
        <v/>
      </c>
      <c r="AC24" s="22" t="n">
        <v>1741.501632</v>
      </c>
      <c r="AD24" s="22" t="n">
        <v>1878.959472</v>
      </c>
      <c r="AE24" s="22" t="n">
        <v>2302.785888</v>
      </c>
      <c r="AF24" s="22" t="n">
        <v>2165.362992</v>
      </c>
      <c r="AG24" s="22" t="n">
        <v>2050.934496</v>
      </c>
      <c r="AH24" s="22" t="n">
        <v>2284.219392</v>
      </c>
      <c r="AI24" s="34">
        <f>SUM(AC24:AH24)</f>
        <v/>
      </c>
      <c r="AJ24" s="22">
        <f>SUM(AC24:AH24)+AI24</f>
        <v/>
      </c>
      <c r="AK24" s="11">
        <f>IF(N24&lt;&gt;0,(AB24-N24)/ABS(N24),0)</f>
        <v/>
      </c>
      <c r="AL24" s="11">
        <f>IF(AB24&lt;&gt;0,(AJ24-AB24)/ABS(AB24),0)</f>
        <v/>
      </c>
    </row>
    <row r="25" ht="13" customHeight="1">
      <c r="A25" s="21" t="inlineStr">
        <is>
          <t xml:space="preserve">    Toys and Games</t>
        </is>
      </c>
      <c r="B25" s="22" t="n">
        <v>29.48</v>
      </c>
      <c r="C25" s="22" t="n">
        <v>98.81</v>
      </c>
      <c r="D25" s="22" t="n">
        <v>209.15</v>
      </c>
      <c r="E25" s="22" t="n">
        <v>106.54</v>
      </c>
      <c r="F25" s="22" t="n">
        <v>197.64</v>
      </c>
      <c r="G25" s="22" t="n">
        <v>67.42</v>
      </c>
      <c r="H25" s="22" t="n">
        <v>179.26</v>
      </c>
      <c r="I25" s="22" t="n">
        <v>51.75</v>
      </c>
      <c r="J25" s="22" t="n">
        <v>224.25</v>
      </c>
      <c r="K25" s="22" t="n">
        <v>49.58</v>
      </c>
      <c r="L25" s="22" t="n">
        <v>71.05</v>
      </c>
      <c r="M25" s="22" t="n">
        <v>37.20999999999999</v>
      </c>
      <c r="N25" s="22">
        <f>SUM(B25:M25)</f>
        <v/>
      </c>
      <c r="O25" s="22" t="n">
        <v>73.15000000000001</v>
      </c>
      <c r="P25" s="22" t="n">
        <v>25.18</v>
      </c>
      <c r="Q25" s="22" t="n">
        <v>58.1</v>
      </c>
      <c r="R25" s="22" t="n">
        <v>7.19</v>
      </c>
      <c r="S25" s="22" t="n">
        <v>59.06</v>
      </c>
      <c r="T25" s="22" t="n">
        <v>5.49</v>
      </c>
      <c r="U25" s="22" t="n">
        <v>31.95</v>
      </c>
      <c r="AA25" s="22">
        <f>SUM(O25:U25)</f>
        <v/>
      </c>
      <c r="AB25" s="22">
        <f>SUM(O25:Z25)</f>
        <v/>
      </c>
      <c r="AC25" s="22" t="n">
        <v>58</v>
      </c>
      <c r="AD25" s="22" t="n">
        <v>58</v>
      </c>
      <c r="AE25" s="22" t="n">
        <v>58</v>
      </c>
      <c r="AF25" s="22" t="n">
        <v>58</v>
      </c>
      <c r="AG25" s="22" t="n">
        <v>58</v>
      </c>
      <c r="AH25" s="22" t="n">
        <v>58</v>
      </c>
      <c r="AI25" s="34">
        <f>SUM(AC25:AH25)</f>
        <v/>
      </c>
      <c r="AJ25" s="22">
        <f>SUM(AC25:AH25)+AI25</f>
        <v/>
      </c>
      <c r="AK25" s="11">
        <f>IF(N25&lt;&gt;0,(AB25-N25)/ABS(N25),0)</f>
        <v/>
      </c>
      <c r="AL25" s="11">
        <f>IF(AB25&lt;&gt;0,(AJ25-AB25)/ABS(AB25),0)</f>
        <v/>
      </c>
    </row>
    <row r="26" ht="13" customHeight="1">
      <c r="A26" s="21" t="inlineStr">
        <is>
          <t xml:space="preserve">    Art Materials</t>
        </is>
      </c>
      <c r="N26" s="22">
        <f>SUM(B26:M26)</f>
        <v/>
      </c>
      <c r="O26" s="22" t="n">
        <v>0</v>
      </c>
      <c r="P26" s="22" t="n">
        <v>95.16000000000001</v>
      </c>
      <c r="Q26" s="22" t="n">
        <v>324.34</v>
      </c>
      <c r="R26" s="22" t="n">
        <v>9.119999999999999</v>
      </c>
      <c r="S26" s="22" t="n">
        <v>36.43</v>
      </c>
      <c r="T26" s="22" t="n">
        <v>115.48</v>
      </c>
      <c r="U26" s="22" t="n">
        <v>18.98</v>
      </c>
      <c r="V26" s="22" t="n">
        <v>46.54832</v>
      </c>
      <c r="W26" s="22" t="n">
        <v>47.73184</v>
      </c>
      <c r="X26" s="22" t="n">
        <v>54.98479999999999</v>
      </c>
      <c r="Y26" s="22" t="n">
        <v>56.30351999999999</v>
      </c>
      <c r="Z26" s="22" t="n">
        <v>56.28896</v>
      </c>
      <c r="AA26" s="22">
        <f>SUM(O26:U26)</f>
        <v/>
      </c>
      <c r="AB26" s="22">
        <f>SUM(O26:Z26)</f>
        <v/>
      </c>
      <c r="AC26" s="22" t="n">
        <v>58.05005439999999</v>
      </c>
      <c r="AD26" s="22" t="n">
        <v>62.63198239999999</v>
      </c>
      <c r="AE26" s="22" t="n">
        <v>76.75952959999999</v>
      </c>
      <c r="AF26" s="22" t="n">
        <v>72.1787664</v>
      </c>
      <c r="AG26" s="22" t="n">
        <v>68.3644832</v>
      </c>
      <c r="AH26" s="22" t="n">
        <v>76.14064639999999</v>
      </c>
      <c r="AI26" s="34">
        <f>SUM(AC26:AH26)</f>
        <v/>
      </c>
      <c r="AJ26" s="22">
        <f>SUM(AC26:AH26)+AI26</f>
        <v/>
      </c>
      <c r="AK26" s="11">
        <f>IF(N26&lt;&gt;0,(AB26-N26)/ABS(N26),0)</f>
        <v/>
      </c>
      <c r="AL26" s="11">
        <f>IF(AB26&lt;&gt;0,(AJ26-AB26)/ABS(AB26),0)</f>
        <v/>
      </c>
    </row>
    <row r="27" ht="13" customHeight="1">
      <c r="A27" s="21" t="inlineStr">
        <is>
          <t xml:space="preserve">    Nursery Stationery</t>
        </is>
      </c>
      <c r="B27" s="22" t="n">
        <v>0</v>
      </c>
      <c r="C27" s="22" t="n">
        <v>0</v>
      </c>
      <c r="D27" s="22" t="n">
        <v>0</v>
      </c>
      <c r="E27" s="22" t="n">
        <v>0</v>
      </c>
      <c r="F27" s="22" t="n">
        <v>0</v>
      </c>
      <c r="G27" s="22" t="n">
        <v>0</v>
      </c>
      <c r="H27" s="22" t="n">
        <v>0</v>
      </c>
      <c r="I27" s="22" t="n">
        <v>0</v>
      </c>
      <c r="J27" s="22" t="n">
        <v>0</v>
      </c>
      <c r="K27" s="22" t="n">
        <v>0</v>
      </c>
      <c r="L27" s="22" t="n">
        <v>0</v>
      </c>
      <c r="M27" s="22" t="n">
        <v>0</v>
      </c>
      <c r="N27" s="22">
        <f>SUM(B27:M27)</f>
        <v/>
      </c>
      <c r="O27" s="22" t="n">
        <v>0</v>
      </c>
      <c r="P27" s="22" t="n">
        <v>0</v>
      </c>
      <c r="Q27" s="22" t="n">
        <v>0</v>
      </c>
      <c r="R27" s="22" t="n">
        <v>0</v>
      </c>
      <c r="S27" s="22" t="n">
        <v>0</v>
      </c>
      <c r="T27" s="22" t="n">
        <v>0</v>
      </c>
      <c r="U27" s="22" t="n">
        <v>0</v>
      </c>
      <c r="V27" s="22" t="n">
        <v>0</v>
      </c>
      <c r="W27" s="22" t="n">
        <v>0</v>
      </c>
      <c r="X27" s="22" t="n">
        <v>0</v>
      </c>
      <c r="Y27" s="22" t="n">
        <v>0</v>
      </c>
      <c r="Z27" s="22" t="n">
        <v>0</v>
      </c>
      <c r="AA27" s="22">
        <f>SUM(O27:U27)</f>
        <v/>
      </c>
      <c r="AB27" s="22">
        <f>SUM(O27:Z27)</f>
        <v/>
      </c>
      <c r="AC27" s="22" t="n">
        <v>100</v>
      </c>
      <c r="AD27" s="22" t="n">
        <v>100</v>
      </c>
      <c r="AE27" s="22" t="n">
        <v>100</v>
      </c>
      <c r="AF27" s="22" t="n">
        <v>100</v>
      </c>
      <c r="AG27" s="22" t="n">
        <v>100</v>
      </c>
      <c r="AH27" s="22" t="n">
        <v>100</v>
      </c>
      <c r="AI27" s="34">
        <f>SUM(AC27:AH27)</f>
        <v/>
      </c>
      <c r="AJ27" s="22">
        <f>SUM(AC27:AH27)+AI27</f>
        <v/>
      </c>
      <c r="AK27" s="11">
        <f>IF(N27&lt;&gt;0,(AB27-N27)/ABS(N27),0)</f>
        <v/>
      </c>
      <c r="AL27" s="11">
        <f>IF(AB27&lt;&gt;0,(AJ27-AB27)/ABS(AB27),0)</f>
        <v/>
      </c>
    </row>
    <row r="28" ht="13" customHeight="1">
      <c r="A28" s="21" t="inlineStr">
        <is>
          <t xml:space="preserve">    Nursery Equipment</t>
        </is>
      </c>
      <c r="B28" s="22" t="n">
        <v>0</v>
      </c>
      <c r="C28" s="22" t="n">
        <v>3.99</v>
      </c>
      <c r="D28" s="22" t="n">
        <v>201.16</v>
      </c>
      <c r="E28" s="22" t="n">
        <v>91.98</v>
      </c>
      <c r="F28" s="22" t="n">
        <v>114.68</v>
      </c>
      <c r="G28" s="22" t="n">
        <v>25</v>
      </c>
      <c r="H28" s="22" t="n">
        <v>28.7</v>
      </c>
      <c r="I28" s="22" t="n">
        <v>396.21</v>
      </c>
      <c r="J28" s="22" t="n">
        <v>169.37</v>
      </c>
      <c r="K28" s="22" t="n">
        <v>48.97</v>
      </c>
      <c r="L28" s="22" t="n">
        <v>35.92</v>
      </c>
      <c r="M28" s="22" t="n">
        <v>151.68</v>
      </c>
      <c r="N28" s="22">
        <f>SUM(B28:M28)</f>
        <v/>
      </c>
      <c r="O28" s="22" t="n">
        <v>13.98</v>
      </c>
      <c r="P28" s="22" t="n">
        <v>79.02</v>
      </c>
      <c r="Q28" s="22" t="n">
        <v>33.43</v>
      </c>
      <c r="R28" s="22" t="n">
        <v>46</v>
      </c>
      <c r="S28" s="22" t="n">
        <v>25.88</v>
      </c>
      <c r="T28" s="22" t="n">
        <v>47.97</v>
      </c>
      <c r="U28" s="22" t="n">
        <v>0</v>
      </c>
      <c r="AA28" s="22">
        <f>SUM(O28:U28)</f>
        <v/>
      </c>
      <c r="AB28" s="22">
        <f>SUM(O28:Z28)</f>
        <v/>
      </c>
      <c r="AC28" s="22" t="n">
        <v>50</v>
      </c>
      <c r="AD28" s="22" t="n">
        <v>50</v>
      </c>
      <c r="AE28" s="22" t="n">
        <v>50</v>
      </c>
      <c r="AF28" s="22" t="n">
        <v>50</v>
      </c>
      <c r="AG28" s="22" t="n">
        <v>50</v>
      </c>
      <c r="AH28" s="22" t="n">
        <v>50</v>
      </c>
      <c r="AI28" s="34">
        <f>SUM(AC28:AH28)</f>
        <v/>
      </c>
      <c r="AJ28" s="22">
        <f>SUM(AC28:AH28)+AI28</f>
        <v/>
      </c>
      <c r="AK28" s="11">
        <f>IF(N28&lt;&gt;0,(AB28-N28)/ABS(N28),0)</f>
        <v/>
      </c>
      <c r="AL28" s="11">
        <f>IF(AB28&lt;&gt;0,(AJ28-AB28)/ABS(AB28),0)</f>
        <v/>
      </c>
    </row>
    <row r="29" ht="13" customHeight="1">
      <c r="A29" s="21" t="inlineStr">
        <is>
          <t xml:space="preserve">    Nursery Consumables</t>
        </is>
      </c>
      <c r="N29" s="22">
        <f>SUM(B29:M29)</f>
        <v/>
      </c>
      <c r="O29" s="22" t="n">
        <v>120.47</v>
      </c>
      <c r="P29" s="22" t="n">
        <v>153.08</v>
      </c>
      <c r="Q29" s="22" t="n">
        <v>198.65</v>
      </c>
      <c r="R29" s="22" t="n">
        <v>181.3</v>
      </c>
      <c r="S29" s="22" t="n">
        <v>115.66</v>
      </c>
      <c r="T29" s="22" t="n">
        <v>241.42</v>
      </c>
      <c r="U29" s="22" t="n">
        <v>125.04</v>
      </c>
      <c r="V29" s="22" t="n">
        <v>93.09664000000004</v>
      </c>
      <c r="W29" s="22" t="n">
        <v>95.46368000000002</v>
      </c>
      <c r="X29" s="22" t="n">
        <v>109.9696</v>
      </c>
      <c r="Y29" s="22" t="n">
        <v>112.60704</v>
      </c>
      <c r="Z29" s="22" t="n">
        <v>112.57792</v>
      </c>
      <c r="AA29" s="22">
        <f>SUM(O29:U29)</f>
        <v/>
      </c>
      <c r="AB29" s="22">
        <f>SUM(O29:Z29)</f>
        <v/>
      </c>
      <c r="AC29" s="22" t="n">
        <v>116.1001088</v>
      </c>
      <c r="AD29" s="22" t="n">
        <v>125.2639648</v>
      </c>
      <c r="AE29" s="22" t="n">
        <v>153.5190592000001</v>
      </c>
      <c r="AF29" s="22" t="n">
        <v>144.3575328000001</v>
      </c>
      <c r="AG29" s="22" t="n">
        <v>136.7289664</v>
      </c>
      <c r="AH29" s="22" t="n">
        <v>152.2812928</v>
      </c>
      <c r="AI29" s="34">
        <f>SUM(AC29:AH29)</f>
        <v/>
      </c>
      <c r="AJ29" s="22">
        <f>SUM(AC29:AH29)+AI29</f>
        <v/>
      </c>
      <c r="AK29" s="11">
        <f>IF(N29&lt;&gt;0,(AB29-N29)/ABS(N29),0)</f>
        <v/>
      </c>
      <c r="AL29" s="11">
        <f>IF(AB29&lt;&gt;0,(AJ29-AB29)/ABS(AB29),0)</f>
        <v/>
      </c>
    </row>
    <row r="30" ht="13" customHeight="1">
      <c r="A30" s="23" t="inlineStr">
        <is>
          <t>Total Childcare Costs</t>
        </is>
      </c>
      <c r="B30" s="24">
        <f>B24+B25+B26+B27+B28+B29</f>
        <v/>
      </c>
      <c r="C30" s="24">
        <f>C24+C25+C26+C27+C28+C29</f>
        <v/>
      </c>
      <c r="D30" s="24">
        <f>D24+D25+D26+D27+D28+D29</f>
        <v/>
      </c>
      <c r="E30" s="24">
        <f>E24+E25+E26+E27+E28+E29</f>
        <v/>
      </c>
      <c r="F30" s="24">
        <f>F24+F25+F26+F27+F28+F29</f>
        <v/>
      </c>
      <c r="G30" s="24">
        <f>G24+G25+G26+G27+G28+G29</f>
        <v/>
      </c>
      <c r="H30" s="24">
        <f>H24+H25+H26+H27+H28+H29</f>
        <v/>
      </c>
      <c r="I30" s="24">
        <f>I24+I25+I26+I27+I28+I29</f>
        <v/>
      </c>
      <c r="J30" s="24">
        <f>J24+J25+J26+J27+J28+J29</f>
        <v/>
      </c>
      <c r="K30" s="24">
        <f>K24+K25+K26+K27+K28+K29</f>
        <v/>
      </c>
      <c r="L30" s="24">
        <f>L24+L25+L26+L27+L28+L29</f>
        <v/>
      </c>
      <c r="M30" s="24">
        <f>M24+M25+M26+M27+M28+M29</f>
        <v/>
      </c>
      <c r="N30" s="24">
        <f>N24+N25+N26+N27+N28+N29</f>
        <v/>
      </c>
      <c r="O30" s="24">
        <f>O24+O25+O26+O27+O28+O29</f>
        <v/>
      </c>
      <c r="P30" s="24">
        <f>P24+P25+P26+P27+P28+P29</f>
        <v/>
      </c>
      <c r="Q30" s="24">
        <f>Q24+Q25+Q26+Q27+Q28+Q29</f>
        <v/>
      </c>
      <c r="R30" s="24">
        <f>R24+R25+R26+R27+R28+R29</f>
        <v/>
      </c>
      <c r="S30" s="24">
        <f>S24+S25+S26+S27+S28+S29</f>
        <v/>
      </c>
      <c r="T30" s="24">
        <f>T24+T25+T26+T27+T28+T29</f>
        <v/>
      </c>
      <c r="U30" s="24">
        <f>U24+U25+U26+U27+U28+U29</f>
        <v/>
      </c>
      <c r="V30" s="24">
        <f>V24+V25+V26+V27+V28+V29</f>
        <v/>
      </c>
      <c r="W30" s="24">
        <f>W24+W25+W26+W27+W28+W29</f>
        <v/>
      </c>
      <c r="X30" s="24">
        <f>X24+X25+X26+X27+X28+X29</f>
        <v/>
      </c>
      <c r="Y30" s="24">
        <f>Y24+Y25+Y26+Y27+Y28+Y29</f>
        <v/>
      </c>
      <c r="Z30" s="24">
        <f>Z24+Z25+Z26+Z27+Z28+Z29</f>
        <v/>
      </c>
      <c r="AA30" s="24">
        <f>AA24+AA25+AA26+AA27+AA28+AA29</f>
        <v/>
      </c>
      <c r="AB30" s="24">
        <f>AB24+AB25+AB26+AB27+AB28+AB29</f>
        <v/>
      </c>
      <c r="AC30" s="24">
        <f>AC24+AC25+AC26+AC27+AC28+AC29</f>
        <v/>
      </c>
      <c r="AD30" s="24">
        <f>AD24+AD25+AD26+AD27+AD28+AD29</f>
        <v/>
      </c>
      <c r="AE30" s="24">
        <f>AE24+AE25+AE26+AE27+AE28+AE29</f>
        <v/>
      </c>
      <c r="AF30" s="24">
        <f>AF24+AF25+AF26+AF27+AF28+AF29</f>
        <v/>
      </c>
      <c r="AG30" s="24">
        <f>AG24+AG25+AG26+AG27+AG28+AG29</f>
        <v/>
      </c>
      <c r="AH30" s="24">
        <f>AH24+AH25+AH26+AH27+AH28+AH29</f>
        <v/>
      </c>
      <c r="AI30" s="24">
        <f>AI24+AI25+AI26+AI27+AI28+AI29</f>
        <v/>
      </c>
      <c r="AJ30" s="24">
        <f>AJ24+AJ25+AJ26+AJ27+AJ28+AJ29</f>
        <v/>
      </c>
      <c r="AK30" s="11">
        <f>IF(N30&lt;&gt;0,(AB30-N30)/ABS(N30),0)</f>
        <v/>
      </c>
      <c r="AL30" s="11">
        <f>IF(AB30&lt;&gt;0,(AJ30-AB30)/ABS(AB30),0)</f>
        <v/>
      </c>
    </row>
    <row r="31" ht="5" customHeight="1"/>
    <row r="32" ht="13" customHeight="1">
      <c r="A32" s="14" t="inlineStr">
        <is>
          <t>Premises &amp; Admin</t>
        </is>
      </c>
    </row>
    <row r="33" ht="13" customHeight="1">
      <c r="A33" s="25" t="inlineStr">
        <is>
          <t xml:space="preserve">    Rent</t>
        </is>
      </c>
      <c r="B33" s="26" t="n">
        <v>541.67</v>
      </c>
      <c r="C33" s="26" t="n">
        <v>541.67</v>
      </c>
      <c r="D33" s="26" t="n">
        <v>541.67</v>
      </c>
      <c r="E33" s="26" t="n">
        <v>541.67</v>
      </c>
      <c r="F33" s="26" t="n">
        <v>541.67</v>
      </c>
      <c r="G33" s="26" t="n">
        <v>541.67</v>
      </c>
      <c r="H33" s="26" t="n">
        <v>541.67</v>
      </c>
      <c r="I33" s="26" t="n">
        <v>541.67</v>
      </c>
      <c r="J33" s="26" t="n">
        <v>541.66</v>
      </c>
      <c r="K33" s="26" t="n">
        <v>541.67</v>
      </c>
      <c r="L33" s="26" t="n">
        <v>541.67</v>
      </c>
      <c r="M33" s="26" t="n">
        <v>541.66</v>
      </c>
      <c r="N33" s="26">
        <f>SUM(B33:M33)</f>
        <v/>
      </c>
      <c r="O33" s="26" t="n">
        <v>0</v>
      </c>
      <c r="P33" s="26" t="n">
        <v>0</v>
      </c>
      <c r="Q33" s="26" t="n">
        <v>-0.009999999999990905</v>
      </c>
      <c r="R33" s="26" t="n">
        <v>0</v>
      </c>
      <c r="S33" s="26" t="n">
        <v>0</v>
      </c>
      <c r="T33" s="26" t="n">
        <v>0</v>
      </c>
      <c r="U33" s="26" t="n">
        <v>0</v>
      </c>
      <c r="AA33" s="26">
        <f>SUM(O33:U33)</f>
        <v/>
      </c>
      <c r="AB33" s="26">
        <f>SUM(O33:Z33)</f>
        <v/>
      </c>
      <c r="AC33" s="26" t="n">
        <v>0</v>
      </c>
      <c r="AD33" s="26" t="n">
        <v>0</v>
      </c>
      <c r="AE33" s="26" t="n">
        <v>0</v>
      </c>
      <c r="AF33" s="26" t="n">
        <v>0</v>
      </c>
      <c r="AG33" s="26" t="n">
        <v>0</v>
      </c>
      <c r="AH33" s="26" t="n">
        <v>0</v>
      </c>
      <c r="AI33" s="34">
        <f>SUM(AC33:AH33)</f>
        <v/>
      </c>
      <c r="AJ33" s="26">
        <f>SUM(AC33:AH33)+AI33</f>
        <v/>
      </c>
      <c r="AK33" s="11">
        <f>IF(N33&lt;&gt;0,(AB33-N33)/ABS(N33),0)</f>
        <v/>
      </c>
      <c r="AL33" s="11">
        <f>IF(AB33&lt;&gt;0,(AJ33-AB33)/ABS(AB33),0)</f>
        <v/>
      </c>
    </row>
    <row r="34" ht="13" customHeight="1">
      <c r="A34" s="25" t="inlineStr">
        <is>
          <t xml:space="preserve">    Business Rates</t>
        </is>
      </c>
      <c r="B34" s="26" t="n">
        <v>426.23</v>
      </c>
      <c r="C34" s="26" t="n">
        <v>426.23</v>
      </c>
      <c r="D34" s="26" t="n">
        <v>426.23</v>
      </c>
      <c r="E34" s="26" t="n">
        <v>426.23</v>
      </c>
      <c r="F34" s="26" t="n">
        <v>426.23</v>
      </c>
      <c r="G34" s="26" t="n">
        <v>426.23</v>
      </c>
      <c r="H34" s="26" t="n">
        <v>426.23</v>
      </c>
      <c r="I34" s="26" t="n">
        <v>426.23</v>
      </c>
      <c r="J34" s="26" t="n">
        <v>426.23</v>
      </c>
      <c r="K34" s="26" t="n">
        <v>426.23</v>
      </c>
      <c r="L34" s="26" t="n">
        <v>426.23</v>
      </c>
      <c r="M34" s="26" t="n">
        <v>426.23</v>
      </c>
      <c r="N34" s="26">
        <f>SUM(B34:M34)</f>
        <v/>
      </c>
      <c r="O34" s="26" t="n">
        <v>426.23</v>
      </c>
      <c r="P34" s="26" t="n">
        <v>426.23</v>
      </c>
      <c r="Q34" s="26" t="n">
        <v>426.22</v>
      </c>
      <c r="R34" s="26" t="n">
        <v>447.54</v>
      </c>
      <c r="S34" s="26" t="n">
        <v>447.54</v>
      </c>
      <c r="T34" s="26" t="n">
        <v>447.54</v>
      </c>
      <c r="U34" s="26" t="n">
        <v>447.54</v>
      </c>
      <c r="AA34" s="26">
        <f>SUM(O34:U34)</f>
        <v/>
      </c>
      <c r="AB34" s="26">
        <f>SUM(O34:Z34)</f>
        <v/>
      </c>
      <c r="AC34" s="26" t="n">
        <v>0</v>
      </c>
      <c r="AD34" s="26" t="n">
        <v>0</v>
      </c>
      <c r="AE34" s="26" t="n">
        <v>0</v>
      </c>
      <c r="AF34" s="26" t="n">
        <v>0</v>
      </c>
      <c r="AG34" s="26" t="n">
        <v>0</v>
      </c>
      <c r="AH34" s="26" t="n">
        <v>0</v>
      </c>
      <c r="AI34" s="34">
        <f>SUM(AC34:AH34)</f>
        <v/>
      </c>
      <c r="AJ34" s="26">
        <f>SUM(AC34:AH34)+AI34</f>
        <v/>
      </c>
      <c r="AK34" s="11">
        <f>IF(N34&lt;&gt;0,(AB34-N34)/ABS(N34),0)</f>
        <v/>
      </c>
      <c r="AL34" s="11">
        <f>IF(AB34&lt;&gt;0,(AJ34-AB34)/ABS(AB34),0)</f>
        <v/>
      </c>
    </row>
    <row r="35" ht="13" customHeight="1">
      <c r="A35" s="25" t="inlineStr">
        <is>
          <t xml:space="preserve">    Utilities</t>
        </is>
      </c>
      <c r="B35" s="26" t="n">
        <v>1144.51</v>
      </c>
      <c r="C35" s="26" t="n">
        <v>1876.52</v>
      </c>
      <c r="D35" s="26" t="n">
        <v>3731.16</v>
      </c>
      <c r="E35" s="26" t="n">
        <v>2446.87</v>
      </c>
      <c r="F35" s="26" t="n">
        <v>-507.1600000000001</v>
      </c>
      <c r="G35" s="26" t="n">
        <v>852.76</v>
      </c>
      <c r="H35" s="26" t="n">
        <v>771.11</v>
      </c>
      <c r="I35" s="26" t="n">
        <v>2306.56</v>
      </c>
      <c r="J35" s="26" t="n">
        <v>853.0600000000001</v>
      </c>
      <c r="K35" s="26" t="n">
        <v>2101.48</v>
      </c>
      <c r="L35" s="26" t="n">
        <v>2463.12</v>
      </c>
      <c r="M35" s="26" t="n">
        <v>3402.53</v>
      </c>
      <c r="N35" s="26">
        <f>SUM(B35:M35)</f>
        <v/>
      </c>
      <c r="O35" s="26" t="n">
        <v>2109.25</v>
      </c>
      <c r="P35" s="26" t="n">
        <v>2316.27</v>
      </c>
      <c r="Q35" s="26" t="n">
        <v>1417.04</v>
      </c>
      <c r="R35" s="26" t="n">
        <v>1804.14</v>
      </c>
      <c r="S35" s="26" t="n">
        <v>1026.04</v>
      </c>
      <c r="T35" s="26" t="n">
        <v>1890.08</v>
      </c>
      <c r="U35" s="26" t="n">
        <v>1648.84</v>
      </c>
      <c r="AA35" s="26">
        <f>SUM(O35:U35)</f>
        <v/>
      </c>
      <c r="AB35" s="26">
        <f>SUM(O35:Z35)</f>
        <v/>
      </c>
      <c r="AC35" s="26" t="n">
        <v>0</v>
      </c>
      <c r="AD35" s="26" t="n">
        <v>0</v>
      </c>
      <c r="AE35" s="26" t="n">
        <v>0</v>
      </c>
      <c r="AF35" s="26" t="n">
        <v>0</v>
      </c>
      <c r="AG35" s="26" t="n">
        <v>0</v>
      </c>
      <c r="AH35" s="26" t="n">
        <v>0</v>
      </c>
      <c r="AI35" s="34">
        <f>SUM(AC35:AH35)</f>
        <v/>
      </c>
      <c r="AJ35" s="26">
        <f>SUM(AC35:AH35)+AI35</f>
        <v/>
      </c>
      <c r="AK35" s="11">
        <f>IF(N35&lt;&gt;0,(AB35-N35)/ABS(N35),0)</f>
        <v/>
      </c>
      <c r="AL35" s="11">
        <f>IF(AB35&lt;&gt;0,(AJ35-AB35)/ABS(AB35),0)</f>
        <v/>
      </c>
    </row>
    <row r="36" ht="13" customHeight="1">
      <c r="A36" s="25" t="inlineStr">
        <is>
          <t xml:space="preserve">    Repairs &amp; Maintenance</t>
        </is>
      </c>
      <c r="B36" s="26" t="n">
        <v>0</v>
      </c>
      <c r="C36" s="26" t="n">
        <v>14.36</v>
      </c>
      <c r="D36" s="26" t="n">
        <v>327.5</v>
      </c>
      <c r="E36" s="26" t="n">
        <v>305.35</v>
      </c>
      <c r="F36" s="26" t="n">
        <v>370.59</v>
      </c>
      <c r="G36" s="26" t="n">
        <v>26.58</v>
      </c>
      <c r="H36" s="26" t="n">
        <v>0</v>
      </c>
      <c r="I36" s="26" t="n">
        <v>32.82</v>
      </c>
      <c r="J36" s="26" t="n">
        <v>0</v>
      </c>
      <c r="K36" s="26" t="n">
        <v>0</v>
      </c>
      <c r="L36" s="26" t="n">
        <v>27.8</v>
      </c>
      <c r="M36" s="26" t="n">
        <v>268.7</v>
      </c>
      <c r="N36" s="26">
        <f>SUM(B36:M36)</f>
        <v/>
      </c>
      <c r="O36" s="26" t="n">
        <v>0</v>
      </c>
      <c r="P36" s="26" t="n">
        <v>90.59999999999999</v>
      </c>
      <c r="Q36" s="26" t="n">
        <v>0</v>
      </c>
      <c r="R36" s="26" t="n">
        <v>279</v>
      </c>
      <c r="S36" s="26" t="n">
        <v>0</v>
      </c>
      <c r="T36" s="26" t="n">
        <v>0</v>
      </c>
      <c r="U36" s="26" t="n">
        <v>369.46</v>
      </c>
      <c r="AA36" s="26">
        <f>SUM(O36:U36)</f>
        <v/>
      </c>
      <c r="AB36" s="26">
        <f>SUM(O36:Z36)</f>
        <v/>
      </c>
      <c r="AC36" s="26" t="n">
        <v>0</v>
      </c>
      <c r="AD36" s="26" t="n">
        <v>0</v>
      </c>
      <c r="AE36" s="26" t="n">
        <v>0</v>
      </c>
      <c r="AF36" s="26" t="n">
        <v>0</v>
      </c>
      <c r="AG36" s="26" t="n">
        <v>0</v>
      </c>
      <c r="AH36" s="26" t="n">
        <v>0</v>
      </c>
      <c r="AI36" s="34">
        <f>SUM(AC36:AH36)</f>
        <v/>
      </c>
      <c r="AJ36" s="26">
        <f>SUM(AC36:AH36)+AI36</f>
        <v/>
      </c>
      <c r="AK36" s="11">
        <f>IF(N36&lt;&gt;0,(AB36-N36)/ABS(N36),0)</f>
        <v/>
      </c>
      <c r="AL36" s="11">
        <f>IF(AB36&lt;&gt;0,(AJ36-AB36)/ABS(AB36),0)</f>
        <v/>
      </c>
    </row>
    <row r="37" ht="13" customHeight="1">
      <c r="A37" s="25" t="inlineStr">
        <is>
          <t xml:space="preserve">    Cleaning</t>
        </is>
      </c>
      <c r="B37" s="26" t="n">
        <v>341.18</v>
      </c>
      <c r="C37" s="26" t="n">
        <v>0</v>
      </c>
      <c r="D37" s="26" t="n">
        <v>495.47</v>
      </c>
      <c r="E37" s="26" t="n">
        <v>147.98</v>
      </c>
      <c r="F37" s="26" t="n">
        <v>216.21</v>
      </c>
      <c r="G37" s="26" t="n">
        <v>0</v>
      </c>
      <c r="H37" s="26" t="n">
        <v>42.92</v>
      </c>
      <c r="I37" s="26" t="n">
        <v>219.35</v>
      </c>
      <c r="J37" s="26" t="n">
        <v>417.65</v>
      </c>
      <c r="K37" s="26" t="n">
        <v>206.69</v>
      </c>
      <c r="L37" s="26" t="n">
        <v>0</v>
      </c>
      <c r="M37" s="26" t="n">
        <v>146.16</v>
      </c>
      <c r="N37" s="26">
        <f>SUM(B37:M37)</f>
        <v/>
      </c>
      <c r="O37" s="26" t="n">
        <v>0</v>
      </c>
      <c r="P37" s="26" t="n">
        <v>670.87</v>
      </c>
      <c r="Q37" s="26" t="n">
        <v>178.99</v>
      </c>
      <c r="R37" s="26" t="n">
        <v>6.98</v>
      </c>
      <c r="S37" s="26" t="n">
        <v>0</v>
      </c>
      <c r="T37" s="26" t="n">
        <v>239.77</v>
      </c>
      <c r="U37" s="26" t="n">
        <v>277.39</v>
      </c>
      <c r="AA37" s="26">
        <f>SUM(O37:U37)</f>
        <v/>
      </c>
      <c r="AB37" s="26">
        <f>SUM(O37:Z37)</f>
        <v/>
      </c>
      <c r="AC37" s="26" t="n">
        <v>200</v>
      </c>
      <c r="AD37" s="26" t="n">
        <v>200</v>
      </c>
      <c r="AE37" s="26" t="n">
        <v>200</v>
      </c>
      <c r="AF37" s="26" t="n">
        <v>200</v>
      </c>
      <c r="AG37" s="26" t="n">
        <v>200</v>
      </c>
      <c r="AH37" s="26" t="n">
        <v>200</v>
      </c>
      <c r="AI37" s="34">
        <f>SUM(AC37:AH37)</f>
        <v/>
      </c>
      <c r="AJ37" s="26">
        <f>SUM(AC37:AH37)+AI37</f>
        <v/>
      </c>
      <c r="AK37" s="11">
        <f>IF(N37&lt;&gt;0,(AB37-N37)/ABS(N37),0)</f>
        <v/>
      </c>
      <c r="AL37" s="11">
        <f>IF(AB37&lt;&gt;0,(AJ37-AB37)/ABS(AB37),0)</f>
        <v/>
      </c>
    </row>
    <row r="38" ht="13" customHeight="1">
      <c r="A38" s="25" t="inlineStr">
        <is>
          <t xml:space="preserve">    Waste Disposal</t>
        </is>
      </c>
      <c r="B38" s="26" t="n">
        <v>346.68</v>
      </c>
      <c r="C38" s="26" t="n">
        <v>537.6600000000001</v>
      </c>
      <c r="D38" s="26" t="n">
        <v>397.6799999999999</v>
      </c>
      <c r="E38" s="26" t="n">
        <v>356.33</v>
      </c>
      <c r="F38" s="26" t="n">
        <v>380.74</v>
      </c>
      <c r="G38" s="26" t="n">
        <v>446.01</v>
      </c>
      <c r="H38" s="26" t="n">
        <v>380.74</v>
      </c>
      <c r="I38" s="26" t="n">
        <v>551.72</v>
      </c>
      <c r="J38" s="26" t="n">
        <v>434.15</v>
      </c>
      <c r="K38" s="26" t="n">
        <v>431.14</v>
      </c>
      <c r="L38" s="26" t="n">
        <v>389.72</v>
      </c>
      <c r="M38" s="26" t="n">
        <v>443.13</v>
      </c>
      <c r="N38" s="26">
        <f>SUM(B38:M38)</f>
        <v/>
      </c>
      <c r="O38" s="26" t="n">
        <v>389.73</v>
      </c>
      <c r="P38" s="26" t="n">
        <v>389.73</v>
      </c>
      <c r="Q38" s="26" t="n">
        <v>478.53</v>
      </c>
      <c r="R38" s="26" t="n">
        <v>548.1700000000001</v>
      </c>
      <c r="S38" s="26" t="n">
        <v>467.13</v>
      </c>
      <c r="T38" s="26" t="n">
        <v>281.67</v>
      </c>
      <c r="U38" s="26" t="n">
        <v>571.89</v>
      </c>
      <c r="AA38" s="26">
        <f>SUM(O38:U38)</f>
        <v/>
      </c>
      <c r="AB38" s="26">
        <f>SUM(O38:Z38)</f>
        <v/>
      </c>
      <c r="AC38" s="26" t="n">
        <v>426</v>
      </c>
      <c r="AD38" s="26" t="n">
        <v>426</v>
      </c>
      <c r="AE38" s="26" t="n">
        <v>426</v>
      </c>
      <c r="AF38" s="26" t="n">
        <v>426</v>
      </c>
      <c r="AG38" s="26" t="n">
        <v>426</v>
      </c>
      <c r="AH38" s="26" t="n">
        <v>426</v>
      </c>
      <c r="AI38" s="34">
        <f>SUM(AC38:AH38)</f>
        <v/>
      </c>
      <c r="AJ38" s="26">
        <f>SUM(AC38:AH38)+AI38</f>
        <v/>
      </c>
      <c r="AK38" s="11">
        <f>IF(N38&lt;&gt;0,(AB38-N38)/ABS(N38),0)</f>
        <v/>
      </c>
      <c r="AL38" s="11">
        <f>IF(AB38&lt;&gt;0,(AJ38-AB38)/ABS(AB38),0)</f>
        <v/>
      </c>
    </row>
    <row r="39" ht="13" customHeight="1">
      <c r="A39" s="25" t="inlineStr">
        <is>
          <t xml:space="preserve">    Postage/Printing/Stationery</t>
        </is>
      </c>
      <c r="B39" s="26" t="n">
        <v>27.13</v>
      </c>
      <c r="C39" s="26" t="n">
        <v>39.52</v>
      </c>
      <c r="D39" s="26" t="n">
        <v>37.15</v>
      </c>
      <c r="E39" s="26" t="n">
        <v>84.5</v>
      </c>
      <c r="F39" s="26" t="n">
        <v>28.99</v>
      </c>
      <c r="G39" s="26" t="n">
        <v>32.1</v>
      </c>
      <c r="H39" s="26" t="n">
        <v>23.58</v>
      </c>
      <c r="I39" s="26" t="n">
        <v>0</v>
      </c>
      <c r="J39" s="26" t="n">
        <v>166.43</v>
      </c>
      <c r="K39" s="26" t="n">
        <v>695.5</v>
      </c>
      <c r="L39" s="26" t="n">
        <v>0</v>
      </c>
      <c r="M39" s="26" t="n">
        <v>-413.13</v>
      </c>
      <c r="N39" s="26">
        <f>SUM(B39:M39)</f>
        <v/>
      </c>
      <c r="O39" s="26" t="n">
        <v>0</v>
      </c>
      <c r="P39" s="26" t="n">
        <v>20.39</v>
      </c>
      <c r="Q39" s="26" t="n">
        <v>0</v>
      </c>
      <c r="R39" s="26" t="n">
        <v>0</v>
      </c>
      <c r="S39" s="26" t="n">
        <v>0</v>
      </c>
      <c r="T39" s="26" t="n">
        <v>132.04</v>
      </c>
      <c r="U39" s="26" t="n">
        <v>78.31999999999999</v>
      </c>
      <c r="AA39" s="26">
        <f>SUM(O39:U39)</f>
        <v/>
      </c>
      <c r="AB39" s="26">
        <f>SUM(O39:Z39)</f>
        <v/>
      </c>
      <c r="AC39" s="26" t="n">
        <v>0</v>
      </c>
      <c r="AD39" s="26" t="n">
        <v>0</v>
      </c>
      <c r="AE39" s="26" t="n">
        <v>0</v>
      </c>
      <c r="AF39" s="26" t="n">
        <v>0</v>
      </c>
      <c r="AG39" s="26" t="n">
        <v>0</v>
      </c>
      <c r="AH39" s="26" t="n">
        <v>0</v>
      </c>
      <c r="AI39" s="34">
        <f>SUM(AC39:AH39)</f>
        <v/>
      </c>
      <c r="AJ39" s="26">
        <f>SUM(AC39:AH39)+AI39</f>
        <v/>
      </c>
      <c r="AK39" s="11">
        <f>IF(N39&lt;&gt;0,(AB39-N39)/ABS(N39),0)</f>
        <v/>
      </c>
      <c r="AL39" s="11">
        <f>IF(AB39&lt;&gt;0,(AJ39-AB39)/ABS(AB39),0)</f>
        <v/>
      </c>
    </row>
    <row r="40" ht="13" customHeight="1">
      <c r="A40" s="25" t="inlineStr">
        <is>
          <t xml:space="preserve">    Telephone</t>
        </is>
      </c>
      <c r="B40" s="26" t="n">
        <v>0</v>
      </c>
      <c r="C40" s="26" t="n">
        <v>0</v>
      </c>
      <c r="D40" s="26" t="n">
        <v>0</v>
      </c>
      <c r="E40" s="26" t="n">
        <v>0</v>
      </c>
      <c r="F40" s="26" t="n">
        <v>0</v>
      </c>
      <c r="G40" s="26" t="n">
        <v>0</v>
      </c>
      <c r="H40" s="26" t="n">
        <v>0</v>
      </c>
      <c r="I40" s="26" t="n">
        <v>0</v>
      </c>
      <c r="J40" s="26" t="n">
        <v>20</v>
      </c>
      <c r="K40" s="26" t="n">
        <v>0</v>
      </c>
      <c r="L40" s="26" t="n">
        <v>0</v>
      </c>
      <c r="M40" s="26" t="n">
        <v>0</v>
      </c>
      <c r="N40" s="26">
        <f>SUM(B40:M40)</f>
        <v/>
      </c>
      <c r="O40" s="26" t="n">
        <v>32</v>
      </c>
      <c r="P40" s="26" t="n">
        <v>73.3</v>
      </c>
      <c r="Q40" s="26" t="n">
        <v>0</v>
      </c>
      <c r="R40" s="26" t="n">
        <v>20</v>
      </c>
      <c r="S40" s="26" t="n">
        <v>0</v>
      </c>
      <c r="T40" s="26" t="n">
        <v>4.95</v>
      </c>
      <c r="U40" s="26" t="n">
        <v>28</v>
      </c>
      <c r="AA40" s="26">
        <f>SUM(O40:U40)</f>
        <v/>
      </c>
      <c r="AB40" s="26">
        <f>SUM(O40:Z40)</f>
        <v/>
      </c>
      <c r="AC40" s="26" t="n">
        <v>0</v>
      </c>
      <c r="AD40" s="26" t="n">
        <v>0</v>
      </c>
      <c r="AE40" s="26" t="n">
        <v>0</v>
      </c>
      <c r="AF40" s="26" t="n">
        <v>0</v>
      </c>
      <c r="AG40" s="26" t="n">
        <v>0</v>
      </c>
      <c r="AH40" s="26" t="n">
        <v>0</v>
      </c>
      <c r="AI40" s="34">
        <f>SUM(AC40:AH40)</f>
        <v/>
      </c>
      <c r="AJ40" s="26">
        <f>SUM(AC40:AH40)+AI40</f>
        <v/>
      </c>
      <c r="AK40" s="11">
        <f>IF(N40&lt;&gt;0,(AB40-N40)/ABS(N40),0)</f>
        <v/>
      </c>
      <c r="AL40" s="11">
        <f>IF(AB40&lt;&gt;0,(AJ40-AB40)/ABS(AB40),0)</f>
        <v/>
      </c>
    </row>
    <row r="41" ht="13" customHeight="1">
      <c r="A41" s="25" t="inlineStr">
        <is>
          <t xml:space="preserve">    Marketing</t>
        </is>
      </c>
      <c r="B41" s="26" t="n">
        <v>0</v>
      </c>
      <c r="C41" s="26" t="n">
        <v>0</v>
      </c>
      <c r="D41" s="26" t="n">
        <v>0</v>
      </c>
      <c r="E41" s="26" t="n">
        <v>0</v>
      </c>
      <c r="F41" s="26" t="n">
        <v>0</v>
      </c>
      <c r="G41" s="26" t="n">
        <v>0</v>
      </c>
      <c r="H41" s="26" t="n">
        <v>0</v>
      </c>
      <c r="I41" s="26" t="n">
        <v>0</v>
      </c>
      <c r="J41" s="26" t="n">
        <v>0</v>
      </c>
      <c r="K41" s="26" t="n">
        <v>0</v>
      </c>
      <c r="L41" s="26" t="n">
        <v>0</v>
      </c>
      <c r="M41" s="26" t="n">
        <v>0</v>
      </c>
      <c r="N41" s="26">
        <f>SUM(B41:M41)</f>
        <v/>
      </c>
      <c r="O41" s="26" t="n">
        <v>0</v>
      </c>
      <c r="P41" s="26" t="n">
        <v>0</v>
      </c>
      <c r="Q41" s="26" t="n">
        <v>0</v>
      </c>
      <c r="R41" s="26" t="n">
        <v>0</v>
      </c>
      <c r="S41" s="26" t="n">
        <v>0</v>
      </c>
      <c r="T41" s="26" t="n">
        <v>0</v>
      </c>
      <c r="U41" s="26" t="n">
        <v>0</v>
      </c>
      <c r="V41" s="26" t="n">
        <v>0</v>
      </c>
      <c r="W41" s="26" t="n">
        <v>0</v>
      </c>
      <c r="X41" s="26" t="n">
        <v>0</v>
      </c>
      <c r="Y41" s="26" t="n">
        <v>0</v>
      </c>
      <c r="Z41" s="26" t="n">
        <v>0</v>
      </c>
      <c r="AA41" s="26">
        <f>SUM(O41:U41)</f>
        <v/>
      </c>
      <c r="AB41" s="26">
        <f>SUM(O41:Z41)</f>
        <v/>
      </c>
      <c r="AC41" s="26" t="n">
        <v>100</v>
      </c>
      <c r="AD41" s="26" t="n">
        <v>100</v>
      </c>
      <c r="AE41" s="26" t="n">
        <v>100</v>
      </c>
      <c r="AF41" s="26" t="n">
        <v>100</v>
      </c>
      <c r="AG41" s="26" t="n">
        <v>100</v>
      </c>
      <c r="AH41" s="26" t="n">
        <v>100</v>
      </c>
      <c r="AI41" s="34">
        <f>SUM(AC41:AH41)</f>
        <v/>
      </c>
      <c r="AJ41" s="26">
        <f>SUM(AC41:AH41)+AI41</f>
        <v/>
      </c>
      <c r="AK41" s="11">
        <f>IF(N41&lt;&gt;0,(AB41-N41)/ABS(N41),0)</f>
        <v/>
      </c>
      <c r="AL41" s="11">
        <f>IF(AB41&lt;&gt;0,(AJ41-AB41)/ABS(AB41),0)</f>
        <v/>
      </c>
    </row>
    <row r="42" ht="13" customHeight="1">
      <c r="A42" s="27" t="inlineStr">
        <is>
          <t>Total Premises &amp; Admin</t>
        </is>
      </c>
      <c r="B42" s="28">
        <f>B33+B34+B35+B36+B37+B38+B39+B40+B41</f>
        <v/>
      </c>
      <c r="C42" s="28">
        <f>C33+C34+C35+C36+C37+C38+C39+C40+C41</f>
        <v/>
      </c>
      <c r="D42" s="28">
        <f>D33+D34+D35+D36+D37+D38+D39+D40+D41</f>
        <v/>
      </c>
      <c r="E42" s="28">
        <f>E33+E34+E35+E36+E37+E38+E39+E40+E41</f>
        <v/>
      </c>
      <c r="F42" s="28">
        <f>F33+F34+F35+F36+F37+F38+F39+F40+F41</f>
        <v/>
      </c>
      <c r="G42" s="28">
        <f>G33+G34+G35+G36+G37+G38+G39+G40+G41</f>
        <v/>
      </c>
      <c r="H42" s="28">
        <f>H33+H34+H35+H36+H37+H38+H39+H40+H41</f>
        <v/>
      </c>
      <c r="I42" s="28">
        <f>I33+I34+I35+I36+I37+I38+I39+I40+I41</f>
        <v/>
      </c>
      <c r="J42" s="28">
        <f>J33+J34+J35+J36+J37+J38+J39+J40+J41</f>
        <v/>
      </c>
      <c r="K42" s="28">
        <f>K33+K34+K35+K36+K37+K38+K39+K40+K41</f>
        <v/>
      </c>
      <c r="L42" s="28">
        <f>L33+L34+L35+L36+L37+L38+L39+L40+L41</f>
        <v/>
      </c>
      <c r="M42" s="28">
        <f>M33+M34+M35+M36+M37+M38+M39+M40+M41</f>
        <v/>
      </c>
      <c r="N42" s="28">
        <f>N33+N34+N35+N36+N37+N38+N39+N40+N41</f>
        <v/>
      </c>
      <c r="O42" s="28">
        <f>O33+O34+O35+O36+O37+O38+O39+O40+O41</f>
        <v/>
      </c>
      <c r="P42" s="28">
        <f>P33+P34+P35+P36+P37+P38+P39+P40+P41</f>
        <v/>
      </c>
      <c r="Q42" s="28">
        <f>Q33+Q34+Q35+Q36+Q37+Q38+Q39+Q40+Q41</f>
        <v/>
      </c>
      <c r="R42" s="28">
        <f>R33+R34+R35+R36+R37+R38+R39+R40+R41</f>
        <v/>
      </c>
      <c r="S42" s="28">
        <f>S33+S34+S35+S36+S37+S38+S39+S40+S41</f>
        <v/>
      </c>
      <c r="T42" s="28">
        <f>T33+T34+T35+T36+T37+T38+T39+T40+T41</f>
        <v/>
      </c>
      <c r="U42" s="28">
        <f>U33+U34+U35+U36+U37+U38+U39+U40+U41</f>
        <v/>
      </c>
      <c r="V42" s="28">
        <f>V33+V34+V35+V36+V37+V38+V39+V40+V41</f>
        <v/>
      </c>
      <c r="W42" s="28">
        <f>W33+W34+W35+W36+W37+W38+W39+W40+W41</f>
        <v/>
      </c>
      <c r="X42" s="28">
        <f>X33+X34+X35+X36+X37+X38+X39+X40+X41</f>
        <v/>
      </c>
      <c r="Y42" s="28">
        <f>Y33+Y34+Y35+Y36+Y37+Y38+Y39+Y40+Y41</f>
        <v/>
      </c>
      <c r="Z42" s="28">
        <f>Z33+Z34+Z35+Z36+Z37+Z38+Z39+Z40+Z41</f>
        <v/>
      </c>
      <c r="AA42" s="28">
        <f>AA33+AA34+AA35+AA36+AA37+AA38+AA39+AA40+AA41</f>
        <v/>
      </c>
      <c r="AB42" s="28">
        <f>AB33+AB34+AB35+AB36+AB37+AB38+AB39+AB40+AB41</f>
        <v/>
      </c>
      <c r="AC42" s="28">
        <f>AC33+AC34+AC35+AC36+AC37+AC38+AC39+AC40+AC41</f>
        <v/>
      </c>
      <c r="AD42" s="28">
        <f>AD33+AD34+AD35+AD36+AD37+AD38+AD39+AD40+AD41</f>
        <v/>
      </c>
      <c r="AE42" s="28">
        <f>AE33+AE34+AE35+AE36+AE37+AE38+AE39+AE40+AE41</f>
        <v/>
      </c>
      <c r="AF42" s="28">
        <f>AF33+AF34+AF35+AF36+AF37+AF38+AF39+AF40+AF41</f>
        <v/>
      </c>
      <c r="AG42" s="28">
        <f>AG33+AG34+AG35+AG36+AG37+AG38+AG39+AG40+AG41</f>
        <v/>
      </c>
      <c r="AH42" s="28">
        <f>AH33+AH34+AH35+AH36+AH37+AH38+AH39+AH40+AH41</f>
        <v/>
      </c>
      <c r="AI42" s="28">
        <f>AI33+AI34+AI35+AI36+AI37+AI38+AI39+AI40+AI41</f>
        <v/>
      </c>
      <c r="AJ42" s="28">
        <f>AJ33+AJ34+AJ35+AJ36+AJ37+AJ38+AJ39+AJ40+AJ41</f>
        <v/>
      </c>
      <c r="AK42" s="11">
        <f>IF(N42&lt;&gt;0,(AB42-N42)/ABS(N42),0)</f>
        <v/>
      </c>
      <c r="AL42" s="11">
        <f>IF(AB42&lt;&gt;0,(AJ42-AB42)/ABS(AB42),0)</f>
        <v/>
      </c>
    </row>
    <row r="43" ht="5" customHeight="1"/>
    <row r="44" ht="13" customHeight="1">
      <c r="A44" s="29" t="inlineStr">
        <is>
          <t>Total Direct Costs</t>
        </is>
      </c>
      <c r="AK44" s="11">
        <f>IF(N44&lt;&gt;0,(AB44-N44)/ABS(N44),0)</f>
        <v/>
      </c>
      <c r="AL44" s="11">
        <f>IF(AB44&lt;&gt;0,(AJ44-AB44)/ABS(AB44),0)</f>
        <v/>
      </c>
    </row>
    <row r="45" ht="5" customHeight="1"/>
    <row r="46" ht="15" customHeight="1">
      <c r="A46" s="30" t="inlineStr">
        <is>
          <t>CONTRIBUTION</t>
        </is>
      </c>
      <c r="B46" s="31">
        <f>B7-B44</f>
        <v/>
      </c>
      <c r="C46" s="31">
        <f>C7-C44</f>
        <v/>
      </c>
      <c r="D46" s="31">
        <f>D7-D44</f>
        <v/>
      </c>
      <c r="E46" s="31">
        <f>E7-E44</f>
        <v/>
      </c>
      <c r="F46" s="31">
        <f>F7-F44</f>
        <v/>
      </c>
      <c r="G46" s="31">
        <f>G7-G44</f>
        <v/>
      </c>
      <c r="H46" s="31">
        <f>H7-H44</f>
        <v/>
      </c>
      <c r="I46" s="31">
        <f>I7-I44</f>
        <v/>
      </c>
      <c r="J46" s="31">
        <f>J7-J44</f>
        <v/>
      </c>
      <c r="K46" s="31">
        <f>K7-K44</f>
        <v/>
      </c>
      <c r="L46" s="31">
        <f>L7-L44</f>
        <v/>
      </c>
      <c r="M46" s="31">
        <f>M7-M44</f>
        <v/>
      </c>
      <c r="N46" s="31">
        <f>N7-N44</f>
        <v/>
      </c>
      <c r="O46" s="31">
        <f>O7-O44</f>
        <v/>
      </c>
      <c r="P46" s="31">
        <f>P7-P44</f>
        <v/>
      </c>
      <c r="Q46" s="31">
        <f>Q7-Q44</f>
        <v/>
      </c>
      <c r="R46" s="31">
        <f>R7-R44</f>
        <v/>
      </c>
      <c r="S46" s="31">
        <f>S7-S44</f>
        <v/>
      </c>
      <c r="T46" s="31">
        <f>T7-T44</f>
        <v/>
      </c>
      <c r="U46" s="31">
        <f>U7-U44</f>
        <v/>
      </c>
      <c r="V46" s="31">
        <f>V7-V44</f>
        <v/>
      </c>
      <c r="W46" s="31">
        <f>W7-W44</f>
        <v/>
      </c>
      <c r="X46" s="31">
        <f>X7-X44</f>
        <v/>
      </c>
      <c r="Y46" s="31">
        <f>Y7-Y44</f>
        <v/>
      </c>
      <c r="Z46" s="31">
        <f>Z7-Z44</f>
        <v/>
      </c>
      <c r="AA46" s="31">
        <f>AA7-AA44</f>
        <v/>
      </c>
      <c r="AB46" s="31">
        <f>AB7-AB44</f>
        <v/>
      </c>
      <c r="AC46" s="31">
        <f>AC7-AC44</f>
        <v/>
      </c>
      <c r="AD46" s="31">
        <f>AD7-AD44</f>
        <v/>
      </c>
      <c r="AE46" s="31">
        <f>AE7-AE44</f>
        <v/>
      </c>
      <c r="AF46" s="31">
        <f>AF7-AF44</f>
        <v/>
      </c>
      <c r="AG46" s="31">
        <f>AG7-AG44</f>
        <v/>
      </c>
      <c r="AH46" s="31">
        <f>AH7-AH44</f>
        <v/>
      </c>
      <c r="AI46" s="31">
        <f>AI7-AI44</f>
        <v/>
      </c>
      <c r="AJ46" s="31">
        <f>AJ7-AJ44</f>
        <v/>
      </c>
      <c r="AK46" s="11">
        <f>IF(N46&lt;&gt;0,(AB46-N46)/ABS(N46),0)</f>
        <v/>
      </c>
      <c r="AL46" s="11">
        <f>IF(AB46&lt;&gt;0,(AJ46-AB46)/ABS(AB46),0)</f>
        <v/>
      </c>
    </row>
  </sheetData>
  <mergeCells count="8">
    <mergeCell ref="A10:AL10"/>
    <mergeCell ref="B1:N1"/>
    <mergeCell ref="A23:AL23"/>
    <mergeCell ref="A32:AL32"/>
    <mergeCell ref="AC1:AJ1"/>
    <mergeCell ref="A9:AL9"/>
    <mergeCell ref="A3:AL3"/>
    <mergeCell ref="O1:AB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L4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9.5" customWidth="1" min="27" max="27"/>
    <col width="9.5" customWidth="1" min="28" max="28"/>
    <col width="9.5" customWidth="1" min="29" max="29"/>
    <col width="9.5" customWidth="1" min="30" max="30"/>
    <col width="9.5" customWidth="1" min="31" max="31"/>
    <col width="9.5" customWidth="1" min="32" max="32"/>
    <col width="9.5" customWidth="1" min="33" max="33"/>
    <col width="9.5" customWidth="1" min="34" max="34"/>
    <col width="9.5" customWidth="1" min="35" max="35"/>
    <col width="11" customWidth="1" min="36" max="36"/>
    <col width="10" customWidth="1" min="37" max="37"/>
    <col width="10" customWidth="1" min="38" max="38"/>
  </cols>
  <sheetData>
    <row r="1" ht="18" customHeight="1">
      <c r="A1" s="1" t="inlineStr">
        <is>
          <t>Merrydale</t>
        </is>
      </c>
      <c r="B1" s="2" t="inlineStr">
        <is>
          <t>Actuals 2025</t>
        </is>
      </c>
      <c r="O1" s="2" t="inlineStr">
        <is>
          <t>2026 Actual / Forecast</t>
        </is>
      </c>
      <c r="AC1" s="32" t="inlineStr">
        <is>
          <t>2027 Plan</t>
        </is>
      </c>
      <c r="AK1" s="3" t="inlineStr">
        <is>
          <t>YoY</t>
        </is>
      </c>
      <c r="AL1" s="3" t="inlineStr">
        <is>
          <t>YoY</t>
        </is>
      </c>
    </row>
    <row r="2" ht="22" customHeight="1">
      <c r="B2" s="4" t="inlineStr">
        <is>
          <t>Jan</t>
        </is>
      </c>
      <c r="C2" s="4" t="inlineStr">
        <is>
          <t>Feb</t>
        </is>
      </c>
      <c r="D2" s="4" t="inlineStr">
        <is>
          <t>Mar</t>
        </is>
      </c>
      <c r="E2" s="4" t="inlineStr">
        <is>
          <t>Apr</t>
        </is>
      </c>
      <c r="F2" s="4" t="inlineStr">
        <is>
          <t>May</t>
        </is>
      </c>
      <c r="G2" s="4" t="inlineStr">
        <is>
          <t>Jun</t>
        </is>
      </c>
      <c r="H2" s="4" t="inlineStr">
        <is>
          <t>Jul</t>
        </is>
      </c>
      <c r="I2" s="4" t="inlineStr">
        <is>
          <t>Aug</t>
        </is>
      </c>
      <c r="J2" s="4" t="inlineStr">
        <is>
          <t>Sep</t>
        </is>
      </c>
      <c r="K2" s="4" t="inlineStr">
        <is>
          <t>Oct</t>
        </is>
      </c>
      <c r="L2" s="4" t="inlineStr">
        <is>
          <t>Nov</t>
        </is>
      </c>
      <c r="M2" s="4" t="inlineStr">
        <is>
          <t>Dec</t>
        </is>
      </c>
      <c r="N2" s="5" t="inlineStr">
        <is>
          <t>FY2025
Total</t>
        </is>
      </c>
      <c r="O2" s="4" t="inlineStr">
        <is>
          <t>Jan</t>
        </is>
      </c>
      <c r="P2" s="4" t="inlineStr">
        <is>
          <t>Feb</t>
        </is>
      </c>
      <c r="Q2" s="4" t="inlineStr">
        <is>
          <t>Mar</t>
        </is>
      </c>
      <c r="R2" s="4" t="inlineStr">
        <is>
          <t>Apr</t>
        </is>
      </c>
      <c r="S2" s="4" t="inlineStr">
        <is>
          <t>May</t>
        </is>
      </c>
      <c r="T2" s="4" t="inlineStr">
        <is>
          <t>Jun</t>
        </is>
      </c>
      <c r="U2" s="4" t="inlineStr">
        <is>
          <t>Jul</t>
        </is>
      </c>
      <c r="V2" s="4" t="inlineStr">
        <is>
          <t>Aug</t>
        </is>
      </c>
      <c r="W2" s="4" t="inlineStr">
        <is>
          <t>Sep</t>
        </is>
      </c>
      <c r="X2" s="4" t="inlineStr">
        <is>
          <t>Oct</t>
        </is>
      </c>
      <c r="Y2" s="4" t="inlineStr">
        <is>
          <t>Nov</t>
        </is>
      </c>
      <c r="Z2" s="4" t="inlineStr">
        <is>
          <t>Dec</t>
        </is>
      </c>
      <c r="AA2" s="4" t="inlineStr">
        <is>
          <t>YTD</t>
        </is>
      </c>
      <c r="AB2" s="5" t="inlineStr">
        <is>
          <t>FY2026
Outlook</t>
        </is>
      </c>
      <c r="AC2" s="4" t="inlineStr">
        <is>
          <t>Jan</t>
        </is>
      </c>
      <c r="AD2" s="4" t="inlineStr">
        <is>
          <t>Feb</t>
        </is>
      </c>
      <c r="AE2" s="4" t="inlineStr">
        <is>
          <t>Mar</t>
        </is>
      </c>
      <c r="AF2" s="4" t="inlineStr">
        <is>
          <t>Apr</t>
        </is>
      </c>
      <c r="AG2" s="4" t="inlineStr">
        <is>
          <t>May</t>
        </is>
      </c>
      <c r="AH2" s="4" t="inlineStr">
        <is>
          <t>Jun</t>
        </is>
      </c>
      <c r="AI2" s="33" t="inlineStr">
        <is>
          <t>Jul-Dec
Plan</t>
        </is>
      </c>
      <c r="AJ2" s="4" t="inlineStr">
        <is>
          <t>FY2027</t>
        </is>
      </c>
      <c r="AK2" s="6" t="inlineStr">
        <is>
          <t>25→26
%</t>
        </is>
      </c>
      <c r="AL2" s="6" t="inlineStr">
        <is>
          <t>26→27
%</t>
        </is>
      </c>
    </row>
    <row r="3" ht="15" customHeight="1">
      <c r="A3" s="7" t="inlineStr">
        <is>
          <t>INCOME</t>
        </is>
      </c>
    </row>
    <row r="4" ht="13" customHeight="1">
      <c r="A4" s="8" t="inlineStr">
        <is>
          <t xml:space="preserve">    Fee Income Regular</t>
        </is>
      </c>
      <c r="B4" s="9" t="n">
        <v>71748.46000000001</v>
      </c>
      <c r="C4" s="9" t="n">
        <v>62355.58</v>
      </c>
      <c r="D4" s="9" t="n">
        <v>73377.48</v>
      </c>
      <c r="E4" s="9" t="n">
        <v>84905.42</v>
      </c>
      <c r="F4" s="9" t="n">
        <v>78933.88</v>
      </c>
      <c r="G4" s="9" t="n">
        <v>76038.8</v>
      </c>
      <c r="H4" s="9" t="n">
        <v>94722.25999999999</v>
      </c>
      <c r="I4" s="9" t="n">
        <v>81393.89</v>
      </c>
      <c r="J4" s="9" t="n">
        <v>67283.53999999999</v>
      </c>
      <c r="K4" s="9" t="n">
        <v>63773.81</v>
      </c>
      <c r="L4" s="9" t="n">
        <v>55368.1</v>
      </c>
      <c r="M4" s="9" t="n">
        <v>74284.68999999999</v>
      </c>
      <c r="N4" s="9">
        <f>SUM(B4:M4)</f>
        <v/>
      </c>
      <c r="O4" s="9" t="n">
        <v>58533.16</v>
      </c>
      <c r="P4" s="9" t="n">
        <v>52500.16</v>
      </c>
      <c r="Q4" s="9" t="n">
        <v>60298.97000000001</v>
      </c>
      <c r="R4" s="9" t="n">
        <v>61812.59999999999</v>
      </c>
      <c r="S4" s="9" t="n">
        <v>52015.74000000001</v>
      </c>
      <c r="T4" s="9" t="n">
        <v>55797.24</v>
      </c>
      <c r="U4" s="9" t="n">
        <v>74838.92999999999</v>
      </c>
      <c r="AA4" s="9">
        <f>SUM(O4:U4)</f>
        <v/>
      </c>
      <c r="AB4" s="9">
        <f>SUM(O4:Z4)</f>
        <v/>
      </c>
      <c r="AC4" s="9" t="n">
        <v>79907.42999999999</v>
      </c>
      <c r="AD4" s="9" t="n">
        <v>74377.98</v>
      </c>
      <c r="AE4" s="9" t="n">
        <v>90136.03999999999</v>
      </c>
      <c r="AF4" s="9" t="n">
        <v>81715.39</v>
      </c>
      <c r="AG4" s="9" t="n">
        <v>85494.06</v>
      </c>
      <c r="AH4" s="9" t="n">
        <v>91076.72</v>
      </c>
      <c r="AI4" s="34">
        <f>SUM(AC4:AH4)</f>
        <v/>
      </c>
      <c r="AJ4" s="9">
        <f>SUM(AC4:AH4)+AI4</f>
        <v/>
      </c>
      <c r="AK4" s="11">
        <f>IF(N4&lt;&gt;0,(AB4-N4)/ABS(N4),0)</f>
        <v/>
      </c>
      <c r="AL4" s="11">
        <f>IF(AB4&lt;&gt;0,(AJ4-AB4)/ABS(AB4),0)</f>
        <v/>
      </c>
    </row>
    <row r="5" ht="13" customHeight="1">
      <c r="A5" s="8" t="inlineStr">
        <is>
          <t xml:space="preserve">    EEEF Embedded</t>
        </is>
      </c>
      <c r="B5" s="9" t="n">
        <v>27056.38</v>
      </c>
      <c r="C5" s="9" t="n">
        <v>27056.38</v>
      </c>
      <c r="D5" s="9" t="n">
        <v>27641.21</v>
      </c>
      <c r="E5" s="9" t="n">
        <v>20062.71</v>
      </c>
      <c r="F5" s="9" t="n">
        <v>20062.71</v>
      </c>
      <c r="G5" s="9" t="n">
        <v>20062.71</v>
      </c>
      <c r="H5" s="9" t="n">
        <v>53755.95</v>
      </c>
      <c r="I5" s="9" t="n">
        <v>0</v>
      </c>
      <c r="J5" s="9" t="n">
        <v>24868.19</v>
      </c>
      <c r="K5" s="9" t="n">
        <v>24868.19</v>
      </c>
      <c r="L5" s="9" t="n">
        <v>53954.23</v>
      </c>
      <c r="M5" s="9" t="n">
        <v>54512.01</v>
      </c>
      <c r="N5" s="9">
        <f>SUM(B5:M5)</f>
        <v/>
      </c>
      <c r="O5" s="9" t="n">
        <v>38841.31</v>
      </c>
      <c r="P5" s="9" t="n">
        <v>38841.31</v>
      </c>
      <c r="Q5" s="9" t="n">
        <v>40377.93</v>
      </c>
      <c r="R5" s="9" t="n">
        <v>32949.32</v>
      </c>
      <c r="S5" s="9" t="n">
        <v>32949.32</v>
      </c>
      <c r="T5" s="9" t="n">
        <v>33336.41</v>
      </c>
      <c r="U5" s="9" t="n">
        <v>33078.35</v>
      </c>
      <c r="AA5" s="9">
        <f>SUM(O5:U5)</f>
        <v/>
      </c>
      <c r="AB5" s="9">
        <f>SUM(O5:Z5)</f>
        <v/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34">
        <f>SUM(AC5:AH5)</f>
        <v/>
      </c>
      <c r="AJ5" s="9">
        <f>SUM(AC5:AH5)+AI5</f>
        <v/>
      </c>
      <c r="AK5" s="11">
        <f>IF(N5&lt;&gt;0,(AB5-N5)/ABS(N5),0)</f>
        <v/>
      </c>
      <c r="AL5" s="11">
        <f>IF(AB5&lt;&gt;0,(AJ5-AB5)/ABS(AB5),0)</f>
        <v/>
      </c>
    </row>
    <row r="6" ht="13" customHeight="1">
      <c r="A6" s="8" t="inlineStr">
        <is>
          <t xml:space="preserve">    Other Income</t>
        </is>
      </c>
      <c r="B6" s="9" t="n">
        <v>250</v>
      </c>
      <c r="C6" s="9" t="n">
        <v>150</v>
      </c>
      <c r="D6" s="9" t="n">
        <v>400</v>
      </c>
      <c r="E6" s="9" t="n">
        <v>559.14</v>
      </c>
      <c r="F6" s="9" t="n">
        <v>300</v>
      </c>
      <c r="G6" s="9" t="n">
        <v>300</v>
      </c>
      <c r="H6" s="9" t="n">
        <v>150</v>
      </c>
      <c r="I6" s="9" t="n">
        <v>5287.55</v>
      </c>
      <c r="J6" s="9" t="n">
        <v>150</v>
      </c>
      <c r="K6" s="9" t="n">
        <v>150</v>
      </c>
      <c r="L6" s="9" t="n">
        <v>0</v>
      </c>
      <c r="M6" s="9" t="n">
        <v>300</v>
      </c>
      <c r="N6" s="9">
        <f>SUM(B6:M6)</f>
        <v/>
      </c>
      <c r="O6" s="9" t="n">
        <v>150</v>
      </c>
      <c r="P6" s="9" t="n">
        <v>0</v>
      </c>
      <c r="Q6" s="9" t="n">
        <v>300</v>
      </c>
      <c r="R6" s="9" t="n">
        <v>150</v>
      </c>
      <c r="S6" s="9" t="n">
        <v>0</v>
      </c>
      <c r="T6" s="9" t="n">
        <v>300</v>
      </c>
      <c r="U6" s="9" t="n">
        <v>150</v>
      </c>
      <c r="AA6" s="9">
        <f>SUM(O6:U6)</f>
        <v/>
      </c>
      <c r="AB6" s="9">
        <f>SUM(O6:Z6)</f>
        <v/>
      </c>
      <c r="AC6" s="9" t="n">
        <v>0</v>
      </c>
      <c r="AD6" s="9" t="n">
        <v>0</v>
      </c>
      <c r="AE6" s="9" t="n">
        <v>0</v>
      </c>
      <c r="AF6" s="9" t="n">
        <v>0</v>
      </c>
      <c r="AG6" s="9" t="n">
        <v>0</v>
      </c>
      <c r="AH6" s="9" t="n">
        <v>0</v>
      </c>
      <c r="AI6" s="34">
        <f>SUM(AC6:AH6)</f>
        <v/>
      </c>
      <c r="AJ6" s="9">
        <f>SUM(AC6:AH6)+AI6</f>
        <v/>
      </c>
      <c r="AK6" s="11">
        <f>IF(N6&lt;&gt;0,(AB6-N6)/ABS(N6),0)</f>
        <v/>
      </c>
      <c r="AL6" s="11">
        <f>IF(AB6&lt;&gt;0,(AJ6-AB6)/ABS(AB6),0)</f>
        <v/>
      </c>
    </row>
    <row r="7" ht="13" customHeight="1">
      <c r="A7" s="12" t="inlineStr">
        <is>
          <t>Total Income</t>
        </is>
      </c>
      <c r="B7" s="13">
        <f>B4+B5+B6</f>
        <v/>
      </c>
      <c r="C7" s="13">
        <f>C4+C5+C6</f>
        <v/>
      </c>
      <c r="D7" s="13">
        <f>D4+D5+D6</f>
        <v/>
      </c>
      <c r="E7" s="13">
        <f>E4+E5+E6</f>
        <v/>
      </c>
      <c r="F7" s="13">
        <f>F4+F5+F6</f>
        <v/>
      </c>
      <c r="G7" s="13">
        <f>G4+G5+G6</f>
        <v/>
      </c>
      <c r="H7" s="13">
        <f>H4+H5+H6</f>
        <v/>
      </c>
      <c r="I7" s="13">
        <f>I4+I5+I6</f>
        <v/>
      </c>
      <c r="J7" s="13">
        <f>J4+J5+J6</f>
        <v/>
      </c>
      <c r="K7" s="13">
        <f>K4+K5+K6</f>
        <v/>
      </c>
      <c r="L7" s="13">
        <f>L4+L5+L6</f>
        <v/>
      </c>
      <c r="M7" s="13">
        <f>M4+M5+M6</f>
        <v/>
      </c>
      <c r="N7" s="13">
        <f>N4+N5+N6</f>
        <v/>
      </c>
      <c r="O7" s="13">
        <f>O4+O5+O6</f>
        <v/>
      </c>
      <c r="P7" s="13">
        <f>P4+P5+P6</f>
        <v/>
      </c>
      <c r="Q7" s="13">
        <f>Q4+Q5+Q6</f>
        <v/>
      </c>
      <c r="R7" s="13">
        <f>R4+R5+R6</f>
        <v/>
      </c>
      <c r="S7" s="13">
        <f>S4+S5+S6</f>
        <v/>
      </c>
      <c r="T7" s="13">
        <f>T4+T5+T6</f>
        <v/>
      </c>
      <c r="U7" s="13">
        <f>U4+U5+U6</f>
        <v/>
      </c>
      <c r="V7" s="13">
        <f>V4+V5+V6</f>
        <v/>
      </c>
      <c r="W7" s="13">
        <f>W4+W5+W6</f>
        <v/>
      </c>
      <c r="X7" s="13">
        <f>X4+X5+X6</f>
        <v/>
      </c>
      <c r="Y7" s="13">
        <f>Y4+Y5+Y6</f>
        <v/>
      </c>
      <c r="Z7" s="13">
        <f>Z4+Z5+Z6</f>
        <v/>
      </c>
      <c r="AA7" s="13">
        <f>AA4+AA5+AA6</f>
        <v/>
      </c>
      <c r="AB7" s="13">
        <f>AB4+AB5+AB6</f>
        <v/>
      </c>
      <c r="AC7" s="13">
        <f>AC4+AC5+AC6</f>
        <v/>
      </c>
      <c r="AD7" s="13">
        <f>AD4+AD5+AD6</f>
        <v/>
      </c>
      <c r="AE7" s="13">
        <f>AE4+AE5+AE6</f>
        <v/>
      </c>
      <c r="AF7" s="13">
        <f>AF4+AF5+AF6</f>
        <v/>
      </c>
      <c r="AG7" s="13">
        <f>AG4+AG5+AG6</f>
        <v/>
      </c>
      <c r="AH7" s="13">
        <f>AH4+AH5+AH6</f>
        <v/>
      </c>
      <c r="AI7" s="13">
        <f>AI4+AI5+AI6</f>
        <v/>
      </c>
      <c r="AJ7" s="13">
        <f>AJ4+AJ5+AJ6</f>
        <v/>
      </c>
      <c r="AK7" s="11">
        <f>IF(N7&lt;&gt;0,(AB7-N7)/ABS(N7),0)</f>
        <v/>
      </c>
      <c r="AL7" s="11">
        <f>IF(AB7&lt;&gt;0,(AJ7-AB7)/ABS(AB7),0)</f>
        <v/>
      </c>
    </row>
    <row r="8" ht="5" customHeight="1"/>
    <row r="9" ht="15" customHeight="1">
      <c r="A9" s="7" t="inlineStr">
        <is>
          <t>DIRECT COSTS</t>
        </is>
      </c>
    </row>
    <row r="10" ht="13" customHeight="1">
      <c r="A10" s="14" t="inlineStr">
        <is>
          <t>Personnel</t>
        </is>
      </c>
    </row>
    <row r="11" ht="13" customHeight="1">
      <c r="A11" s="15" t="inlineStr">
        <is>
          <t xml:space="preserve">    Nursery Salaries</t>
        </is>
      </c>
      <c r="B11" s="16" t="n">
        <v>31604.86</v>
      </c>
      <c r="C11" s="16" t="n">
        <v>32120.62</v>
      </c>
      <c r="D11" s="16" t="n">
        <v>33783.29</v>
      </c>
      <c r="E11" s="16" t="n">
        <v>39088.61</v>
      </c>
      <c r="F11" s="16" t="n">
        <v>35853.61</v>
      </c>
      <c r="G11" s="16" t="n">
        <v>32713.57</v>
      </c>
      <c r="H11" s="16" t="n">
        <v>38084.64</v>
      </c>
      <c r="I11" s="16" t="n">
        <v>39688.59</v>
      </c>
      <c r="J11" s="16" t="n">
        <v>39229.98</v>
      </c>
      <c r="K11" s="16" t="n">
        <v>38640.36</v>
      </c>
      <c r="L11" s="16" t="n">
        <v>31254.13</v>
      </c>
      <c r="M11" s="16" t="n">
        <v>33683.63</v>
      </c>
      <c r="N11" s="16">
        <f>SUM(B11:M11)</f>
        <v/>
      </c>
      <c r="O11" s="16" t="n">
        <v>31828.8</v>
      </c>
      <c r="P11" s="16" t="n">
        <v>33935.64</v>
      </c>
      <c r="Q11" s="16" t="n">
        <v>36037.77</v>
      </c>
      <c r="R11" s="16" t="n">
        <v>34623.48</v>
      </c>
      <c r="S11" s="16" t="n">
        <v>37995.21</v>
      </c>
      <c r="T11" s="16" t="n">
        <v>37118.77</v>
      </c>
      <c r="U11" s="16" t="n">
        <v>38831.14</v>
      </c>
      <c r="AA11" s="16">
        <f>SUM(O11:U11)</f>
        <v/>
      </c>
      <c r="AB11" s="16">
        <f>SUM(O11:Z11)</f>
        <v/>
      </c>
      <c r="AC11" s="16" t="n">
        <v>38831.14</v>
      </c>
      <c r="AD11" s="16" t="n">
        <v>38831.14</v>
      </c>
      <c r="AE11" s="16" t="n">
        <v>38831.14</v>
      </c>
      <c r="AF11" s="16" t="n">
        <v>38831.14</v>
      </c>
      <c r="AG11" s="16" t="n">
        <v>38831.14</v>
      </c>
      <c r="AH11" s="16" t="n">
        <v>38831.14</v>
      </c>
      <c r="AI11" s="34">
        <f>SUM(AC11:AH11)</f>
        <v/>
      </c>
      <c r="AJ11" s="16">
        <f>SUM(AC11:AH11)+AI11</f>
        <v/>
      </c>
      <c r="AK11" s="11">
        <f>IF(N11&lt;&gt;0,(AB11-N11)/ABS(N11),0)</f>
        <v/>
      </c>
      <c r="AL11" s="11">
        <f>IF(AB11&lt;&gt;0,(AJ11-AB11)/ABS(AB11),0)</f>
        <v/>
      </c>
    </row>
    <row r="12" ht="13" customHeight="1">
      <c r="A12" s="15" t="inlineStr">
        <is>
          <t xml:space="preserve">    Nursery NI</t>
        </is>
      </c>
      <c r="B12" s="16" t="n">
        <v>2507.7</v>
      </c>
      <c r="C12" s="16" t="n">
        <v>2502.98</v>
      </c>
      <c r="D12" s="16" t="n">
        <v>2767.29</v>
      </c>
      <c r="E12" s="16" t="n">
        <v>4489.64</v>
      </c>
      <c r="F12" s="16" t="n">
        <v>3897.7</v>
      </c>
      <c r="G12" s="16" t="n">
        <v>3435.72</v>
      </c>
      <c r="H12" s="16" t="n">
        <v>3882.52</v>
      </c>
      <c r="I12" s="16" t="n">
        <v>3661.25</v>
      </c>
      <c r="J12" s="16" t="n">
        <v>3574.09</v>
      </c>
      <c r="K12" s="16" t="n">
        <v>3581.38</v>
      </c>
      <c r="L12" s="16" t="n">
        <v>2779.53</v>
      </c>
      <c r="M12" s="16" t="n">
        <v>3180.07</v>
      </c>
      <c r="N12" s="16">
        <f>SUM(B12:M12)</f>
        <v/>
      </c>
      <c r="O12" s="16" t="n">
        <v>2814.7</v>
      </c>
      <c r="P12" s="16" t="n">
        <v>2809.23</v>
      </c>
      <c r="Q12" s="16" t="n">
        <v>3029.45</v>
      </c>
      <c r="R12" s="16" t="n">
        <v>2929.49</v>
      </c>
      <c r="S12" s="16" t="n">
        <v>3346.09</v>
      </c>
      <c r="T12" s="16" t="n">
        <v>3339.3</v>
      </c>
      <c r="U12" s="16" t="n">
        <v>3476.28</v>
      </c>
      <c r="AA12" s="16">
        <f>SUM(O12:U12)</f>
        <v/>
      </c>
      <c r="AB12" s="16">
        <f>SUM(O12:Z12)</f>
        <v/>
      </c>
      <c r="AC12" s="16" t="n">
        <v>3476.28</v>
      </c>
      <c r="AD12" s="16" t="n">
        <v>3476.28</v>
      </c>
      <c r="AE12" s="16" t="n">
        <v>3476.28</v>
      </c>
      <c r="AF12" s="16" t="n">
        <v>3476.28</v>
      </c>
      <c r="AG12" s="16" t="n">
        <v>3476.28</v>
      </c>
      <c r="AH12" s="16" t="n">
        <v>3476.28</v>
      </c>
      <c r="AI12" s="34">
        <f>SUM(AC12:AH12)</f>
        <v/>
      </c>
      <c r="AJ12" s="16">
        <f>SUM(AC12:AH12)+AI12</f>
        <v/>
      </c>
      <c r="AK12" s="11">
        <f>IF(N12&lt;&gt;0,(AB12-N12)/ABS(N12),0)</f>
        <v/>
      </c>
      <c r="AL12" s="11">
        <f>IF(AB12&lt;&gt;0,(AJ12-AB12)/ABS(AB12),0)</f>
        <v/>
      </c>
    </row>
    <row r="13" ht="13" customHeight="1">
      <c r="A13" s="15" t="inlineStr">
        <is>
          <t xml:space="preserve">    Nursery Pension</t>
        </is>
      </c>
      <c r="B13" s="16" t="n">
        <v>578.26</v>
      </c>
      <c r="C13" s="16" t="n">
        <v>576.6</v>
      </c>
      <c r="D13" s="16" t="n">
        <v>553.41</v>
      </c>
      <c r="E13" s="16" t="n">
        <v>642.37</v>
      </c>
      <c r="F13" s="16" t="n">
        <v>614.2</v>
      </c>
      <c r="G13" s="16" t="n">
        <v>527.5599999999999</v>
      </c>
      <c r="H13" s="16" t="n">
        <v>611.47</v>
      </c>
      <c r="I13" s="16" t="n">
        <v>558.66</v>
      </c>
      <c r="J13" s="16" t="n">
        <v>482.76</v>
      </c>
      <c r="K13" s="16" t="n">
        <v>259.94</v>
      </c>
      <c r="L13" s="16" t="n">
        <v>246.15</v>
      </c>
      <c r="M13" s="16" t="n">
        <v>444.9</v>
      </c>
      <c r="N13" s="16">
        <f>SUM(B13:M13)</f>
        <v/>
      </c>
      <c r="O13" s="16" t="n">
        <v>382.29</v>
      </c>
      <c r="P13" s="16" t="n">
        <v>365.94</v>
      </c>
      <c r="Q13" s="16" t="n">
        <v>332.41</v>
      </c>
      <c r="R13" s="16" t="n">
        <v>422.05</v>
      </c>
      <c r="S13" s="16" t="n">
        <v>453.76</v>
      </c>
      <c r="T13" s="16" t="n">
        <v>473.26</v>
      </c>
      <c r="U13" s="16" t="n">
        <v>523.85</v>
      </c>
      <c r="AA13" s="16">
        <f>SUM(O13:U13)</f>
        <v/>
      </c>
      <c r="AB13" s="16">
        <f>SUM(O13:Z13)</f>
        <v/>
      </c>
      <c r="AC13" s="16" t="n">
        <v>523.85</v>
      </c>
      <c r="AD13" s="16" t="n">
        <v>523.85</v>
      </c>
      <c r="AE13" s="16" t="n">
        <v>523.85</v>
      </c>
      <c r="AF13" s="16" t="n">
        <v>523.85</v>
      </c>
      <c r="AG13" s="16" t="n">
        <v>523.85</v>
      </c>
      <c r="AH13" s="16" t="n">
        <v>523.85</v>
      </c>
      <c r="AI13" s="34">
        <f>SUM(AC13:AH13)</f>
        <v/>
      </c>
      <c r="AJ13" s="16">
        <f>SUM(AC13:AH13)+AI13</f>
        <v/>
      </c>
      <c r="AK13" s="11">
        <f>IF(N13&lt;&gt;0,(AB13-N13)/ABS(N13),0)</f>
        <v/>
      </c>
      <c r="AL13" s="11">
        <f>IF(AB13&lt;&gt;0,(AJ13-AB13)/ABS(AB13),0)</f>
        <v/>
      </c>
    </row>
    <row r="14" ht="13" customHeight="1">
      <c r="A14" s="15" t="inlineStr">
        <is>
          <t xml:space="preserve">    Uniform</t>
        </is>
      </c>
      <c r="B14" s="16" t="n">
        <v>108.42</v>
      </c>
      <c r="C14" s="16" t="n">
        <v>232.56</v>
      </c>
      <c r="D14" s="16" t="n">
        <v>0</v>
      </c>
      <c r="E14" s="16" t="n">
        <v>98.81999999999999</v>
      </c>
      <c r="F14" s="16" t="n">
        <v>126.27</v>
      </c>
      <c r="G14" s="16" t="n">
        <v>106.73</v>
      </c>
      <c r="H14" s="16" t="n">
        <v>101.82</v>
      </c>
      <c r="I14" s="16" t="n">
        <v>0</v>
      </c>
      <c r="J14" s="16" t="n">
        <v>119.88</v>
      </c>
      <c r="K14" s="16" t="n">
        <v>408.72</v>
      </c>
      <c r="L14" s="16" t="n">
        <v>115.32</v>
      </c>
      <c r="M14" s="16" t="n">
        <v>114.6</v>
      </c>
      <c r="N14" s="16">
        <f>SUM(B14:M14)</f>
        <v/>
      </c>
      <c r="O14" s="16" t="n">
        <v>0</v>
      </c>
      <c r="P14" s="16" t="n">
        <v>148.85</v>
      </c>
      <c r="Q14" s="16" t="n">
        <v>239.4</v>
      </c>
      <c r="R14" s="16" t="n">
        <v>133.86</v>
      </c>
      <c r="S14" s="16" t="n">
        <v>0</v>
      </c>
      <c r="T14" s="16" t="n">
        <v>133.8</v>
      </c>
      <c r="U14" s="16" t="n">
        <v>34.7</v>
      </c>
      <c r="AA14" s="16">
        <f>SUM(O14:U14)</f>
        <v/>
      </c>
      <c r="AB14" s="16">
        <f>SUM(O14:Z14)</f>
        <v/>
      </c>
      <c r="AC14" s="16" t="n">
        <v>88</v>
      </c>
      <c r="AD14" s="16" t="n">
        <v>88</v>
      </c>
      <c r="AE14" s="16" t="n">
        <v>88</v>
      </c>
      <c r="AF14" s="16" t="n">
        <v>88</v>
      </c>
      <c r="AG14" s="16" t="n">
        <v>88</v>
      </c>
      <c r="AH14" s="16" t="n">
        <v>88</v>
      </c>
      <c r="AI14" s="34">
        <f>SUM(AC14:AH14)</f>
        <v/>
      </c>
      <c r="AJ14" s="16">
        <f>SUM(AC14:AH14)+AI14</f>
        <v/>
      </c>
      <c r="AK14" s="11">
        <f>IF(N14&lt;&gt;0,(AB14-N14)/ABS(N14),0)</f>
        <v/>
      </c>
      <c r="AL14" s="11">
        <f>IF(AB14&lt;&gt;0,(AJ14-AB14)/ABS(AB14),0)</f>
        <v/>
      </c>
    </row>
    <row r="15" ht="13" customHeight="1">
      <c r="A15" s="15" t="inlineStr">
        <is>
          <t xml:space="preserve">    Training</t>
        </is>
      </c>
      <c r="B15" s="16" t="n">
        <v>68.22</v>
      </c>
      <c r="C15" s="16" t="n">
        <v>50</v>
      </c>
      <c r="D15" s="16" t="n">
        <v>0</v>
      </c>
      <c r="E15" s="16" t="n">
        <v>0</v>
      </c>
      <c r="F15" s="16" t="n">
        <v>31.2</v>
      </c>
      <c r="G15" s="16" t="n">
        <v>11.35</v>
      </c>
      <c r="H15" s="16" t="n">
        <v>37.2</v>
      </c>
      <c r="I15" s="16" t="n">
        <v>0</v>
      </c>
      <c r="J15" s="16" t="n">
        <v>114</v>
      </c>
      <c r="K15" s="16" t="n">
        <v>0</v>
      </c>
      <c r="L15" s="16" t="n">
        <v>114</v>
      </c>
      <c r="M15" s="16" t="n">
        <v>-11.28999999999996</v>
      </c>
      <c r="N15" s="16">
        <f>SUM(B15:M15)</f>
        <v/>
      </c>
      <c r="O15" s="16" t="n">
        <v>150</v>
      </c>
      <c r="P15" s="16" t="n">
        <v>0</v>
      </c>
      <c r="Q15" s="16" t="n">
        <v>0</v>
      </c>
      <c r="R15" s="16" t="n">
        <v>750</v>
      </c>
      <c r="S15" s="16" t="n">
        <v>0</v>
      </c>
      <c r="T15" s="16" t="n">
        <v>60</v>
      </c>
      <c r="U15" s="16" t="n">
        <v>361.26</v>
      </c>
      <c r="AA15" s="16">
        <f>SUM(O15:U15)</f>
        <v/>
      </c>
      <c r="AB15" s="16">
        <f>SUM(O15:Z15)</f>
        <v/>
      </c>
      <c r="AC15" s="16" t="n">
        <v>50</v>
      </c>
      <c r="AD15" s="16" t="n">
        <v>50</v>
      </c>
      <c r="AE15" s="16" t="n">
        <v>50</v>
      </c>
      <c r="AF15" s="16" t="n">
        <v>50</v>
      </c>
      <c r="AG15" s="16" t="n">
        <v>50</v>
      </c>
      <c r="AH15" s="16" t="n">
        <v>50</v>
      </c>
      <c r="AI15" s="34">
        <f>SUM(AC15:AH15)</f>
        <v/>
      </c>
      <c r="AJ15" s="16">
        <f>SUM(AC15:AH15)+AI15</f>
        <v/>
      </c>
      <c r="AK15" s="11">
        <f>IF(N15&lt;&gt;0,(AB15-N15)/ABS(N15),0)</f>
        <v/>
      </c>
      <c r="AL15" s="11">
        <f>IF(AB15&lt;&gt;0,(AJ15-AB15)/ABS(AB15),0)</f>
        <v/>
      </c>
    </row>
    <row r="16" ht="13" customHeight="1">
      <c r="A16" s="15" t="inlineStr">
        <is>
          <t xml:space="preserve">    Staff Welfare</t>
        </is>
      </c>
      <c r="B16" s="16" t="n">
        <v>304.95</v>
      </c>
      <c r="C16" s="16" t="n">
        <v>264.71</v>
      </c>
      <c r="D16" s="16" t="n">
        <v>188.52</v>
      </c>
      <c r="E16" s="16" t="n">
        <v>236.83</v>
      </c>
      <c r="F16" s="16" t="n">
        <v>480.61</v>
      </c>
      <c r="G16" s="16" t="n">
        <v>227.41</v>
      </c>
      <c r="H16" s="16" t="n">
        <v>311.65</v>
      </c>
      <c r="I16" s="16" t="n">
        <v>17.06</v>
      </c>
      <c r="J16" s="16" t="n">
        <v>76.78999999999999</v>
      </c>
      <c r="K16" s="16" t="n">
        <v>131.31</v>
      </c>
      <c r="L16" s="16" t="n">
        <v>263.85</v>
      </c>
      <c r="M16" s="16" t="n">
        <v>64.3</v>
      </c>
      <c r="N16" s="16">
        <f>SUM(B16:M16)</f>
        <v/>
      </c>
      <c r="O16" s="16" t="n">
        <v>364.02</v>
      </c>
      <c r="P16" s="16" t="n">
        <v>154.27</v>
      </c>
      <c r="Q16" s="16" t="n">
        <v>156.87</v>
      </c>
      <c r="R16" s="16" t="n">
        <v>236.43</v>
      </c>
      <c r="S16" s="16" t="n">
        <v>152.97</v>
      </c>
      <c r="T16" s="16" t="n">
        <v>284.9</v>
      </c>
      <c r="U16" s="16" t="n">
        <v>149.53</v>
      </c>
      <c r="AA16" s="16">
        <f>SUM(O16:U16)</f>
        <v/>
      </c>
      <c r="AB16" s="16">
        <f>SUM(O16:Z16)</f>
        <v/>
      </c>
      <c r="AC16" s="16" t="n">
        <v>180</v>
      </c>
      <c r="AD16" s="16" t="n">
        <v>180</v>
      </c>
      <c r="AE16" s="16" t="n">
        <v>180</v>
      </c>
      <c r="AF16" s="16" t="n">
        <v>180</v>
      </c>
      <c r="AG16" s="16" t="n">
        <v>180</v>
      </c>
      <c r="AH16" s="16" t="n">
        <v>180</v>
      </c>
      <c r="AI16" s="34">
        <f>SUM(AC16:AH16)</f>
        <v/>
      </c>
      <c r="AJ16" s="16">
        <f>SUM(AC16:AH16)+AI16</f>
        <v/>
      </c>
      <c r="AK16" s="11">
        <f>IF(N16&lt;&gt;0,(AB16-N16)/ABS(N16),0)</f>
        <v/>
      </c>
      <c r="AL16" s="11">
        <f>IF(AB16&lt;&gt;0,(AJ16-AB16)/ABS(AB16),0)</f>
        <v/>
      </c>
    </row>
    <row r="17" ht="13" customHeight="1">
      <c r="A17" s="15" t="inlineStr">
        <is>
          <t xml:space="preserve">    Recruitment</t>
        </is>
      </c>
      <c r="B17" s="16" t="n">
        <v>0</v>
      </c>
      <c r="C17" s="16" t="n">
        <v>0</v>
      </c>
      <c r="D17" s="16" t="n">
        <v>0</v>
      </c>
      <c r="E17" s="16" t="n">
        <v>0</v>
      </c>
      <c r="F17" s="16" t="n">
        <v>3352.38</v>
      </c>
      <c r="G17" s="16" t="n">
        <v>0</v>
      </c>
      <c r="H17" s="16" t="n">
        <v>0</v>
      </c>
      <c r="I17" s="16" t="n">
        <v>0</v>
      </c>
      <c r="J17" s="16" t="n">
        <v>0</v>
      </c>
      <c r="K17" s="16" t="n">
        <v>0</v>
      </c>
      <c r="L17" s="16" t="n">
        <v>0</v>
      </c>
      <c r="M17" s="16" t="n">
        <v>0</v>
      </c>
      <c r="N17" s="16">
        <f>SUM(B17:M17)</f>
        <v/>
      </c>
      <c r="O17" s="16" t="n">
        <v>0</v>
      </c>
      <c r="P17" s="16" t="n">
        <v>3528.1</v>
      </c>
      <c r="Q17" s="16" t="n">
        <v>0</v>
      </c>
      <c r="R17" s="16" t="n">
        <v>0</v>
      </c>
      <c r="S17" s="16" t="n">
        <v>0</v>
      </c>
      <c r="T17" s="16" t="n">
        <v>0</v>
      </c>
      <c r="U17" s="16" t="n">
        <v>0</v>
      </c>
      <c r="AA17" s="16">
        <f>SUM(O17:U17)</f>
        <v/>
      </c>
      <c r="AB17" s="16">
        <f>SUM(O17:Z17)</f>
        <v/>
      </c>
      <c r="AC17" s="16" t="n">
        <v>0</v>
      </c>
      <c r="AD17" s="16" t="n">
        <v>0</v>
      </c>
      <c r="AE17" s="16" t="n">
        <v>0</v>
      </c>
      <c r="AF17" s="16" t="n">
        <v>0</v>
      </c>
      <c r="AG17" s="16" t="n">
        <v>0</v>
      </c>
      <c r="AH17" s="16" t="n">
        <v>0</v>
      </c>
      <c r="AI17" s="34">
        <f>SUM(AC17:AH17)</f>
        <v/>
      </c>
      <c r="AJ17" s="16">
        <f>SUM(AC17:AH17)+AI17</f>
        <v/>
      </c>
      <c r="AK17" s="11">
        <f>IF(N17&lt;&gt;0,(AB17-N17)/ABS(N17),0)</f>
        <v/>
      </c>
      <c r="AL17" s="11">
        <f>IF(AB17&lt;&gt;0,(AJ17-AB17)/ABS(AB17),0)</f>
        <v/>
      </c>
    </row>
    <row r="18" ht="13" customHeight="1">
      <c r="A18" s="15" t="inlineStr">
        <is>
          <t xml:space="preserve">    Rewards &amp; Recognition</t>
        </is>
      </c>
      <c r="B18" s="16" t="n">
        <v>0</v>
      </c>
      <c r="C18" s="16" t="n">
        <v>0</v>
      </c>
      <c r="D18" s="16" t="n">
        <v>0</v>
      </c>
      <c r="E18" s="16" t="n">
        <v>0</v>
      </c>
      <c r="F18" s="16" t="n">
        <v>0</v>
      </c>
      <c r="G18" s="16" t="n">
        <v>0</v>
      </c>
      <c r="H18" s="16" t="n">
        <v>8.109999999999999</v>
      </c>
      <c r="I18" s="16" t="n">
        <v>0</v>
      </c>
      <c r="J18" s="16" t="n">
        <v>23.49</v>
      </c>
      <c r="K18" s="16" t="n">
        <v>6.28</v>
      </c>
      <c r="L18" s="16" t="n">
        <v>0</v>
      </c>
      <c r="M18" s="16" t="n">
        <v>95.38</v>
      </c>
      <c r="N18" s="16">
        <f>SUM(B18:M18)</f>
        <v/>
      </c>
      <c r="O18" s="16" t="n">
        <v>45.76</v>
      </c>
      <c r="P18" s="16" t="n">
        <v>81.02</v>
      </c>
      <c r="Q18" s="16" t="n">
        <v>37.24</v>
      </c>
      <c r="R18" s="16" t="n">
        <v>94.41</v>
      </c>
      <c r="S18" s="16" t="n">
        <v>80.88</v>
      </c>
      <c r="T18" s="16" t="n">
        <v>56.6</v>
      </c>
      <c r="U18" s="16" t="n">
        <v>122.2</v>
      </c>
      <c r="AA18" s="16">
        <f>SUM(O18:U18)</f>
        <v/>
      </c>
      <c r="AB18" s="16">
        <f>SUM(O18:Z18)</f>
        <v/>
      </c>
      <c r="AC18" s="16" t="n">
        <v>75</v>
      </c>
      <c r="AD18" s="16" t="n">
        <v>75</v>
      </c>
      <c r="AE18" s="16" t="n">
        <v>75</v>
      </c>
      <c r="AF18" s="16" t="n">
        <v>75</v>
      </c>
      <c r="AG18" s="16" t="n">
        <v>75</v>
      </c>
      <c r="AH18" s="16" t="n">
        <v>75</v>
      </c>
      <c r="AI18" s="34">
        <f>SUM(AC18:AH18)</f>
        <v/>
      </c>
      <c r="AJ18" s="16">
        <f>SUM(AC18:AH18)+AI18</f>
        <v/>
      </c>
      <c r="AK18" s="11">
        <f>IF(N18&lt;&gt;0,(AB18-N18)/ABS(N18),0)</f>
        <v/>
      </c>
      <c r="AL18" s="11">
        <f>IF(AB18&lt;&gt;0,(AJ18-AB18)/ABS(AB18),0)</f>
        <v/>
      </c>
    </row>
    <row r="19" ht="13" customHeight="1">
      <c r="A19" s="15" t="inlineStr">
        <is>
          <t xml:space="preserve">    Temps</t>
        </is>
      </c>
      <c r="B19" s="16" t="n">
        <v>0</v>
      </c>
      <c r="C19" s="16" t="n">
        <v>0</v>
      </c>
      <c r="D19" s="16" t="n">
        <v>0</v>
      </c>
      <c r="E19" s="16" t="n">
        <v>0</v>
      </c>
      <c r="F19" s="16" t="n">
        <v>226.03</v>
      </c>
      <c r="G19" s="16" t="n">
        <v>0</v>
      </c>
      <c r="H19" s="16" t="n">
        <v>249.41</v>
      </c>
      <c r="I19" s="16" t="n">
        <v>0</v>
      </c>
      <c r="J19" s="16" t="n">
        <v>0</v>
      </c>
      <c r="K19" s="16" t="n">
        <v>4590.68</v>
      </c>
      <c r="L19" s="16" t="n">
        <v>3008.5</v>
      </c>
      <c r="M19" s="16" t="n">
        <v>0</v>
      </c>
      <c r="N19" s="16">
        <f>SUM(B19:M19)</f>
        <v/>
      </c>
      <c r="O19" s="16" t="n">
        <v>1286.01</v>
      </c>
      <c r="P19" s="16" t="n">
        <v>0</v>
      </c>
      <c r="Q19" s="16" t="n">
        <v>0</v>
      </c>
      <c r="R19" s="16" t="n">
        <v>0</v>
      </c>
      <c r="S19" s="16" t="n">
        <v>0</v>
      </c>
      <c r="T19" s="16" t="n">
        <v>0</v>
      </c>
      <c r="U19" s="16" t="n">
        <v>0</v>
      </c>
      <c r="AA19" s="16">
        <f>SUM(O19:U19)</f>
        <v/>
      </c>
      <c r="AB19" s="16">
        <f>SUM(O19:Z19)</f>
        <v/>
      </c>
      <c r="AC19" s="16" t="n">
        <v>0</v>
      </c>
      <c r="AD19" s="16" t="n">
        <v>0</v>
      </c>
      <c r="AE19" s="16" t="n">
        <v>0</v>
      </c>
      <c r="AF19" s="16" t="n">
        <v>0</v>
      </c>
      <c r="AG19" s="16" t="n">
        <v>0</v>
      </c>
      <c r="AH19" s="16" t="n">
        <v>0</v>
      </c>
      <c r="AI19" s="34">
        <f>SUM(AC19:AH19)</f>
        <v/>
      </c>
      <c r="AJ19" s="16">
        <f>SUM(AC19:AH19)+AI19</f>
        <v/>
      </c>
      <c r="AK19" s="11">
        <f>IF(N19&lt;&gt;0,(AB19-N19)/ABS(N19),0)</f>
        <v/>
      </c>
      <c r="AL19" s="11">
        <f>IF(AB19&lt;&gt;0,(AJ19-AB19)/ABS(AB19),0)</f>
        <v/>
      </c>
    </row>
    <row r="20" ht="13" customHeight="1">
      <c r="A20" s="17" t="inlineStr">
        <is>
          <t>Total Personnel</t>
        </is>
      </c>
      <c r="B20" s="18">
        <f>B11+B12+B13+B14+B15+B16+B17+B18+B19</f>
        <v/>
      </c>
      <c r="C20" s="18">
        <f>C11+C12+C13+C14+C15+C16+C17+C18+C19</f>
        <v/>
      </c>
      <c r="D20" s="18">
        <f>D11+D12+D13+D14+D15+D16+D17+D18+D19</f>
        <v/>
      </c>
      <c r="E20" s="18">
        <f>E11+E12+E13+E14+E15+E16+E17+E18+E19</f>
        <v/>
      </c>
      <c r="F20" s="18">
        <f>F11+F12+F13+F14+F15+F16+F17+F18+F19</f>
        <v/>
      </c>
      <c r="G20" s="18">
        <f>G11+G12+G13+G14+G15+G16+G17+G18+G19</f>
        <v/>
      </c>
      <c r="H20" s="18">
        <f>H11+H12+H13+H14+H15+H16+H17+H18+H19</f>
        <v/>
      </c>
      <c r="I20" s="18">
        <f>I11+I12+I13+I14+I15+I16+I17+I18+I19</f>
        <v/>
      </c>
      <c r="J20" s="18">
        <f>J11+J12+J13+J14+J15+J16+J17+J18+J19</f>
        <v/>
      </c>
      <c r="K20" s="18">
        <f>K11+K12+K13+K14+K15+K16+K17+K18+K19</f>
        <v/>
      </c>
      <c r="L20" s="18">
        <f>L11+L12+L13+L14+L15+L16+L17+L18+L19</f>
        <v/>
      </c>
      <c r="M20" s="18">
        <f>M11+M12+M13+M14+M15+M16+M17+M18+M19</f>
        <v/>
      </c>
      <c r="N20" s="18">
        <f>N11+N12+N13+N14+N15+N16+N17+N18+N19</f>
        <v/>
      </c>
      <c r="O20" s="18">
        <f>O11+O12+O13+O14+O15+O16+O17+O18+O19</f>
        <v/>
      </c>
      <c r="P20" s="18">
        <f>P11+P12+P13+P14+P15+P16+P17+P18+P19</f>
        <v/>
      </c>
      <c r="Q20" s="18">
        <f>Q11+Q12+Q13+Q14+Q15+Q16+Q17+Q18+Q19</f>
        <v/>
      </c>
      <c r="R20" s="18">
        <f>R11+R12+R13+R14+R15+R16+R17+R18+R19</f>
        <v/>
      </c>
      <c r="S20" s="18">
        <f>S11+S12+S13+S14+S15+S16+S17+S18+S19</f>
        <v/>
      </c>
      <c r="T20" s="18">
        <f>T11+T12+T13+T14+T15+T16+T17+T18+T19</f>
        <v/>
      </c>
      <c r="U20" s="18">
        <f>U11+U12+U13+U14+U15+U16+U17+U18+U19</f>
        <v/>
      </c>
      <c r="V20" s="18">
        <f>V11+V12+V13+V14+V15+V16+V17+V18+V19</f>
        <v/>
      </c>
      <c r="W20" s="18">
        <f>W11+W12+W13+W14+W15+W16+W17+W18+W19</f>
        <v/>
      </c>
      <c r="X20" s="18">
        <f>X11+X12+X13+X14+X15+X16+X17+X18+X19</f>
        <v/>
      </c>
      <c r="Y20" s="18">
        <f>Y11+Y12+Y13+Y14+Y15+Y16+Y17+Y18+Y19</f>
        <v/>
      </c>
      <c r="Z20" s="18">
        <f>Z11+Z12+Z13+Z14+Z15+Z16+Z17+Z18+Z19</f>
        <v/>
      </c>
      <c r="AA20" s="18">
        <f>AA11+AA12+AA13+AA14+AA15+AA16+AA17+AA18+AA19</f>
        <v/>
      </c>
      <c r="AB20" s="18">
        <f>AB11+AB12+AB13+AB14+AB15+AB16+AB17+AB18+AB19</f>
        <v/>
      </c>
      <c r="AC20" s="18">
        <f>AC11+AC12+AC13+AC14+AC15+AC16+AC17+AC18+AC19</f>
        <v/>
      </c>
      <c r="AD20" s="18">
        <f>AD11+AD12+AD13+AD14+AD15+AD16+AD17+AD18+AD19</f>
        <v/>
      </c>
      <c r="AE20" s="18">
        <f>AE11+AE12+AE13+AE14+AE15+AE16+AE17+AE18+AE19</f>
        <v/>
      </c>
      <c r="AF20" s="18">
        <f>AF11+AF12+AF13+AF14+AF15+AF16+AF17+AF18+AF19</f>
        <v/>
      </c>
      <c r="AG20" s="18">
        <f>AG11+AG12+AG13+AG14+AG15+AG16+AG17+AG18+AG19</f>
        <v/>
      </c>
      <c r="AH20" s="18">
        <f>AH11+AH12+AH13+AH14+AH15+AH16+AH17+AH18+AH19</f>
        <v/>
      </c>
      <c r="AI20" s="18">
        <f>AI11+AI12+AI13+AI14+AI15+AI16+AI17+AI18+AI19</f>
        <v/>
      </c>
      <c r="AJ20" s="18">
        <f>AJ11+AJ12+AJ13+AJ14+AJ15+AJ16+AJ17+AJ18+AJ19</f>
        <v/>
      </c>
      <c r="AK20" s="11">
        <f>IF(N20&lt;&gt;0,(AB20-N20)/ABS(N20),0)</f>
        <v/>
      </c>
      <c r="AL20" s="11">
        <f>IF(AB20&lt;&gt;0,(AJ20-AB20)/ABS(AB20),0)</f>
        <v/>
      </c>
    </row>
    <row r="21" ht="13" customHeight="1">
      <c r="A21" s="19" t="inlineStr">
        <is>
          <t xml:space="preserve">    Sal:Rev</t>
        </is>
      </c>
      <c r="B21" s="20">
        <f>IF(B7&gt;0,B20/B7,0)</f>
        <v/>
      </c>
      <c r="C21" s="20">
        <f>IF(C7&gt;0,C20/C7,0)</f>
        <v/>
      </c>
      <c r="D21" s="20">
        <f>IF(D7&gt;0,D20/D7,0)</f>
        <v/>
      </c>
      <c r="E21" s="20">
        <f>IF(E7&gt;0,E20/E7,0)</f>
        <v/>
      </c>
      <c r="F21" s="20">
        <f>IF(F7&gt;0,F20/F7,0)</f>
        <v/>
      </c>
      <c r="G21" s="20">
        <f>IF(G7&gt;0,G20/G7,0)</f>
        <v/>
      </c>
      <c r="H21" s="20">
        <f>IF(H7&gt;0,H20/H7,0)</f>
        <v/>
      </c>
      <c r="I21" s="20">
        <f>IF(I7&gt;0,I20/I7,0)</f>
        <v/>
      </c>
      <c r="J21" s="20">
        <f>IF(J7&gt;0,J20/J7,0)</f>
        <v/>
      </c>
      <c r="K21" s="20">
        <f>IF(K7&gt;0,K20/K7,0)</f>
        <v/>
      </c>
      <c r="L21" s="20">
        <f>IF(L7&gt;0,L20/L7,0)</f>
        <v/>
      </c>
      <c r="M21" s="20">
        <f>IF(M7&gt;0,M20/M7,0)</f>
        <v/>
      </c>
      <c r="N21" s="20">
        <f>IF(N7&gt;0,N20/N7,0)</f>
        <v/>
      </c>
      <c r="O21" s="20">
        <f>IF(O7&gt;0,O20/O7,0)</f>
        <v/>
      </c>
      <c r="P21" s="20">
        <f>IF(P7&gt;0,P20/P7,0)</f>
        <v/>
      </c>
      <c r="Q21" s="20">
        <f>IF(Q7&gt;0,Q20/Q7,0)</f>
        <v/>
      </c>
      <c r="R21" s="20">
        <f>IF(R7&gt;0,R20/R7,0)</f>
        <v/>
      </c>
      <c r="S21" s="20">
        <f>IF(S7&gt;0,S20/S7,0)</f>
        <v/>
      </c>
      <c r="T21" s="20">
        <f>IF(T7&gt;0,T20/T7,0)</f>
        <v/>
      </c>
      <c r="U21" s="20">
        <f>IF(U7&gt;0,U20/U7,0)</f>
        <v/>
      </c>
      <c r="V21" s="20">
        <f>IF(V7&gt;0,V20/V7,0)</f>
        <v/>
      </c>
      <c r="W21" s="20">
        <f>IF(W7&gt;0,W20/W7,0)</f>
        <v/>
      </c>
      <c r="X21" s="20">
        <f>IF(X7&gt;0,X20/X7,0)</f>
        <v/>
      </c>
      <c r="Y21" s="20">
        <f>IF(Y7&gt;0,Y20/Y7,0)</f>
        <v/>
      </c>
      <c r="Z21" s="20">
        <f>IF(Z7&gt;0,Z20/Z7,0)</f>
        <v/>
      </c>
      <c r="AA21" s="20">
        <f>IF(AA7&gt;0,AA20/AA7,0)</f>
        <v/>
      </c>
      <c r="AB21" s="20">
        <f>IF(AB7&gt;0,AB20/AB7,0)</f>
        <v/>
      </c>
      <c r="AC21" s="20">
        <f>IF(AC7&gt;0,AC20/AC7,0)</f>
        <v/>
      </c>
      <c r="AD21" s="20">
        <f>IF(AD7&gt;0,AD20/AD7,0)</f>
        <v/>
      </c>
      <c r="AE21" s="20">
        <f>IF(AE7&gt;0,AE20/AE7,0)</f>
        <v/>
      </c>
      <c r="AF21" s="20">
        <f>IF(AF7&gt;0,AF20/AF7,0)</f>
        <v/>
      </c>
      <c r="AG21" s="20">
        <f>IF(AG7&gt;0,AG20/AG7,0)</f>
        <v/>
      </c>
      <c r="AH21" s="20">
        <f>IF(AH7&gt;0,AH20/AH7,0)</f>
        <v/>
      </c>
      <c r="AI21" s="20">
        <f>IF(AI7&gt;0,AI20/AI7,0)</f>
        <v/>
      </c>
      <c r="AJ21" s="20">
        <f>IF(AJ7&gt;0,AJ20/AJ7,0)</f>
        <v/>
      </c>
    </row>
    <row r="22" ht="5" customHeight="1"/>
    <row r="23" ht="13" customHeight="1">
      <c r="A23" s="14" t="inlineStr">
        <is>
          <t>Childcare</t>
        </is>
      </c>
    </row>
    <row r="24" ht="13" customHeight="1">
      <c r="A24" s="21" t="inlineStr">
        <is>
          <t xml:space="preserve">    Catering Costs</t>
        </is>
      </c>
      <c r="N24" s="22">
        <f>SUM(B24:M24)</f>
        <v/>
      </c>
      <c r="O24" s="22" t="n">
        <v>1461.98</v>
      </c>
      <c r="P24" s="22" t="n">
        <v>1803.02</v>
      </c>
      <c r="Q24" s="22" t="n">
        <v>1441.43</v>
      </c>
      <c r="R24" s="22" t="n">
        <v>1269.6</v>
      </c>
      <c r="S24" s="22" t="n">
        <v>1831.11</v>
      </c>
      <c r="T24" s="22" t="n">
        <v>2098.22</v>
      </c>
      <c r="U24" s="22" t="n">
        <v>2298.43</v>
      </c>
      <c r="V24" s="22" t="n">
        <v>2129.4</v>
      </c>
      <c r="W24" s="22" t="n">
        <v>2291.7024</v>
      </c>
      <c r="X24" s="22" t="n">
        <v>2456.7816</v>
      </c>
      <c r="Y24" s="22" t="n">
        <v>2477.3112</v>
      </c>
      <c r="Z24" s="22" t="n">
        <v>2420.9016</v>
      </c>
      <c r="AA24" s="22">
        <f>SUM(O24:U24)</f>
        <v/>
      </c>
      <c r="AB24" s="22">
        <f>SUM(O24:Z24)</f>
        <v/>
      </c>
      <c r="AC24" s="22" t="n">
        <v>2493.111816</v>
      </c>
      <c r="AD24" s="22" t="n">
        <v>2320.592976</v>
      </c>
      <c r="AE24" s="22" t="n">
        <v>2812.244447999999</v>
      </c>
      <c r="AF24" s="22" t="n">
        <v>2549.520168</v>
      </c>
      <c r="AG24" s="22" t="n">
        <v>2667.414672</v>
      </c>
      <c r="AH24" s="22" t="n">
        <v>2841.593664</v>
      </c>
      <c r="AI24" s="34">
        <f>SUM(AC24:AH24)</f>
        <v/>
      </c>
      <c r="AJ24" s="22">
        <f>SUM(AC24:AH24)+AI24</f>
        <v/>
      </c>
      <c r="AK24" s="11">
        <f>IF(N24&lt;&gt;0,(AB24-N24)/ABS(N24),0)</f>
        <v/>
      </c>
      <c r="AL24" s="11">
        <f>IF(AB24&lt;&gt;0,(AJ24-AB24)/ABS(AB24),0)</f>
        <v/>
      </c>
    </row>
    <row r="25" ht="13" customHeight="1">
      <c r="A25" s="21" t="inlineStr">
        <is>
          <t xml:space="preserve">    Toys and Games</t>
        </is>
      </c>
      <c r="B25" s="22" t="n">
        <v>150.47</v>
      </c>
      <c r="C25" s="22" t="n">
        <v>158.38</v>
      </c>
      <c r="D25" s="22" t="n">
        <v>149.6</v>
      </c>
      <c r="E25" s="22" t="n">
        <v>525.9299999999999</v>
      </c>
      <c r="F25" s="22" t="n">
        <v>276.46</v>
      </c>
      <c r="G25" s="22" t="n">
        <v>459.8100000000001</v>
      </c>
      <c r="H25" s="22" t="n">
        <v>618.96</v>
      </c>
      <c r="I25" s="22" t="n">
        <v>0</v>
      </c>
      <c r="J25" s="22" t="n">
        <v>157.63</v>
      </c>
      <c r="K25" s="22" t="n">
        <v>157.78</v>
      </c>
      <c r="L25" s="22" t="n">
        <v>433.98</v>
      </c>
      <c r="M25" s="22" t="n">
        <v>160.93</v>
      </c>
      <c r="N25" s="22">
        <f>SUM(B25:M25)</f>
        <v/>
      </c>
      <c r="O25" s="22" t="n">
        <v>322.01</v>
      </c>
      <c r="P25" s="22" t="n">
        <v>20.41</v>
      </c>
      <c r="Q25" s="22" t="n">
        <v>909.8</v>
      </c>
      <c r="R25" s="22" t="n">
        <v>451.0299999999999</v>
      </c>
      <c r="S25" s="22" t="n">
        <v>117.11</v>
      </c>
      <c r="T25" s="22" t="n">
        <v>27.56</v>
      </c>
      <c r="U25" s="22" t="n">
        <v>155.11</v>
      </c>
      <c r="AA25" s="22">
        <f>SUM(O25:U25)</f>
        <v/>
      </c>
      <c r="AB25" s="22">
        <f>SUM(O25:Z25)</f>
        <v/>
      </c>
      <c r="AC25" s="22" t="n">
        <v>50</v>
      </c>
      <c r="AD25" s="22" t="n">
        <v>50</v>
      </c>
      <c r="AE25" s="22" t="n">
        <v>50</v>
      </c>
      <c r="AF25" s="22" t="n">
        <v>50</v>
      </c>
      <c r="AG25" s="22" t="n">
        <v>50</v>
      </c>
      <c r="AH25" s="22" t="n">
        <v>50</v>
      </c>
      <c r="AI25" s="34">
        <f>SUM(AC25:AH25)</f>
        <v/>
      </c>
      <c r="AJ25" s="22">
        <f>SUM(AC25:AH25)+AI25</f>
        <v/>
      </c>
      <c r="AK25" s="11">
        <f>IF(N25&lt;&gt;0,(AB25-N25)/ABS(N25),0)</f>
        <v/>
      </c>
      <c r="AL25" s="11">
        <f>IF(AB25&lt;&gt;0,(AJ25-AB25)/ABS(AB25),0)</f>
        <v/>
      </c>
    </row>
    <row r="26" ht="13" customHeight="1">
      <c r="A26" s="21" t="inlineStr">
        <is>
          <t xml:space="preserve">    Art Materials</t>
        </is>
      </c>
      <c r="N26" s="22">
        <f>SUM(B26:M26)</f>
        <v/>
      </c>
      <c r="O26" s="22" t="n">
        <v>13.68</v>
      </c>
      <c r="P26" s="22" t="n">
        <v>256.29</v>
      </c>
      <c r="Q26" s="22" t="n">
        <v>62.83</v>
      </c>
      <c r="R26" s="22" t="n">
        <v>37.49</v>
      </c>
      <c r="S26" s="22" t="n">
        <v>11.09</v>
      </c>
      <c r="T26" s="22" t="n">
        <v>150.56</v>
      </c>
      <c r="U26" s="22" t="n">
        <v>175.69</v>
      </c>
      <c r="V26" s="22" t="n">
        <v>283.9200000000001</v>
      </c>
      <c r="W26" s="22" t="n">
        <v>305.5603200000001</v>
      </c>
      <c r="X26" s="22" t="n">
        <v>327.5708800000001</v>
      </c>
      <c r="Y26" s="22" t="n">
        <v>330.3081600000001</v>
      </c>
      <c r="Z26" s="22" t="n">
        <v>322.7868800000001</v>
      </c>
      <c r="AA26" s="22">
        <f>SUM(O26:U26)</f>
        <v/>
      </c>
      <c r="AB26" s="22">
        <f>SUM(O26:Z26)</f>
        <v/>
      </c>
      <c r="AC26" s="22" t="n">
        <v>332.4149088000001</v>
      </c>
      <c r="AD26" s="22" t="n">
        <v>309.4123968000001</v>
      </c>
      <c r="AE26" s="22" t="n">
        <v>374.9659264000001</v>
      </c>
      <c r="AF26" s="22" t="n">
        <v>339.9360224000001</v>
      </c>
      <c r="AG26" s="22" t="n">
        <v>355.6552896000001</v>
      </c>
      <c r="AH26" s="22" t="n">
        <v>378.8791552000001</v>
      </c>
      <c r="AI26" s="34">
        <f>SUM(AC26:AH26)</f>
        <v/>
      </c>
      <c r="AJ26" s="22">
        <f>SUM(AC26:AH26)+AI26</f>
        <v/>
      </c>
      <c r="AK26" s="11">
        <f>IF(N26&lt;&gt;0,(AB26-N26)/ABS(N26),0)</f>
        <v/>
      </c>
      <c r="AL26" s="11">
        <f>IF(AB26&lt;&gt;0,(AJ26-AB26)/ABS(AB26),0)</f>
        <v/>
      </c>
    </row>
    <row r="27" ht="13" customHeight="1">
      <c r="A27" s="21" t="inlineStr">
        <is>
          <t xml:space="preserve">    Nursery Stationery</t>
        </is>
      </c>
      <c r="B27" s="22" t="n">
        <v>28.68</v>
      </c>
      <c r="C27" s="22" t="n">
        <v>99.43000000000001</v>
      </c>
      <c r="D27" s="22" t="n">
        <v>62.8</v>
      </c>
      <c r="E27" s="22" t="n">
        <v>18.53</v>
      </c>
      <c r="F27" s="22" t="n">
        <v>58.69</v>
      </c>
      <c r="G27" s="22" t="n">
        <v>7.64</v>
      </c>
      <c r="H27" s="22" t="n">
        <v>76.06</v>
      </c>
      <c r="I27" s="22" t="n">
        <v>48.85</v>
      </c>
      <c r="J27" s="22" t="n">
        <v>0</v>
      </c>
      <c r="K27" s="22" t="n">
        <v>112.19</v>
      </c>
      <c r="L27" s="22" t="n">
        <v>108.87</v>
      </c>
      <c r="M27" s="22" t="n">
        <v>0</v>
      </c>
      <c r="N27" s="22">
        <f>SUM(B27:M27)</f>
        <v/>
      </c>
      <c r="O27" s="22" t="n">
        <v>58.06</v>
      </c>
      <c r="P27" s="22" t="n">
        <v>58.6</v>
      </c>
      <c r="Q27" s="22" t="n">
        <v>46.33</v>
      </c>
      <c r="R27" s="22" t="n">
        <v>12.97</v>
      </c>
      <c r="S27" s="22" t="n">
        <v>120.18</v>
      </c>
      <c r="T27" s="22" t="n">
        <v>22.92</v>
      </c>
      <c r="U27" s="22" t="n">
        <v>43.05</v>
      </c>
      <c r="AA27" s="22">
        <f>SUM(O27:U27)</f>
        <v/>
      </c>
      <c r="AB27" s="22">
        <f>SUM(O27:Z27)</f>
        <v/>
      </c>
      <c r="AC27" s="22" t="n">
        <v>90</v>
      </c>
      <c r="AD27" s="22" t="n">
        <v>90</v>
      </c>
      <c r="AE27" s="22" t="n">
        <v>90</v>
      </c>
      <c r="AF27" s="22" t="n">
        <v>90</v>
      </c>
      <c r="AG27" s="22" t="n">
        <v>90</v>
      </c>
      <c r="AH27" s="22" t="n">
        <v>90</v>
      </c>
      <c r="AI27" s="34">
        <f>SUM(AC27:AH27)</f>
        <v/>
      </c>
      <c r="AJ27" s="22">
        <f>SUM(AC27:AH27)+AI27</f>
        <v/>
      </c>
      <c r="AK27" s="11">
        <f>IF(N27&lt;&gt;0,(AB27-N27)/ABS(N27),0)</f>
        <v/>
      </c>
      <c r="AL27" s="11">
        <f>IF(AB27&lt;&gt;0,(AJ27-AB27)/ABS(AB27),0)</f>
        <v/>
      </c>
    </row>
    <row r="28" ht="13" customHeight="1">
      <c r="A28" s="21" t="inlineStr">
        <is>
          <t xml:space="preserve">    Nursery Equipment</t>
        </is>
      </c>
      <c r="B28" s="22" t="n">
        <v>160.7</v>
      </c>
      <c r="C28" s="22" t="n">
        <v>123.84</v>
      </c>
      <c r="D28" s="22" t="n">
        <v>222.23</v>
      </c>
      <c r="E28" s="22" t="n">
        <v>28.49</v>
      </c>
      <c r="F28" s="22" t="n">
        <v>71.57000000000001</v>
      </c>
      <c r="G28" s="22" t="n">
        <v>71.31999999999999</v>
      </c>
      <c r="H28" s="22" t="n">
        <v>80.70999999999999</v>
      </c>
      <c r="I28" s="22" t="n">
        <v>3.95</v>
      </c>
      <c r="J28" s="22" t="n">
        <v>12.98</v>
      </c>
      <c r="K28" s="22" t="n">
        <v>267.22</v>
      </c>
      <c r="L28" s="22" t="n">
        <v>151.94</v>
      </c>
      <c r="M28" s="22" t="n">
        <v>10.99</v>
      </c>
      <c r="N28" s="22">
        <f>SUM(B28:M28)</f>
        <v/>
      </c>
      <c r="O28" s="22" t="n">
        <v>84.18000000000001</v>
      </c>
      <c r="P28" s="22" t="n">
        <v>56.22</v>
      </c>
      <c r="Q28" s="22" t="n">
        <v>65.83</v>
      </c>
      <c r="R28" s="22" t="n">
        <v>102.29</v>
      </c>
      <c r="S28" s="22" t="n">
        <v>259.6</v>
      </c>
      <c r="T28" s="22" t="n">
        <v>44.01</v>
      </c>
      <c r="U28" s="22" t="n">
        <v>53.56</v>
      </c>
      <c r="AA28" s="22">
        <f>SUM(O28:U28)</f>
        <v/>
      </c>
      <c r="AB28" s="22">
        <f>SUM(O28:Z28)</f>
        <v/>
      </c>
      <c r="AC28" s="22" t="n">
        <v>50</v>
      </c>
      <c r="AD28" s="22" t="n">
        <v>50</v>
      </c>
      <c r="AE28" s="22" t="n">
        <v>50</v>
      </c>
      <c r="AF28" s="22" t="n">
        <v>50</v>
      </c>
      <c r="AG28" s="22" t="n">
        <v>50</v>
      </c>
      <c r="AH28" s="22" t="n">
        <v>50</v>
      </c>
      <c r="AI28" s="34">
        <f>SUM(AC28:AH28)</f>
        <v/>
      </c>
      <c r="AJ28" s="22">
        <f>SUM(AC28:AH28)+AI28</f>
        <v/>
      </c>
      <c r="AK28" s="11">
        <f>IF(N28&lt;&gt;0,(AB28-N28)/ABS(N28),0)</f>
        <v/>
      </c>
      <c r="AL28" s="11">
        <f>IF(AB28&lt;&gt;0,(AJ28-AB28)/ABS(AB28),0)</f>
        <v/>
      </c>
    </row>
    <row r="29" ht="13" customHeight="1">
      <c r="A29" s="21" t="inlineStr">
        <is>
          <t xml:space="preserve">    Nursery Consumables</t>
        </is>
      </c>
      <c r="N29" s="22">
        <f>SUM(B29:M29)</f>
        <v/>
      </c>
      <c r="O29" s="22" t="n">
        <v>511.53</v>
      </c>
      <c r="P29" s="22" t="n">
        <v>341.6</v>
      </c>
      <c r="Q29" s="22" t="n">
        <v>320.13</v>
      </c>
      <c r="R29" s="22" t="n">
        <v>615.91</v>
      </c>
      <c r="S29" s="22" t="n">
        <v>581.7900000000001</v>
      </c>
      <c r="T29" s="22" t="n">
        <v>474.05</v>
      </c>
      <c r="U29" s="22" t="n">
        <v>146.24</v>
      </c>
      <c r="V29" s="22" t="n">
        <v>354.9</v>
      </c>
      <c r="W29" s="22" t="n">
        <v>381.9504000000001</v>
      </c>
      <c r="X29" s="22" t="n">
        <v>409.4636</v>
      </c>
      <c r="Y29" s="22" t="n">
        <v>412.8852000000001</v>
      </c>
      <c r="Z29" s="22" t="n">
        <v>403.4836</v>
      </c>
      <c r="AA29" s="22">
        <f>SUM(O29:U29)</f>
        <v/>
      </c>
      <c r="AB29" s="22">
        <f>SUM(O29:Z29)</f>
        <v/>
      </c>
      <c r="AC29" s="22" t="n">
        <v>415.518636</v>
      </c>
      <c r="AD29" s="22" t="n">
        <v>386.765496</v>
      </c>
      <c r="AE29" s="22" t="n">
        <v>468.707408</v>
      </c>
      <c r="AF29" s="22" t="n">
        <v>424.9200280000001</v>
      </c>
      <c r="AG29" s="22" t="n">
        <v>444.569112</v>
      </c>
      <c r="AH29" s="22" t="n">
        <v>473.5989440000001</v>
      </c>
      <c r="AI29" s="34">
        <f>SUM(AC29:AH29)</f>
        <v/>
      </c>
      <c r="AJ29" s="22">
        <f>SUM(AC29:AH29)+AI29</f>
        <v/>
      </c>
      <c r="AK29" s="11">
        <f>IF(N29&lt;&gt;0,(AB29-N29)/ABS(N29),0)</f>
        <v/>
      </c>
      <c r="AL29" s="11">
        <f>IF(AB29&lt;&gt;0,(AJ29-AB29)/ABS(AB29),0)</f>
        <v/>
      </c>
    </row>
    <row r="30" ht="13" customHeight="1">
      <c r="A30" s="23" t="inlineStr">
        <is>
          <t>Total Childcare Costs</t>
        </is>
      </c>
      <c r="B30" s="24">
        <f>B24+B25+B26+B27+B28+B29</f>
        <v/>
      </c>
      <c r="C30" s="24">
        <f>C24+C25+C26+C27+C28+C29</f>
        <v/>
      </c>
      <c r="D30" s="24">
        <f>D24+D25+D26+D27+D28+D29</f>
        <v/>
      </c>
      <c r="E30" s="24">
        <f>E24+E25+E26+E27+E28+E29</f>
        <v/>
      </c>
      <c r="F30" s="24">
        <f>F24+F25+F26+F27+F28+F29</f>
        <v/>
      </c>
      <c r="G30" s="24">
        <f>G24+G25+G26+G27+G28+G29</f>
        <v/>
      </c>
      <c r="H30" s="24">
        <f>H24+H25+H26+H27+H28+H29</f>
        <v/>
      </c>
      <c r="I30" s="24">
        <f>I24+I25+I26+I27+I28+I29</f>
        <v/>
      </c>
      <c r="J30" s="24">
        <f>J24+J25+J26+J27+J28+J29</f>
        <v/>
      </c>
      <c r="K30" s="24">
        <f>K24+K25+K26+K27+K28+K29</f>
        <v/>
      </c>
      <c r="L30" s="24">
        <f>L24+L25+L26+L27+L28+L29</f>
        <v/>
      </c>
      <c r="M30" s="24">
        <f>M24+M25+M26+M27+M28+M29</f>
        <v/>
      </c>
      <c r="N30" s="24">
        <f>N24+N25+N26+N27+N28+N29</f>
        <v/>
      </c>
      <c r="O30" s="24">
        <f>O24+O25+O26+O27+O28+O29</f>
        <v/>
      </c>
      <c r="P30" s="24">
        <f>P24+P25+P26+P27+P28+P29</f>
        <v/>
      </c>
      <c r="Q30" s="24">
        <f>Q24+Q25+Q26+Q27+Q28+Q29</f>
        <v/>
      </c>
      <c r="R30" s="24">
        <f>R24+R25+R26+R27+R28+R29</f>
        <v/>
      </c>
      <c r="S30" s="24">
        <f>S24+S25+S26+S27+S28+S29</f>
        <v/>
      </c>
      <c r="T30" s="24">
        <f>T24+T25+T26+T27+T28+T29</f>
        <v/>
      </c>
      <c r="U30" s="24">
        <f>U24+U25+U26+U27+U28+U29</f>
        <v/>
      </c>
      <c r="V30" s="24">
        <f>V24+V25+V26+V27+V28+V29</f>
        <v/>
      </c>
      <c r="W30" s="24">
        <f>W24+W25+W26+W27+W28+W29</f>
        <v/>
      </c>
      <c r="X30" s="24">
        <f>X24+X25+X26+X27+X28+X29</f>
        <v/>
      </c>
      <c r="Y30" s="24">
        <f>Y24+Y25+Y26+Y27+Y28+Y29</f>
        <v/>
      </c>
      <c r="Z30" s="24">
        <f>Z24+Z25+Z26+Z27+Z28+Z29</f>
        <v/>
      </c>
      <c r="AA30" s="24">
        <f>AA24+AA25+AA26+AA27+AA28+AA29</f>
        <v/>
      </c>
      <c r="AB30" s="24">
        <f>AB24+AB25+AB26+AB27+AB28+AB29</f>
        <v/>
      </c>
      <c r="AC30" s="24">
        <f>AC24+AC25+AC26+AC27+AC28+AC29</f>
        <v/>
      </c>
      <c r="AD30" s="24">
        <f>AD24+AD25+AD26+AD27+AD28+AD29</f>
        <v/>
      </c>
      <c r="AE30" s="24">
        <f>AE24+AE25+AE26+AE27+AE28+AE29</f>
        <v/>
      </c>
      <c r="AF30" s="24">
        <f>AF24+AF25+AF26+AF27+AF28+AF29</f>
        <v/>
      </c>
      <c r="AG30" s="24">
        <f>AG24+AG25+AG26+AG27+AG28+AG29</f>
        <v/>
      </c>
      <c r="AH30" s="24">
        <f>AH24+AH25+AH26+AH27+AH28+AH29</f>
        <v/>
      </c>
      <c r="AI30" s="24">
        <f>AI24+AI25+AI26+AI27+AI28+AI29</f>
        <v/>
      </c>
      <c r="AJ30" s="24">
        <f>AJ24+AJ25+AJ26+AJ27+AJ28+AJ29</f>
        <v/>
      </c>
      <c r="AK30" s="11">
        <f>IF(N30&lt;&gt;0,(AB30-N30)/ABS(N30),0)</f>
        <v/>
      </c>
      <c r="AL30" s="11">
        <f>IF(AB30&lt;&gt;0,(AJ30-AB30)/ABS(AB30),0)</f>
        <v/>
      </c>
    </row>
    <row r="31" ht="5" customHeight="1"/>
    <row r="32" ht="13" customHeight="1">
      <c r="A32" s="14" t="inlineStr">
        <is>
          <t>Premises &amp; Admin</t>
        </is>
      </c>
    </row>
    <row r="33" ht="13" customHeight="1">
      <c r="A33" s="25" t="inlineStr">
        <is>
          <t xml:space="preserve">    Rent</t>
        </is>
      </c>
      <c r="B33" s="26" t="n">
        <v>0</v>
      </c>
      <c r="C33" s="26" t="n">
        <v>0</v>
      </c>
      <c r="D33" s="26" t="n">
        <v>0</v>
      </c>
      <c r="E33" s="26" t="n">
        <v>0</v>
      </c>
      <c r="F33" s="26" t="n">
        <v>0</v>
      </c>
      <c r="G33" s="26" t="n">
        <v>0</v>
      </c>
      <c r="H33" s="26" t="n">
        <v>0</v>
      </c>
      <c r="I33" s="26" t="n">
        <v>0</v>
      </c>
      <c r="J33" s="26" t="n">
        <v>0</v>
      </c>
      <c r="K33" s="26" t="n">
        <v>0</v>
      </c>
      <c r="L33" s="26" t="n">
        <v>0</v>
      </c>
      <c r="M33" s="26" t="n">
        <v>0</v>
      </c>
      <c r="N33" s="26">
        <f>SUM(B33:M33)</f>
        <v/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  <c r="V33" s="26" t="n">
        <v>0</v>
      </c>
      <c r="W33" s="26" t="n">
        <v>0</v>
      </c>
      <c r="X33" s="26" t="n">
        <v>0</v>
      </c>
      <c r="Y33" s="26" t="n">
        <v>0</v>
      </c>
      <c r="Z33" s="26" t="n">
        <v>0</v>
      </c>
      <c r="AA33" s="26">
        <f>SUM(O33:U33)</f>
        <v/>
      </c>
      <c r="AB33" s="26">
        <f>SUM(O33:Z33)</f>
        <v/>
      </c>
      <c r="AC33" s="26" t="n">
        <v>0</v>
      </c>
      <c r="AD33" s="26" t="n">
        <v>0</v>
      </c>
      <c r="AE33" s="26" t="n">
        <v>0</v>
      </c>
      <c r="AF33" s="26" t="n">
        <v>0</v>
      </c>
      <c r="AG33" s="26" t="n">
        <v>0</v>
      </c>
      <c r="AH33" s="26" t="n">
        <v>0</v>
      </c>
      <c r="AI33" s="34">
        <f>SUM(AC33:AH33)</f>
        <v/>
      </c>
      <c r="AJ33" s="26">
        <f>SUM(AC33:AH33)+AI33</f>
        <v/>
      </c>
      <c r="AK33" s="11">
        <f>IF(N33&lt;&gt;0,(AB33-N33)/ABS(N33),0)</f>
        <v/>
      </c>
      <c r="AL33" s="11">
        <f>IF(AB33&lt;&gt;0,(AJ33-AB33)/ABS(AB33),0)</f>
        <v/>
      </c>
    </row>
    <row r="34" ht="13" customHeight="1">
      <c r="A34" s="25" t="inlineStr">
        <is>
          <t xml:space="preserve">    Business Rates</t>
        </is>
      </c>
      <c r="B34" s="26" t="n">
        <v>3094</v>
      </c>
      <c r="C34" s="26" t="n">
        <v>3094</v>
      </c>
      <c r="D34" s="26" t="n">
        <v>3094</v>
      </c>
      <c r="E34" s="26" t="n">
        <v>3145</v>
      </c>
      <c r="F34" s="26" t="n">
        <v>3145</v>
      </c>
      <c r="G34" s="26" t="n">
        <v>3145</v>
      </c>
      <c r="H34" s="26" t="n">
        <v>3145</v>
      </c>
      <c r="I34" s="26" t="n">
        <v>3145</v>
      </c>
      <c r="J34" s="26" t="n">
        <v>3145</v>
      </c>
      <c r="K34" s="26" t="n">
        <v>3145</v>
      </c>
      <c r="L34" s="26" t="n">
        <v>3145</v>
      </c>
      <c r="M34" s="26" t="n">
        <v>3145</v>
      </c>
      <c r="N34" s="26">
        <f>SUM(B34:M34)</f>
        <v/>
      </c>
      <c r="O34" s="26" t="n">
        <v>3145</v>
      </c>
      <c r="P34" s="26" t="n">
        <v>3145</v>
      </c>
      <c r="Q34" s="26" t="n">
        <v>3145</v>
      </c>
      <c r="R34" s="26" t="n">
        <v>3021.67</v>
      </c>
      <c r="S34" s="26" t="n">
        <v>3021.67</v>
      </c>
      <c r="T34" s="26" t="n">
        <v>3021.67</v>
      </c>
      <c r="U34" s="26" t="n">
        <v>3021.67</v>
      </c>
      <c r="AA34" s="26">
        <f>SUM(O34:U34)</f>
        <v/>
      </c>
      <c r="AB34" s="26">
        <f>SUM(O34:Z34)</f>
        <v/>
      </c>
      <c r="AC34" s="26" t="n">
        <v>3022</v>
      </c>
      <c r="AD34" s="26" t="n">
        <v>3022</v>
      </c>
      <c r="AE34" s="26" t="n">
        <v>3022</v>
      </c>
      <c r="AF34" s="26" t="n">
        <v>3022</v>
      </c>
      <c r="AG34" s="26" t="n">
        <v>3022</v>
      </c>
      <c r="AH34" s="26" t="n">
        <v>3022</v>
      </c>
      <c r="AI34" s="34">
        <f>SUM(AC34:AH34)</f>
        <v/>
      </c>
      <c r="AJ34" s="26">
        <f>SUM(AC34:AH34)+AI34</f>
        <v/>
      </c>
      <c r="AK34" s="11">
        <f>IF(N34&lt;&gt;0,(AB34-N34)/ABS(N34),0)</f>
        <v/>
      </c>
      <c r="AL34" s="11">
        <f>IF(AB34&lt;&gt;0,(AJ34-AB34)/ABS(AB34),0)</f>
        <v/>
      </c>
    </row>
    <row r="35" ht="13" customHeight="1">
      <c r="A35" s="25" t="inlineStr">
        <is>
          <t xml:space="preserve">    Utilities</t>
        </is>
      </c>
      <c r="B35" s="26" t="n">
        <v>1090.6</v>
      </c>
      <c r="C35" s="26" t="n">
        <v>72.00000000000045</v>
      </c>
      <c r="D35" s="26" t="n">
        <v>2060.91</v>
      </c>
      <c r="E35" s="26" t="n">
        <v>1227.22</v>
      </c>
      <c r="F35" s="26" t="n">
        <v>800.8800000000001</v>
      </c>
      <c r="G35" s="26" t="n">
        <v>1086.41</v>
      </c>
      <c r="H35" s="26" t="n">
        <v>648.46</v>
      </c>
      <c r="I35" s="26" t="n">
        <v>655.5999999999999</v>
      </c>
      <c r="J35" s="26" t="n">
        <v>1518.48</v>
      </c>
      <c r="K35" s="26" t="n">
        <v>795.6700000000001</v>
      </c>
      <c r="L35" s="26" t="n">
        <v>740.5999999999999</v>
      </c>
      <c r="M35" s="26" t="n">
        <v>1205.02</v>
      </c>
      <c r="N35" s="26">
        <f>SUM(B35:M35)</f>
        <v/>
      </c>
      <c r="O35" s="26" t="n">
        <v>985.79</v>
      </c>
      <c r="P35" s="26" t="n">
        <v>1036.83</v>
      </c>
      <c r="Q35" s="26" t="n">
        <v>1302.1</v>
      </c>
      <c r="R35" s="26" t="n">
        <v>1010.56</v>
      </c>
      <c r="S35" s="26" t="n">
        <v>808.67</v>
      </c>
      <c r="T35" s="26" t="n">
        <v>470.01</v>
      </c>
      <c r="U35" s="26" t="n">
        <v>732.4000000000001</v>
      </c>
      <c r="AA35" s="26">
        <f>SUM(O35:U35)</f>
        <v/>
      </c>
      <c r="AB35" s="26">
        <f>SUM(O35:Z35)</f>
        <v/>
      </c>
      <c r="AC35" s="26" t="n">
        <v>996</v>
      </c>
      <c r="AD35" s="26" t="n">
        <v>996</v>
      </c>
      <c r="AE35" s="26" t="n">
        <v>996</v>
      </c>
      <c r="AF35" s="26" t="n">
        <v>996</v>
      </c>
      <c r="AG35" s="26" t="n">
        <v>996</v>
      </c>
      <c r="AH35" s="26" t="n">
        <v>996</v>
      </c>
      <c r="AI35" s="34">
        <f>SUM(AC35:AH35)</f>
        <v/>
      </c>
      <c r="AJ35" s="26">
        <f>SUM(AC35:AH35)+AI35</f>
        <v/>
      </c>
      <c r="AK35" s="11">
        <f>IF(N35&lt;&gt;0,(AB35-N35)/ABS(N35),0)</f>
        <v/>
      </c>
      <c r="AL35" s="11">
        <f>IF(AB35&lt;&gt;0,(AJ35-AB35)/ABS(AB35),0)</f>
        <v/>
      </c>
    </row>
    <row r="36" ht="13" customHeight="1">
      <c r="A36" s="25" t="inlineStr">
        <is>
          <t xml:space="preserve">    Repairs &amp; Maintenance</t>
        </is>
      </c>
      <c r="B36" s="26" t="n">
        <v>222</v>
      </c>
      <c r="C36" s="26" t="n">
        <v>0</v>
      </c>
      <c r="D36" s="26" t="n">
        <v>2295.47</v>
      </c>
      <c r="E36" s="26" t="n">
        <v>59.2</v>
      </c>
      <c r="F36" s="26" t="n">
        <v>102.84</v>
      </c>
      <c r="G36" s="26" t="n">
        <v>156.31</v>
      </c>
      <c r="H36" s="26" t="n">
        <v>269.93</v>
      </c>
      <c r="I36" s="26" t="n">
        <v>7.38</v>
      </c>
      <c r="J36" s="26" t="n">
        <v>10.62</v>
      </c>
      <c r="K36" s="26" t="n">
        <v>114.23</v>
      </c>
      <c r="L36" s="26" t="n">
        <v>36</v>
      </c>
      <c r="M36" s="26" t="n">
        <v>108</v>
      </c>
      <c r="N36" s="26">
        <f>SUM(B36:M36)</f>
        <v/>
      </c>
      <c r="O36" s="26" t="n">
        <v>0</v>
      </c>
      <c r="P36" s="26" t="n">
        <v>3635.32</v>
      </c>
      <c r="Q36" s="26" t="n">
        <v>1337.4</v>
      </c>
      <c r="R36" s="26" t="n">
        <v>110.18</v>
      </c>
      <c r="S36" s="26" t="n">
        <v>120.98</v>
      </c>
      <c r="T36" s="26" t="n">
        <v>0</v>
      </c>
      <c r="U36" s="26" t="n">
        <v>917.1200000000001</v>
      </c>
      <c r="AA36" s="26">
        <f>SUM(O36:U36)</f>
        <v/>
      </c>
      <c r="AB36" s="26">
        <f>SUM(O36:Z36)</f>
        <v/>
      </c>
      <c r="AC36" s="26" t="n">
        <v>0</v>
      </c>
      <c r="AD36" s="26" t="n">
        <v>0</v>
      </c>
      <c r="AE36" s="26" t="n">
        <v>0</v>
      </c>
      <c r="AF36" s="26" t="n">
        <v>0</v>
      </c>
      <c r="AG36" s="26" t="n">
        <v>0</v>
      </c>
      <c r="AH36" s="26" t="n">
        <v>0</v>
      </c>
      <c r="AI36" s="34">
        <f>SUM(AC36:AH36)</f>
        <v/>
      </c>
      <c r="AJ36" s="26">
        <f>SUM(AC36:AH36)+AI36</f>
        <v/>
      </c>
      <c r="AK36" s="11">
        <f>IF(N36&lt;&gt;0,(AB36-N36)/ABS(N36),0)</f>
        <v/>
      </c>
      <c r="AL36" s="11">
        <f>IF(AB36&lt;&gt;0,(AJ36-AB36)/ABS(AB36),0)</f>
        <v/>
      </c>
    </row>
    <row r="37" ht="13" customHeight="1">
      <c r="A37" s="25" t="inlineStr">
        <is>
          <t xml:space="preserve">    Cleaning</t>
        </is>
      </c>
      <c r="B37" s="26" t="n">
        <v>910.8999999999999</v>
      </c>
      <c r="C37" s="26" t="n">
        <v>436.73</v>
      </c>
      <c r="D37" s="26" t="n">
        <v>608.49</v>
      </c>
      <c r="E37" s="26" t="n">
        <v>631.55</v>
      </c>
      <c r="F37" s="26" t="n">
        <v>660.9300000000001</v>
      </c>
      <c r="G37" s="26" t="n">
        <v>1356.2</v>
      </c>
      <c r="H37" s="26" t="n">
        <v>461</v>
      </c>
      <c r="I37" s="26" t="n">
        <v>439.54</v>
      </c>
      <c r="J37" s="26" t="n">
        <v>1191.48</v>
      </c>
      <c r="K37" s="26" t="n">
        <v>462.57</v>
      </c>
      <c r="L37" s="26" t="n">
        <v>228.42</v>
      </c>
      <c r="M37" s="26" t="n">
        <v>464.64</v>
      </c>
      <c r="N37" s="26">
        <f>SUM(B37:M37)</f>
        <v/>
      </c>
      <c r="O37" s="26" t="n">
        <v>354.19</v>
      </c>
      <c r="P37" s="26" t="n">
        <v>49.12</v>
      </c>
      <c r="Q37" s="26" t="n">
        <v>456.79</v>
      </c>
      <c r="R37" s="26" t="n">
        <v>280.03</v>
      </c>
      <c r="S37" s="26" t="n">
        <v>401.15</v>
      </c>
      <c r="T37" s="26" t="n">
        <v>459.4</v>
      </c>
      <c r="U37" s="26" t="n">
        <v>5.63</v>
      </c>
      <c r="AA37" s="26">
        <f>SUM(O37:U37)</f>
        <v/>
      </c>
      <c r="AB37" s="26">
        <f>SUM(O37:Z37)</f>
        <v/>
      </c>
      <c r="AC37" s="26" t="n">
        <v>333</v>
      </c>
      <c r="AD37" s="26" t="n">
        <v>333</v>
      </c>
      <c r="AE37" s="26" t="n">
        <v>333</v>
      </c>
      <c r="AF37" s="26" t="n">
        <v>333</v>
      </c>
      <c r="AG37" s="26" t="n">
        <v>333</v>
      </c>
      <c r="AH37" s="26" t="n">
        <v>333</v>
      </c>
      <c r="AI37" s="34">
        <f>SUM(AC37:AH37)</f>
        <v/>
      </c>
      <c r="AJ37" s="26">
        <f>SUM(AC37:AH37)+AI37</f>
        <v/>
      </c>
      <c r="AK37" s="11">
        <f>IF(N37&lt;&gt;0,(AB37-N37)/ABS(N37),0)</f>
        <v/>
      </c>
      <c r="AL37" s="11">
        <f>IF(AB37&lt;&gt;0,(AJ37-AB37)/ABS(AB37),0)</f>
        <v/>
      </c>
    </row>
    <row r="38" ht="13" customHeight="1">
      <c r="A38" s="25" t="inlineStr">
        <is>
          <t xml:space="preserve">    Waste Disposal</t>
        </is>
      </c>
      <c r="B38" s="26" t="n">
        <v>377.59</v>
      </c>
      <c r="C38" s="26" t="n">
        <v>583.16</v>
      </c>
      <c r="D38" s="26" t="n">
        <v>730.2299999999999</v>
      </c>
      <c r="E38" s="26" t="n">
        <v>334.81</v>
      </c>
      <c r="F38" s="26" t="n">
        <v>283.5700000000001</v>
      </c>
      <c r="G38" s="26" t="n">
        <v>414.48</v>
      </c>
      <c r="H38" s="26" t="n">
        <v>361.07</v>
      </c>
      <c r="I38" s="26" t="n">
        <v>449.9</v>
      </c>
      <c r="J38" s="26" t="n">
        <v>780.8099999999999</v>
      </c>
      <c r="K38" s="26" t="n">
        <v>411.19</v>
      </c>
      <c r="L38" s="26" t="n">
        <v>428.31</v>
      </c>
      <c r="M38" s="26" t="n">
        <v>481.72</v>
      </c>
      <c r="N38" s="26">
        <f>SUM(B38:M38)</f>
        <v/>
      </c>
      <c r="O38" s="26" t="n">
        <v>428.3</v>
      </c>
      <c r="P38" s="26" t="n">
        <v>529.11</v>
      </c>
      <c r="Q38" s="26" t="n">
        <v>481.72</v>
      </c>
      <c r="R38" s="26" t="n">
        <v>536.35</v>
      </c>
      <c r="S38" s="26" t="n">
        <v>455.32</v>
      </c>
      <c r="T38" s="26" t="n">
        <v>346.66</v>
      </c>
      <c r="U38" s="26" t="n">
        <v>620.08</v>
      </c>
      <c r="AA38" s="26">
        <f>SUM(O38:U38)</f>
        <v/>
      </c>
      <c r="AB38" s="26">
        <f>SUM(O38:Z38)</f>
        <v/>
      </c>
      <c r="AC38" s="26" t="n">
        <v>474</v>
      </c>
      <c r="AD38" s="26" t="n">
        <v>474</v>
      </c>
      <c r="AE38" s="26" t="n">
        <v>474</v>
      </c>
      <c r="AF38" s="26" t="n">
        <v>474</v>
      </c>
      <c r="AG38" s="26" t="n">
        <v>474</v>
      </c>
      <c r="AH38" s="26" t="n">
        <v>474</v>
      </c>
      <c r="AI38" s="34">
        <f>SUM(AC38:AH38)</f>
        <v/>
      </c>
      <c r="AJ38" s="26">
        <f>SUM(AC38:AH38)+AI38</f>
        <v/>
      </c>
      <c r="AK38" s="11">
        <f>IF(N38&lt;&gt;0,(AB38-N38)/ABS(N38),0)</f>
        <v/>
      </c>
      <c r="AL38" s="11">
        <f>IF(AB38&lt;&gt;0,(AJ38-AB38)/ABS(AB38),0)</f>
        <v/>
      </c>
    </row>
    <row r="39" ht="13" customHeight="1">
      <c r="A39" s="25" t="inlineStr">
        <is>
          <t xml:space="preserve">    Postage/Printing/Stationery</t>
        </is>
      </c>
      <c r="B39" s="26" t="n">
        <v>71.09999999999999</v>
      </c>
      <c r="C39" s="26" t="n">
        <v>84.2</v>
      </c>
      <c r="D39" s="26" t="n">
        <v>53.57</v>
      </c>
      <c r="E39" s="26" t="n">
        <v>40.14</v>
      </c>
      <c r="F39" s="26" t="n">
        <v>67.65000000000001</v>
      </c>
      <c r="G39" s="26" t="n">
        <v>49.08</v>
      </c>
      <c r="H39" s="26" t="n">
        <v>71.48999999999999</v>
      </c>
      <c r="I39" s="26" t="n">
        <v>270.78</v>
      </c>
      <c r="J39" s="26" t="n">
        <v>102.83</v>
      </c>
      <c r="K39" s="26" t="n">
        <v>91.92</v>
      </c>
      <c r="L39" s="26" t="n">
        <v>54.05</v>
      </c>
      <c r="M39" s="26" t="n">
        <v>43.75</v>
      </c>
      <c r="N39" s="26">
        <f>SUM(B39:M39)</f>
        <v/>
      </c>
      <c r="O39" s="26" t="n">
        <v>86.89</v>
      </c>
      <c r="P39" s="26" t="n">
        <v>86.22</v>
      </c>
      <c r="Q39" s="26" t="n">
        <v>84.04000000000001</v>
      </c>
      <c r="R39" s="26" t="n">
        <v>78.89</v>
      </c>
      <c r="S39" s="26" t="n">
        <v>111.28</v>
      </c>
      <c r="T39" s="26" t="n">
        <v>81.90000000000001</v>
      </c>
      <c r="U39" s="26" t="n">
        <v>104.47</v>
      </c>
      <c r="AA39" s="26">
        <f>SUM(O39:U39)</f>
        <v/>
      </c>
      <c r="AB39" s="26">
        <f>SUM(O39:Z39)</f>
        <v/>
      </c>
      <c r="AC39" s="26" t="n">
        <v>0</v>
      </c>
      <c r="AD39" s="26" t="n">
        <v>0</v>
      </c>
      <c r="AE39" s="26" t="n">
        <v>0</v>
      </c>
      <c r="AF39" s="26" t="n">
        <v>0</v>
      </c>
      <c r="AG39" s="26" t="n">
        <v>0</v>
      </c>
      <c r="AH39" s="26" t="n">
        <v>0</v>
      </c>
      <c r="AI39" s="34">
        <f>SUM(AC39:AH39)</f>
        <v/>
      </c>
      <c r="AJ39" s="26">
        <f>SUM(AC39:AH39)+AI39</f>
        <v/>
      </c>
      <c r="AK39" s="11">
        <f>IF(N39&lt;&gt;0,(AB39-N39)/ABS(N39),0)</f>
        <v/>
      </c>
      <c r="AL39" s="11">
        <f>IF(AB39&lt;&gt;0,(AJ39-AB39)/ABS(AB39),0)</f>
        <v/>
      </c>
    </row>
    <row r="40" ht="13" customHeight="1">
      <c r="A40" s="25" t="inlineStr">
        <is>
          <t xml:space="preserve">    Telephone</t>
        </is>
      </c>
      <c r="B40" s="26" t="n">
        <v>0</v>
      </c>
      <c r="C40" s="26" t="n">
        <v>0</v>
      </c>
      <c r="D40" s="26" t="n">
        <v>0</v>
      </c>
      <c r="E40" s="26" t="n">
        <v>0</v>
      </c>
      <c r="F40" s="26" t="n">
        <v>0</v>
      </c>
      <c r="G40" s="26" t="n">
        <v>0</v>
      </c>
      <c r="H40" s="26" t="n">
        <v>0</v>
      </c>
      <c r="I40" s="26" t="n">
        <v>0</v>
      </c>
      <c r="J40" s="26" t="n">
        <v>0</v>
      </c>
      <c r="K40" s="26" t="n">
        <v>0</v>
      </c>
      <c r="L40" s="26" t="n">
        <v>0</v>
      </c>
      <c r="M40" s="26" t="n">
        <v>0</v>
      </c>
      <c r="N40" s="26">
        <f>SUM(B40:M40)</f>
        <v/>
      </c>
      <c r="O40" s="26" t="n">
        <v>382</v>
      </c>
      <c r="P40" s="26" t="n">
        <v>485</v>
      </c>
      <c r="Q40" s="26" t="n">
        <v>290</v>
      </c>
      <c r="R40" s="26" t="n">
        <v>252</v>
      </c>
      <c r="S40" s="26" t="n">
        <v>174</v>
      </c>
      <c r="T40" s="26" t="n">
        <v>0</v>
      </c>
      <c r="U40" s="26" t="n">
        <v>0</v>
      </c>
      <c r="AA40" s="26">
        <f>SUM(O40:U40)</f>
        <v/>
      </c>
      <c r="AB40" s="26">
        <f>SUM(O40:Z40)</f>
        <v/>
      </c>
      <c r="AC40" s="26" t="n">
        <v>0</v>
      </c>
      <c r="AD40" s="26" t="n">
        <v>0</v>
      </c>
      <c r="AE40" s="26" t="n">
        <v>0</v>
      </c>
      <c r="AF40" s="26" t="n">
        <v>0</v>
      </c>
      <c r="AG40" s="26" t="n">
        <v>0</v>
      </c>
      <c r="AH40" s="26" t="n">
        <v>0</v>
      </c>
      <c r="AI40" s="34">
        <f>SUM(AC40:AH40)</f>
        <v/>
      </c>
      <c r="AJ40" s="26">
        <f>SUM(AC40:AH40)+AI40</f>
        <v/>
      </c>
      <c r="AK40" s="11">
        <f>IF(N40&lt;&gt;0,(AB40-N40)/ABS(N40),0)</f>
        <v/>
      </c>
      <c r="AL40" s="11">
        <f>IF(AB40&lt;&gt;0,(AJ40-AB40)/ABS(AB40),0)</f>
        <v/>
      </c>
    </row>
    <row r="41" ht="13" customHeight="1">
      <c r="A41" s="25" t="inlineStr">
        <is>
          <t xml:space="preserve">    Marketing</t>
        </is>
      </c>
      <c r="B41" s="26" t="n">
        <v>0</v>
      </c>
      <c r="C41" s="26" t="n">
        <v>0</v>
      </c>
      <c r="D41" s="26" t="n">
        <v>270.44</v>
      </c>
      <c r="E41" s="26" t="n">
        <v>0</v>
      </c>
      <c r="F41" s="26" t="n">
        <v>0</v>
      </c>
      <c r="G41" s="26" t="n">
        <v>265</v>
      </c>
      <c r="H41" s="26" t="n">
        <v>0</v>
      </c>
      <c r="I41" s="26" t="n">
        <v>45</v>
      </c>
      <c r="J41" s="26" t="n">
        <v>41.25</v>
      </c>
      <c r="K41" s="26" t="n">
        <v>0</v>
      </c>
      <c r="L41" s="26" t="n">
        <v>0</v>
      </c>
      <c r="M41" s="26" t="n">
        <v>0</v>
      </c>
      <c r="N41" s="26">
        <f>SUM(B41:M41)</f>
        <v/>
      </c>
      <c r="O41" s="26" t="n">
        <v>174</v>
      </c>
      <c r="P41" s="26" t="n">
        <v>0</v>
      </c>
      <c r="Q41" s="26" t="n">
        <v>0</v>
      </c>
      <c r="R41" s="26" t="n">
        <v>171</v>
      </c>
      <c r="S41" s="26" t="n">
        <v>0</v>
      </c>
      <c r="T41" s="26" t="n">
        <v>220</v>
      </c>
      <c r="U41" s="26" t="n">
        <v>13.5</v>
      </c>
      <c r="AA41" s="26">
        <f>SUM(O41:U41)</f>
        <v/>
      </c>
      <c r="AB41" s="26">
        <f>SUM(O41:Z41)</f>
        <v/>
      </c>
      <c r="AC41" s="26" t="n">
        <v>100</v>
      </c>
      <c r="AD41" s="26" t="n">
        <v>100</v>
      </c>
      <c r="AE41" s="26" t="n">
        <v>100</v>
      </c>
      <c r="AF41" s="26" t="n">
        <v>100</v>
      </c>
      <c r="AG41" s="26" t="n">
        <v>100</v>
      </c>
      <c r="AH41" s="26" t="n">
        <v>100</v>
      </c>
      <c r="AI41" s="34">
        <f>SUM(AC41:AH41)</f>
        <v/>
      </c>
      <c r="AJ41" s="26">
        <f>SUM(AC41:AH41)+AI41</f>
        <v/>
      </c>
      <c r="AK41" s="11">
        <f>IF(N41&lt;&gt;0,(AB41-N41)/ABS(N41),0)</f>
        <v/>
      </c>
      <c r="AL41" s="11">
        <f>IF(AB41&lt;&gt;0,(AJ41-AB41)/ABS(AB41),0)</f>
        <v/>
      </c>
    </row>
    <row r="42" ht="13" customHeight="1">
      <c r="A42" s="27" t="inlineStr">
        <is>
          <t>Total Premises &amp; Admin</t>
        </is>
      </c>
      <c r="B42" s="28">
        <f>B33+B34+B35+B36+B37+B38+B39+B40+B41</f>
        <v/>
      </c>
      <c r="C42" s="28">
        <f>C33+C34+C35+C36+C37+C38+C39+C40+C41</f>
        <v/>
      </c>
      <c r="D42" s="28">
        <f>D33+D34+D35+D36+D37+D38+D39+D40+D41</f>
        <v/>
      </c>
      <c r="E42" s="28">
        <f>E33+E34+E35+E36+E37+E38+E39+E40+E41</f>
        <v/>
      </c>
      <c r="F42" s="28">
        <f>F33+F34+F35+F36+F37+F38+F39+F40+F41</f>
        <v/>
      </c>
      <c r="G42" s="28">
        <f>G33+G34+G35+G36+G37+G38+G39+G40+G41</f>
        <v/>
      </c>
      <c r="H42" s="28">
        <f>H33+H34+H35+H36+H37+H38+H39+H40+H41</f>
        <v/>
      </c>
      <c r="I42" s="28">
        <f>I33+I34+I35+I36+I37+I38+I39+I40+I41</f>
        <v/>
      </c>
      <c r="J42" s="28">
        <f>J33+J34+J35+J36+J37+J38+J39+J40+J41</f>
        <v/>
      </c>
      <c r="K42" s="28">
        <f>K33+K34+K35+K36+K37+K38+K39+K40+K41</f>
        <v/>
      </c>
      <c r="L42" s="28">
        <f>L33+L34+L35+L36+L37+L38+L39+L40+L41</f>
        <v/>
      </c>
      <c r="M42" s="28">
        <f>M33+M34+M35+M36+M37+M38+M39+M40+M41</f>
        <v/>
      </c>
      <c r="N42" s="28">
        <f>N33+N34+N35+N36+N37+N38+N39+N40+N41</f>
        <v/>
      </c>
      <c r="O42" s="28">
        <f>O33+O34+O35+O36+O37+O38+O39+O40+O41</f>
        <v/>
      </c>
      <c r="P42" s="28">
        <f>P33+P34+P35+P36+P37+P38+P39+P40+P41</f>
        <v/>
      </c>
      <c r="Q42" s="28">
        <f>Q33+Q34+Q35+Q36+Q37+Q38+Q39+Q40+Q41</f>
        <v/>
      </c>
      <c r="R42" s="28">
        <f>R33+R34+R35+R36+R37+R38+R39+R40+R41</f>
        <v/>
      </c>
      <c r="S42" s="28">
        <f>S33+S34+S35+S36+S37+S38+S39+S40+S41</f>
        <v/>
      </c>
      <c r="T42" s="28">
        <f>T33+T34+T35+T36+T37+T38+T39+T40+T41</f>
        <v/>
      </c>
      <c r="U42" s="28">
        <f>U33+U34+U35+U36+U37+U38+U39+U40+U41</f>
        <v/>
      </c>
      <c r="V42" s="28">
        <f>V33+V34+V35+V36+V37+V38+V39+V40+V41</f>
        <v/>
      </c>
      <c r="W42" s="28">
        <f>W33+W34+W35+W36+W37+W38+W39+W40+W41</f>
        <v/>
      </c>
      <c r="X42" s="28">
        <f>X33+X34+X35+X36+X37+X38+X39+X40+X41</f>
        <v/>
      </c>
      <c r="Y42" s="28">
        <f>Y33+Y34+Y35+Y36+Y37+Y38+Y39+Y40+Y41</f>
        <v/>
      </c>
      <c r="Z42" s="28">
        <f>Z33+Z34+Z35+Z36+Z37+Z38+Z39+Z40+Z41</f>
        <v/>
      </c>
      <c r="AA42" s="28">
        <f>AA33+AA34+AA35+AA36+AA37+AA38+AA39+AA40+AA41</f>
        <v/>
      </c>
      <c r="AB42" s="28">
        <f>AB33+AB34+AB35+AB36+AB37+AB38+AB39+AB40+AB41</f>
        <v/>
      </c>
      <c r="AC42" s="28">
        <f>AC33+AC34+AC35+AC36+AC37+AC38+AC39+AC40+AC41</f>
        <v/>
      </c>
      <c r="AD42" s="28">
        <f>AD33+AD34+AD35+AD36+AD37+AD38+AD39+AD40+AD41</f>
        <v/>
      </c>
      <c r="AE42" s="28">
        <f>AE33+AE34+AE35+AE36+AE37+AE38+AE39+AE40+AE41</f>
        <v/>
      </c>
      <c r="AF42" s="28">
        <f>AF33+AF34+AF35+AF36+AF37+AF38+AF39+AF40+AF41</f>
        <v/>
      </c>
      <c r="AG42" s="28">
        <f>AG33+AG34+AG35+AG36+AG37+AG38+AG39+AG40+AG41</f>
        <v/>
      </c>
      <c r="AH42" s="28">
        <f>AH33+AH34+AH35+AH36+AH37+AH38+AH39+AH40+AH41</f>
        <v/>
      </c>
      <c r="AI42" s="28">
        <f>AI33+AI34+AI35+AI36+AI37+AI38+AI39+AI40+AI41</f>
        <v/>
      </c>
      <c r="AJ42" s="28">
        <f>AJ33+AJ34+AJ35+AJ36+AJ37+AJ38+AJ39+AJ40+AJ41</f>
        <v/>
      </c>
      <c r="AK42" s="11">
        <f>IF(N42&lt;&gt;0,(AB42-N42)/ABS(N42),0)</f>
        <v/>
      </c>
      <c r="AL42" s="11">
        <f>IF(AB42&lt;&gt;0,(AJ42-AB42)/ABS(AB42),0)</f>
        <v/>
      </c>
    </row>
    <row r="43" ht="5" customHeight="1"/>
    <row r="44" ht="13" customHeight="1">
      <c r="A44" s="29" t="inlineStr">
        <is>
          <t>Total Direct Costs</t>
        </is>
      </c>
      <c r="AK44" s="11">
        <f>IF(N44&lt;&gt;0,(AB44-N44)/ABS(N44),0)</f>
        <v/>
      </c>
      <c r="AL44" s="11">
        <f>IF(AB44&lt;&gt;0,(AJ44-AB44)/ABS(AB44),0)</f>
        <v/>
      </c>
    </row>
    <row r="45" ht="5" customHeight="1"/>
    <row r="46" ht="15" customHeight="1">
      <c r="A46" s="30" t="inlineStr">
        <is>
          <t>CONTRIBUTION</t>
        </is>
      </c>
      <c r="B46" s="31">
        <f>B7-B44</f>
        <v/>
      </c>
      <c r="C46" s="31">
        <f>C7-C44</f>
        <v/>
      </c>
      <c r="D46" s="31">
        <f>D7-D44</f>
        <v/>
      </c>
      <c r="E46" s="31">
        <f>E7-E44</f>
        <v/>
      </c>
      <c r="F46" s="31">
        <f>F7-F44</f>
        <v/>
      </c>
      <c r="G46" s="31">
        <f>G7-G44</f>
        <v/>
      </c>
      <c r="H46" s="31">
        <f>H7-H44</f>
        <v/>
      </c>
      <c r="I46" s="31">
        <f>I7-I44</f>
        <v/>
      </c>
      <c r="J46" s="31">
        <f>J7-J44</f>
        <v/>
      </c>
      <c r="K46" s="31">
        <f>K7-K44</f>
        <v/>
      </c>
      <c r="L46" s="31">
        <f>L7-L44</f>
        <v/>
      </c>
      <c r="M46" s="31">
        <f>M7-M44</f>
        <v/>
      </c>
      <c r="N46" s="31">
        <f>N7-N44</f>
        <v/>
      </c>
      <c r="O46" s="31">
        <f>O7-O44</f>
        <v/>
      </c>
      <c r="P46" s="31">
        <f>P7-P44</f>
        <v/>
      </c>
      <c r="Q46" s="31">
        <f>Q7-Q44</f>
        <v/>
      </c>
      <c r="R46" s="31">
        <f>R7-R44</f>
        <v/>
      </c>
      <c r="S46" s="31">
        <f>S7-S44</f>
        <v/>
      </c>
      <c r="T46" s="31">
        <f>T7-T44</f>
        <v/>
      </c>
      <c r="U46" s="31">
        <f>U7-U44</f>
        <v/>
      </c>
      <c r="V46" s="31">
        <f>V7-V44</f>
        <v/>
      </c>
      <c r="W46" s="31">
        <f>W7-W44</f>
        <v/>
      </c>
      <c r="X46" s="31">
        <f>X7-X44</f>
        <v/>
      </c>
      <c r="Y46" s="31">
        <f>Y7-Y44</f>
        <v/>
      </c>
      <c r="Z46" s="31">
        <f>Z7-Z44</f>
        <v/>
      </c>
      <c r="AA46" s="31">
        <f>AA7-AA44</f>
        <v/>
      </c>
      <c r="AB46" s="31">
        <f>AB7-AB44</f>
        <v/>
      </c>
      <c r="AC46" s="31">
        <f>AC7-AC44</f>
        <v/>
      </c>
      <c r="AD46" s="31">
        <f>AD7-AD44</f>
        <v/>
      </c>
      <c r="AE46" s="31">
        <f>AE7-AE44</f>
        <v/>
      </c>
      <c r="AF46" s="31">
        <f>AF7-AF44</f>
        <v/>
      </c>
      <c r="AG46" s="31">
        <f>AG7-AG44</f>
        <v/>
      </c>
      <c r="AH46" s="31">
        <f>AH7-AH44</f>
        <v/>
      </c>
      <c r="AI46" s="31">
        <f>AI7-AI44</f>
        <v/>
      </c>
      <c r="AJ46" s="31">
        <f>AJ7-AJ44</f>
        <v/>
      </c>
      <c r="AK46" s="11">
        <f>IF(N46&lt;&gt;0,(AB46-N46)/ABS(N46),0)</f>
        <v/>
      </c>
      <c r="AL46" s="11">
        <f>IF(AB46&lt;&gt;0,(AJ46-AB46)/ABS(AB46),0)</f>
        <v/>
      </c>
    </row>
  </sheetData>
  <mergeCells count="8">
    <mergeCell ref="A10:AL10"/>
    <mergeCell ref="B1:N1"/>
    <mergeCell ref="A23:AL23"/>
    <mergeCell ref="A32:AL32"/>
    <mergeCell ref="AC1:AJ1"/>
    <mergeCell ref="A9:AL9"/>
    <mergeCell ref="A3:AL3"/>
    <mergeCell ref="O1:AB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L4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9.5" customWidth="1" min="27" max="27"/>
    <col width="9.5" customWidth="1" min="28" max="28"/>
    <col width="9.5" customWidth="1" min="29" max="29"/>
    <col width="9.5" customWidth="1" min="30" max="30"/>
    <col width="9.5" customWidth="1" min="31" max="31"/>
    <col width="9.5" customWidth="1" min="32" max="32"/>
    <col width="9.5" customWidth="1" min="33" max="33"/>
    <col width="9.5" customWidth="1" min="34" max="34"/>
    <col width="9.5" customWidth="1" min="35" max="35"/>
    <col width="11" customWidth="1" min="36" max="36"/>
    <col width="10" customWidth="1" min="37" max="37"/>
    <col width="10" customWidth="1" min="38" max="38"/>
  </cols>
  <sheetData>
    <row r="1" ht="18" customHeight="1">
      <c r="A1" s="1" t="inlineStr">
        <is>
          <t>Northumberland</t>
        </is>
      </c>
      <c r="B1" s="2" t="inlineStr">
        <is>
          <t>Actuals 2025</t>
        </is>
      </c>
      <c r="O1" s="2" t="inlineStr">
        <is>
          <t>2026 Actual / Forecast</t>
        </is>
      </c>
      <c r="AC1" s="32" t="inlineStr">
        <is>
          <t>2027 Plan</t>
        </is>
      </c>
      <c r="AK1" s="3" t="inlineStr">
        <is>
          <t>YoY</t>
        </is>
      </c>
      <c r="AL1" s="3" t="inlineStr">
        <is>
          <t>YoY</t>
        </is>
      </c>
    </row>
    <row r="2" ht="22" customHeight="1">
      <c r="B2" s="4" t="inlineStr">
        <is>
          <t>Jan</t>
        </is>
      </c>
      <c r="C2" s="4" t="inlineStr">
        <is>
          <t>Feb</t>
        </is>
      </c>
      <c r="D2" s="4" t="inlineStr">
        <is>
          <t>Mar</t>
        </is>
      </c>
      <c r="E2" s="4" t="inlineStr">
        <is>
          <t>Apr</t>
        </is>
      </c>
      <c r="F2" s="4" t="inlineStr">
        <is>
          <t>May</t>
        </is>
      </c>
      <c r="G2" s="4" t="inlineStr">
        <is>
          <t>Jun</t>
        </is>
      </c>
      <c r="H2" s="4" t="inlineStr">
        <is>
          <t>Jul</t>
        </is>
      </c>
      <c r="I2" s="4" t="inlineStr">
        <is>
          <t>Aug</t>
        </is>
      </c>
      <c r="J2" s="4" t="inlineStr">
        <is>
          <t>Sep</t>
        </is>
      </c>
      <c r="K2" s="4" t="inlineStr">
        <is>
          <t>Oct</t>
        </is>
      </c>
      <c r="L2" s="4" t="inlineStr">
        <is>
          <t>Nov</t>
        </is>
      </c>
      <c r="M2" s="4" t="inlineStr">
        <is>
          <t>Dec</t>
        </is>
      </c>
      <c r="N2" s="5" t="inlineStr">
        <is>
          <t>FY2025
Total</t>
        </is>
      </c>
      <c r="O2" s="4" t="inlineStr">
        <is>
          <t>Jan</t>
        </is>
      </c>
      <c r="P2" s="4" t="inlineStr">
        <is>
          <t>Feb</t>
        </is>
      </c>
      <c r="Q2" s="4" t="inlineStr">
        <is>
          <t>Mar</t>
        </is>
      </c>
      <c r="R2" s="4" t="inlineStr">
        <is>
          <t>Apr</t>
        </is>
      </c>
      <c r="S2" s="4" t="inlineStr">
        <is>
          <t>May</t>
        </is>
      </c>
      <c r="T2" s="4" t="inlineStr">
        <is>
          <t>Jun</t>
        </is>
      </c>
      <c r="U2" s="4" t="inlineStr">
        <is>
          <t>Jul</t>
        </is>
      </c>
      <c r="V2" s="4" t="inlineStr">
        <is>
          <t>Aug</t>
        </is>
      </c>
      <c r="W2" s="4" t="inlineStr">
        <is>
          <t>Sep</t>
        </is>
      </c>
      <c r="X2" s="4" t="inlineStr">
        <is>
          <t>Oct</t>
        </is>
      </c>
      <c r="Y2" s="4" t="inlineStr">
        <is>
          <t>Nov</t>
        </is>
      </c>
      <c r="Z2" s="4" t="inlineStr">
        <is>
          <t>Dec</t>
        </is>
      </c>
      <c r="AA2" s="4" t="inlineStr">
        <is>
          <t>YTD</t>
        </is>
      </c>
      <c r="AB2" s="5" t="inlineStr">
        <is>
          <t>FY2026
Outlook</t>
        </is>
      </c>
      <c r="AC2" s="4" t="inlineStr">
        <is>
          <t>Jan</t>
        </is>
      </c>
      <c r="AD2" s="4" t="inlineStr">
        <is>
          <t>Feb</t>
        </is>
      </c>
      <c r="AE2" s="4" t="inlineStr">
        <is>
          <t>Mar</t>
        </is>
      </c>
      <c r="AF2" s="4" t="inlineStr">
        <is>
          <t>Apr</t>
        </is>
      </c>
      <c r="AG2" s="4" t="inlineStr">
        <is>
          <t>May</t>
        </is>
      </c>
      <c r="AH2" s="4" t="inlineStr">
        <is>
          <t>Jun</t>
        </is>
      </c>
      <c r="AI2" s="33" t="inlineStr">
        <is>
          <t>Jul-Dec
Plan</t>
        </is>
      </c>
      <c r="AJ2" s="4" t="inlineStr">
        <is>
          <t>FY2027</t>
        </is>
      </c>
      <c r="AK2" s="6" t="inlineStr">
        <is>
          <t>25→26
%</t>
        </is>
      </c>
      <c r="AL2" s="6" t="inlineStr">
        <is>
          <t>26→27
%</t>
        </is>
      </c>
    </row>
    <row r="3" ht="15" customHeight="1">
      <c r="A3" s="7" t="inlineStr">
        <is>
          <t>INCOME</t>
        </is>
      </c>
    </row>
    <row r="4" ht="13" customHeight="1">
      <c r="A4" s="8" t="inlineStr">
        <is>
          <t xml:space="preserve">    Fee Income Regular</t>
        </is>
      </c>
      <c r="B4" s="9" t="n">
        <v>9069.939999999999</v>
      </c>
      <c r="C4" s="9" t="n">
        <v>18430.57</v>
      </c>
      <c r="D4" s="9" t="n">
        <v>17723.33</v>
      </c>
      <c r="E4" s="9" t="n">
        <v>21760.34</v>
      </c>
      <c r="F4" s="9" t="n">
        <v>17055.59</v>
      </c>
      <c r="G4" s="9" t="n">
        <v>16125.92</v>
      </c>
      <c r="H4" s="9" t="n">
        <v>23858.59</v>
      </c>
      <c r="I4" s="9" t="n">
        <v>22339.21</v>
      </c>
      <c r="J4" s="9" t="n">
        <v>12468.85</v>
      </c>
      <c r="K4" s="9" t="n">
        <v>12041.45</v>
      </c>
      <c r="L4" s="9" t="n">
        <v>10680.4</v>
      </c>
      <c r="M4" s="9" t="n">
        <v>13644.19</v>
      </c>
      <c r="N4" s="9">
        <f>SUM(B4:M4)</f>
        <v/>
      </c>
      <c r="O4" s="9" t="n">
        <v>8949.66</v>
      </c>
      <c r="P4" s="9" t="n">
        <v>9181.280000000001</v>
      </c>
      <c r="Q4" s="9" t="n">
        <v>11609.4</v>
      </c>
      <c r="R4" s="9" t="n">
        <v>13485.1</v>
      </c>
      <c r="S4" s="9" t="n">
        <v>10334.4</v>
      </c>
      <c r="T4" s="9" t="n">
        <v>12530</v>
      </c>
      <c r="U4" s="9" t="n">
        <v>18402.22</v>
      </c>
      <c r="AA4" s="9">
        <f>SUM(O4:U4)</f>
        <v/>
      </c>
      <c r="AB4" s="9">
        <f>SUM(O4:Z4)</f>
        <v/>
      </c>
      <c r="AC4" s="9" t="n">
        <v>34239.39</v>
      </c>
      <c r="AD4" s="9" t="n">
        <v>30110.59</v>
      </c>
      <c r="AE4" s="9" t="n">
        <v>36653.68</v>
      </c>
      <c r="AF4" s="9" t="n">
        <v>33019.73</v>
      </c>
      <c r="AG4" s="9" t="n">
        <v>38452</v>
      </c>
      <c r="AH4" s="9" t="n">
        <v>38834.29</v>
      </c>
      <c r="AI4" s="34">
        <f>SUM(AC4:AH4)</f>
        <v/>
      </c>
      <c r="AJ4" s="9">
        <f>SUM(AC4:AH4)+AI4</f>
        <v/>
      </c>
      <c r="AK4" s="11">
        <f>IF(N4&lt;&gt;0,(AB4-N4)/ABS(N4),0)</f>
        <v/>
      </c>
      <c r="AL4" s="11">
        <f>IF(AB4&lt;&gt;0,(AJ4-AB4)/ABS(AB4),0)</f>
        <v/>
      </c>
    </row>
    <row r="5" ht="13" customHeight="1">
      <c r="A5" s="8" t="inlineStr">
        <is>
          <t xml:space="preserve">    EEEF Embedded</t>
        </is>
      </c>
      <c r="B5" s="9" t="n">
        <v>8345.08</v>
      </c>
      <c r="C5" s="9" t="n">
        <v>5508.8</v>
      </c>
      <c r="D5" s="9" t="n">
        <v>18679.4</v>
      </c>
      <c r="E5" s="9" t="n">
        <v>7516.08</v>
      </c>
      <c r="F5" s="9" t="n">
        <v>7516.08</v>
      </c>
      <c r="G5" s="9" t="n">
        <v>15698.85</v>
      </c>
      <c r="H5" s="9" t="n">
        <v>15698.85</v>
      </c>
      <c r="I5" s="9" t="n">
        <v>0</v>
      </c>
      <c r="J5" s="9" t="n">
        <v>10762.08</v>
      </c>
      <c r="K5" s="9" t="n">
        <v>10762.08</v>
      </c>
      <c r="L5" s="9" t="n">
        <v>12208.56</v>
      </c>
      <c r="M5" s="9" t="n">
        <v>12628.56</v>
      </c>
      <c r="N5" s="9">
        <f>SUM(B5:M5)</f>
        <v/>
      </c>
      <c r="O5" s="9" t="n">
        <v>10719.8</v>
      </c>
      <c r="P5" s="9" t="n">
        <v>13055.3</v>
      </c>
      <c r="Q5" s="9" t="n">
        <v>13055.3</v>
      </c>
      <c r="R5" s="9" t="n">
        <v>8798.4</v>
      </c>
      <c r="S5" s="9" t="n">
        <v>8798.4</v>
      </c>
      <c r="T5" s="9" t="n">
        <v>12706.2</v>
      </c>
      <c r="U5" s="9" t="n">
        <v>10101</v>
      </c>
      <c r="AA5" s="9">
        <f>SUM(O5:U5)</f>
        <v/>
      </c>
      <c r="AB5" s="9">
        <f>SUM(O5:Z5)</f>
        <v/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34">
        <f>SUM(AC5:AH5)</f>
        <v/>
      </c>
      <c r="AJ5" s="9">
        <f>SUM(AC5:AH5)+AI5</f>
        <v/>
      </c>
      <c r="AK5" s="11">
        <f>IF(N5&lt;&gt;0,(AB5-N5)/ABS(N5),0)</f>
        <v/>
      </c>
      <c r="AL5" s="11">
        <f>IF(AB5&lt;&gt;0,(AJ5-AB5)/ABS(AB5),0)</f>
        <v/>
      </c>
    </row>
    <row r="6" ht="13" customHeight="1">
      <c r="A6" s="8" t="inlineStr">
        <is>
          <t xml:space="preserve">    Other Income</t>
        </is>
      </c>
      <c r="B6" s="9" t="n">
        <v>0</v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1570.68</v>
      </c>
      <c r="J6" s="9" t="n">
        <v>0</v>
      </c>
      <c r="K6" s="9" t="n">
        <v>0</v>
      </c>
      <c r="L6" s="9" t="n">
        <v>0</v>
      </c>
      <c r="M6" s="9" t="n">
        <v>0</v>
      </c>
      <c r="N6" s="9">
        <f>SUM(B6:M6)</f>
        <v/>
      </c>
      <c r="O6" s="9" t="n">
        <v>0</v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0</v>
      </c>
      <c r="W6" s="9" t="n">
        <v>0</v>
      </c>
      <c r="X6" s="9" t="n">
        <v>0</v>
      </c>
      <c r="Y6" s="9" t="n">
        <v>0</v>
      </c>
      <c r="Z6" s="9" t="n">
        <v>0</v>
      </c>
      <c r="AA6" s="9">
        <f>SUM(O6:U6)</f>
        <v/>
      </c>
      <c r="AB6" s="9">
        <f>SUM(O6:Z6)</f>
        <v/>
      </c>
      <c r="AC6" s="9" t="n">
        <v>0</v>
      </c>
      <c r="AD6" s="9" t="n">
        <v>0</v>
      </c>
      <c r="AE6" s="9" t="n">
        <v>0</v>
      </c>
      <c r="AF6" s="9" t="n">
        <v>0</v>
      </c>
      <c r="AG6" s="9" t="n">
        <v>0</v>
      </c>
      <c r="AH6" s="9" t="n">
        <v>0</v>
      </c>
      <c r="AI6" s="34">
        <f>SUM(AC6:AH6)</f>
        <v/>
      </c>
      <c r="AJ6" s="9">
        <f>SUM(AC6:AH6)+AI6</f>
        <v/>
      </c>
      <c r="AK6" s="11">
        <f>IF(N6&lt;&gt;0,(AB6-N6)/ABS(N6),0)</f>
        <v/>
      </c>
      <c r="AL6" s="11">
        <f>IF(AB6&lt;&gt;0,(AJ6-AB6)/ABS(AB6),0)</f>
        <v/>
      </c>
    </row>
    <row r="7" ht="13" customHeight="1">
      <c r="A7" s="12" t="inlineStr">
        <is>
          <t>Total Income</t>
        </is>
      </c>
      <c r="B7" s="13">
        <f>B4+B5+B6</f>
        <v/>
      </c>
      <c r="C7" s="13">
        <f>C4+C5+C6</f>
        <v/>
      </c>
      <c r="D7" s="13">
        <f>D4+D5+D6</f>
        <v/>
      </c>
      <c r="E7" s="13">
        <f>E4+E5+E6</f>
        <v/>
      </c>
      <c r="F7" s="13">
        <f>F4+F5+F6</f>
        <v/>
      </c>
      <c r="G7" s="13">
        <f>G4+G5+G6</f>
        <v/>
      </c>
      <c r="H7" s="13">
        <f>H4+H5+H6</f>
        <v/>
      </c>
      <c r="I7" s="13">
        <f>I4+I5+I6</f>
        <v/>
      </c>
      <c r="J7" s="13">
        <f>J4+J5+J6</f>
        <v/>
      </c>
      <c r="K7" s="13">
        <f>K4+K5+K6</f>
        <v/>
      </c>
      <c r="L7" s="13">
        <f>L4+L5+L6</f>
        <v/>
      </c>
      <c r="M7" s="13">
        <f>M4+M5+M6</f>
        <v/>
      </c>
      <c r="N7" s="13">
        <f>N4+N5+N6</f>
        <v/>
      </c>
      <c r="O7" s="13">
        <f>O4+O5+O6</f>
        <v/>
      </c>
      <c r="P7" s="13">
        <f>P4+P5+P6</f>
        <v/>
      </c>
      <c r="Q7" s="13">
        <f>Q4+Q5+Q6</f>
        <v/>
      </c>
      <c r="R7" s="13">
        <f>R4+R5+R6</f>
        <v/>
      </c>
      <c r="S7" s="13">
        <f>S4+S5+S6</f>
        <v/>
      </c>
      <c r="T7" s="13">
        <f>T4+T5+T6</f>
        <v/>
      </c>
      <c r="U7" s="13">
        <f>U4+U5+U6</f>
        <v/>
      </c>
      <c r="V7" s="13">
        <f>V4+V5+V6</f>
        <v/>
      </c>
      <c r="W7" s="13">
        <f>W4+W5+W6</f>
        <v/>
      </c>
      <c r="X7" s="13">
        <f>X4+X5+X6</f>
        <v/>
      </c>
      <c r="Y7" s="13">
        <f>Y4+Y5+Y6</f>
        <v/>
      </c>
      <c r="Z7" s="13">
        <f>Z4+Z5+Z6</f>
        <v/>
      </c>
      <c r="AA7" s="13">
        <f>AA4+AA5+AA6</f>
        <v/>
      </c>
      <c r="AB7" s="13">
        <f>AB4+AB5+AB6</f>
        <v/>
      </c>
      <c r="AC7" s="13">
        <f>AC4+AC5+AC6</f>
        <v/>
      </c>
      <c r="AD7" s="13">
        <f>AD4+AD5+AD6</f>
        <v/>
      </c>
      <c r="AE7" s="13">
        <f>AE4+AE5+AE6</f>
        <v/>
      </c>
      <c r="AF7" s="13">
        <f>AF4+AF5+AF6</f>
        <v/>
      </c>
      <c r="AG7" s="13">
        <f>AG4+AG5+AG6</f>
        <v/>
      </c>
      <c r="AH7" s="13">
        <f>AH4+AH5+AH6</f>
        <v/>
      </c>
      <c r="AI7" s="13">
        <f>AI4+AI5+AI6</f>
        <v/>
      </c>
      <c r="AJ7" s="13">
        <f>AJ4+AJ5+AJ6</f>
        <v/>
      </c>
      <c r="AK7" s="11">
        <f>IF(N7&lt;&gt;0,(AB7-N7)/ABS(N7),0)</f>
        <v/>
      </c>
      <c r="AL7" s="11">
        <f>IF(AB7&lt;&gt;0,(AJ7-AB7)/ABS(AB7),0)</f>
        <v/>
      </c>
    </row>
    <row r="8" ht="5" customHeight="1"/>
    <row r="9" ht="15" customHeight="1">
      <c r="A9" s="7" t="inlineStr">
        <is>
          <t>DIRECT COSTS</t>
        </is>
      </c>
    </row>
    <row r="10" ht="13" customHeight="1">
      <c r="A10" s="14" t="inlineStr">
        <is>
          <t>Personnel</t>
        </is>
      </c>
    </row>
    <row r="11" ht="13" customHeight="1">
      <c r="A11" s="15" t="inlineStr">
        <is>
          <t xml:space="preserve">    Nursery Salaries</t>
        </is>
      </c>
      <c r="B11" s="16" t="n">
        <v>15019.61</v>
      </c>
      <c r="C11" s="16" t="n">
        <v>16737.5</v>
      </c>
      <c r="D11" s="16" t="n">
        <v>20296.41</v>
      </c>
      <c r="E11" s="16" t="n">
        <v>19844.91</v>
      </c>
      <c r="F11" s="16" t="n">
        <v>20514.57</v>
      </c>
      <c r="G11" s="16" t="n">
        <v>18806.18</v>
      </c>
      <c r="H11" s="16" t="n">
        <v>18874.99</v>
      </c>
      <c r="I11" s="16" t="n">
        <v>15404.24</v>
      </c>
      <c r="J11" s="16" t="n">
        <v>13827.73</v>
      </c>
      <c r="K11" s="16" t="n">
        <v>12859</v>
      </c>
      <c r="L11" s="16" t="n">
        <v>12573.97</v>
      </c>
      <c r="M11" s="16" t="n">
        <v>13485.76</v>
      </c>
      <c r="N11" s="16">
        <f>SUM(B11:M11)</f>
        <v/>
      </c>
      <c r="O11" s="16" t="n">
        <v>14774.04</v>
      </c>
      <c r="P11" s="16" t="n">
        <v>13940.85</v>
      </c>
      <c r="Q11" s="16" t="n">
        <v>17482.69</v>
      </c>
      <c r="R11" s="16" t="n">
        <v>18467.07</v>
      </c>
      <c r="S11" s="16" t="n">
        <v>19414.37</v>
      </c>
      <c r="T11" s="16" t="n">
        <v>20554.86</v>
      </c>
      <c r="U11" s="16" t="n">
        <v>20507.25</v>
      </c>
      <c r="AA11" s="16">
        <f>SUM(O11:U11)</f>
        <v/>
      </c>
      <c r="AB11" s="16">
        <f>SUM(O11:Z11)</f>
        <v/>
      </c>
      <c r="AC11" s="16" t="n">
        <v>20507.25</v>
      </c>
      <c r="AD11" s="16" t="n">
        <v>20507.25</v>
      </c>
      <c r="AE11" s="16" t="n">
        <v>20507.25</v>
      </c>
      <c r="AF11" s="16" t="n">
        <v>20507.25</v>
      </c>
      <c r="AG11" s="16" t="n">
        <v>20507.25</v>
      </c>
      <c r="AH11" s="16" t="n">
        <v>20507.25</v>
      </c>
      <c r="AI11" s="34">
        <f>SUM(AC11:AH11)</f>
        <v/>
      </c>
      <c r="AJ11" s="16">
        <f>SUM(AC11:AH11)+AI11</f>
        <v/>
      </c>
      <c r="AK11" s="11">
        <f>IF(N11&lt;&gt;0,(AB11-N11)/ABS(N11),0)</f>
        <v/>
      </c>
      <c r="AL11" s="11">
        <f>IF(AB11&lt;&gt;0,(AJ11-AB11)/ABS(AB11),0)</f>
        <v/>
      </c>
    </row>
    <row r="12" ht="13" customHeight="1">
      <c r="A12" s="15" t="inlineStr">
        <is>
          <t xml:space="preserve">    Nursery NI</t>
        </is>
      </c>
      <c r="B12" s="16" t="n">
        <v>1126.07</v>
      </c>
      <c r="C12" s="16" t="n">
        <v>1360.14</v>
      </c>
      <c r="D12" s="16" t="n">
        <v>1404.5</v>
      </c>
      <c r="E12" s="16" t="n">
        <v>1975.71</v>
      </c>
      <c r="F12" s="16" t="n">
        <v>2049.66</v>
      </c>
      <c r="G12" s="16" t="n">
        <v>1811.17</v>
      </c>
      <c r="H12" s="16" t="n">
        <v>1985.01</v>
      </c>
      <c r="I12" s="16" t="n">
        <v>1552.22</v>
      </c>
      <c r="J12" s="16" t="n">
        <v>1459.53</v>
      </c>
      <c r="K12" s="16" t="n">
        <v>1396.13</v>
      </c>
      <c r="L12" s="16" t="n">
        <v>1362.29</v>
      </c>
      <c r="M12" s="16" t="n">
        <v>1508.86</v>
      </c>
      <c r="N12" s="16">
        <f>SUM(B12:M12)</f>
        <v/>
      </c>
      <c r="O12" s="16" t="n">
        <v>1686</v>
      </c>
      <c r="P12" s="16" t="n">
        <v>1501.44</v>
      </c>
      <c r="Q12" s="16" t="n">
        <v>1885.63</v>
      </c>
      <c r="R12" s="16" t="n">
        <v>1894.36</v>
      </c>
      <c r="S12" s="16" t="n">
        <v>1931.05</v>
      </c>
      <c r="T12" s="16" t="n">
        <v>1993.72</v>
      </c>
      <c r="U12" s="16" t="n">
        <v>2095.05</v>
      </c>
      <c r="AA12" s="16">
        <f>SUM(O12:U12)</f>
        <v/>
      </c>
      <c r="AB12" s="16">
        <f>SUM(O12:Z12)</f>
        <v/>
      </c>
      <c r="AC12" s="16" t="n">
        <v>2095.05</v>
      </c>
      <c r="AD12" s="16" t="n">
        <v>2095.05</v>
      </c>
      <c r="AE12" s="16" t="n">
        <v>2095.05</v>
      </c>
      <c r="AF12" s="16" t="n">
        <v>2095.05</v>
      </c>
      <c r="AG12" s="16" t="n">
        <v>2095.05</v>
      </c>
      <c r="AH12" s="16" t="n">
        <v>2095.05</v>
      </c>
      <c r="AI12" s="34">
        <f>SUM(AC12:AH12)</f>
        <v/>
      </c>
      <c r="AJ12" s="16">
        <f>SUM(AC12:AH12)+AI12</f>
        <v/>
      </c>
      <c r="AK12" s="11">
        <f>IF(N12&lt;&gt;0,(AB12-N12)/ABS(N12),0)</f>
        <v/>
      </c>
      <c r="AL12" s="11">
        <f>IF(AB12&lt;&gt;0,(AJ12-AB12)/ABS(AB12),0)</f>
        <v/>
      </c>
    </row>
    <row r="13" ht="13" customHeight="1">
      <c r="A13" s="15" t="inlineStr">
        <is>
          <t xml:space="preserve">    Nursery Pension</t>
        </is>
      </c>
      <c r="B13" s="16" t="n">
        <v>301.87</v>
      </c>
      <c r="C13" s="16" t="n">
        <v>352.12</v>
      </c>
      <c r="D13" s="16" t="n">
        <v>362.42</v>
      </c>
      <c r="E13" s="16" t="n">
        <v>373.48</v>
      </c>
      <c r="F13" s="16" t="n">
        <v>388.28</v>
      </c>
      <c r="G13" s="16" t="n">
        <v>340.58</v>
      </c>
      <c r="H13" s="16" t="n">
        <v>375.35</v>
      </c>
      <c r="I13" s="16" t="n">
        <v>275.05</v>
      </c>
      <c r="J13" s="16" t="n">
        <v>234.69</v>
      </c>
      <c r="K13" s="16" t="n">
        <v>230.34</v>
      </c>
      <c r="L13" s="16" t="n">
        <v>251.05</v>
      </c>
      <c r="M13" s="16" t="n">
        <v>230.68</v>
      </c>
      <c r="N13" s="16">
        <f>SUM(B13:M13)</f>
        <v/>
      </c>
      <c r="O13" s="16" t="n">
        <v>318.63</v>
      </c>
      <c r="P13" s="16" t="n">
        <v>261.27</v>
      </c>
      <c r="Q13" s="16" t="n">
        <v>299.64</v>
      </c>
      <c r="R13" s="16" t="n">
        <v>303.21</v>
      </c>
      <c r="S13" s="16" t="n">
        <v>364.56</v>
      </c>
      <c r="T13" s="16" t="n">
        <v>361.3</v>
      </c>
      <c r="U13" s="16" t="n">
        <v>345.35</v>
      </c>
      <c r="AA13" s="16">
        <f>SUM(O13:U13)</f>
        <v/>
      </c>
      <c r="AB13" s="16">
        <f>SUM(O13:Z13)</f>
        <v/>
      </c>
      <c r="AC13" s="16" t="n">
        <v>345.35</v>
      </c>
      <c r="AD13" s="16" t="n">
        <v>345.35</v>
      </c>
      <c r="AE13" s="16" t="n">
        <v>345.35</v>
      </c>
      <c r="AF13" s="16" t="n">
        <v>345.35</v>
      </c>
      <c r="AG13" s="16" t="n">
        <v>345.35</v>
      </c>
      <c r="AH13" s="16" t="n">
        <v>345.35</v>
      </c>
      <c r="AI13" s="34">
        <f>SUM(AC13:AH13)</f>
        <v/>
      </c>
      <c r="AJ13" s="16">
        <f>SUM(AC13:AH13)+AI13</f>
        <v/>
      </c>
      <c r="AK13" s="11">
        <f>IF(N13&lt;&gt;0,(AB13-N13)/ABS(N13),0)</f>
        <v/>
      </c>
      <c r="AL13" s="11">
        <f>IF(AB13&lt;&gt;0,(AJ13-AB13)/ABS(AB13),0)</f>
        <v/>
      </c>
    </row>
    <row r="14" ht="13" customHeight="1">
      <c r="A14" s="15" t="inlineStr">
        <is>
          <t xml:space="preserve">    Uniform</t>
        </is>
      </c>
      <c r="B14" s="16" t="n">
        <v>0</v>
      </c>
      <c r="C14" s="16" t="n">
        <v>244.02</v>
      </c>
      <c r="D14" s="16" t="n">
        <v>69.48</v>
      </c>
      <c r="E14" s="16" t="n">
        <v>0</v>
      </c>
      <c r="F14" s="16" t="n">
        <v>0</v>
      </c>
      <c r="G14" s="16" t="n">
        <v>0</v>
      </c>
      <c r="H14" s="16" t="n">
        <v>0</v>
      </c>
      <c r="I14" s="16" t="n">
        <v>0</v>
      </c>
      <c r="J14" s="16" t="n">
        <v>128.12</v>
      </c>
      <c r="K14" s="16" t="n">
        <v>0</v>
      </c>
      <c r="L14" s="16" t="n">
        <v>0</v>
      </c>
      <c r="M14" s="16" t="n">
        <v>0</v>
      </c>
      <c r="N14" s="16">
        <f>SUM(B14:M14)</f>
        <v/>
      </c>
      <c r="O14" s="16" t="n">
        <v>49.74</v>
      </c>
      <c r="P14" s="16" t="n">
        <v>0</v>
      </c>
      <c r="Q14" s="16" t="n">
        <v>8.99</v>
      </c>
      <c r="R14" s="16" t="n">
        <v>118.56</v>
      </c>
      <c r="S14" s="16" t="n">
        <v>0</v>
      </c>
      <c r="T14" s="16" t="n">
        <v>0</v>
      </c>
      <c r="U14" s="16" t="n">
        <v>0</v>
      </c>
      <c r="AA14" s="16">
        <f>SUM(O14:U14)</f>
        <v/>
      </c>
      <c r="AB14" s="16">
        <f>SUM(O14:Z14)</f>
        <v/>
      </c>
      <c r="AC14" s="16" t="n">
        <v>34</v>
      </c>
      <c r="AD14" s="16" t="n">
        <v>34</v>
      </c>
      <c r="AE14" s="16" t="n">
        <v>34</v>
      </c>
      <c r="AF14" s="16" t="n">
        <v>34</v>
      </c>
      <c r="AG14" s="16" t="n">
        <v>34</v>
      </c>
      <c r="AH14" s="16" t="n">
        <v>34</v>
      </c>
      <c r="AI14" s="34">
        <f>SUM(AC14:AH14)</f>
        <v/>
      </c>
      <c r="AJ14" s="16">
        <f>SUM(AC14:AH14)+AI14</f>
        <v/>
      </c>
      <c r="AK14" s="11">
        <f>IF(N14&lt;&gt;0,(AB14-N14)/ABS(N14),0)</f>
        <v/>
      </c>
      <c r="AL14" s="11">
        <f>IF(AB14&lt;&gt;0,(AJ14-AB14)/ABS(AB14),0)</f>
        <v/>
      </c>
    </row>
    <row r="15" ht="13" customHeight="1">
      <c r="A15" s="15" t="inlineStr">
        <is>
          <t xml:space="preserve">    Training</t>
        </is>
      </c>
      <c r="B15" s="16" t="n">
        <v>81</v>
      </c>
      <c r="C15" s="16" t="n">
        <v>0</v>
      </c>
      <c r="D15" s="16" t="n">
        <v>0</v>
      </c>
      <c r="E15" s="16" t="n">
        <v>0</v>
      </c>
      <c r="F15" s="16" t="n">
        <v>40</v>
      </c>
      <c r="G15" s="16" t="n">
        <v>0</v>
      </c>
      <c r="H15" s="16" t="n">
        <v>0</v>
      </c>
      <c r="I15" s="16" t="n">
        <v>120.3</v>
      </c>
      <c r="J15" s="16" t="n">
        <v>0</v>
      </c>
      <c r="K15" s="16" t="n">
        <v>0</v>
      </c>
      <c r="L15" s="16" t="n">
        <v>0</v>
      </c>
      <c r="M15" s="16" t="n">
        <v>0</v>
      </c>
      <c r="N15" s="16">
        <f>SUM(B15:M15)</f>
        <v/>
      </c>
      <c r="O15" s="16" t="n">
        <v>29.97</v>
      </c>
      <c r="P15" s="16" t="n">
        <v>0</v>
      </c>
      <c r="Q15" s="16" t="n">
        <v>59</v>
      </c>
      <c r="R15" s="16" t="n">
        <v>780</v>
      </c>
      <c r="S15" s="16" t="n">
        <v>546</v>
      </c>
      <c r="T15" s="16" t="n">
        <v>0</v>
      </c>
      <c r="U15" s="16" t="n">
        <v>125.82</v>
      </c>
      <c r="AA15" s="16">
        <f>SUM(O15:U15)</f>
        <v/>
      </c>
      <c r="AB15" s="16">
        <f>SUM(O15:Z15)</f>
        <v/>
      </c>
      <c r="AC15" s="16" t="n">
        <v>100</v>
      </c>
      <c r="AD15" s="16" t="n">
        <v>100</v>
      </c>
      <c r="AE15" s="16" t="n">
        <v>100</v>
      </c>
      <c r="AF15" s="16" t="n">
        <v>100</v>
      </c>
      <c r="AG15" s="16" t="n">
        <v>100</v>
      </c>
      <c r="AH15" s="16" t="n">
        <v>100</v>
      </c>
      <c r="AI15" s="34">
        <f>SUM(AC15:AH15)</f>
        <v/>
      </c>
      <c r="AJ15" s="16">
        <f>SUM(AC15:AH15)+AI15</f>
        <v/>
      </c>
      <c r="AK15" s="11">
        <f>IF(N15&lt;&gt;0,(AB15-N15)/ABS(N15),0)</f>
        <v/>
      </c>
      <c r="AL15" s="11">
        <f>IF(AB15&lt;&gt;0,(AJ15-AB15)/ABS(AB15),0)</f>
        <v/>
      </c>
    </row>
    <row r="16" ht="13" customHeight="1">
      <c r="A16" s="15" t="inlineStr">
        <is>
          <t xml:space="preserve">    Staff Welfare</t>
        </is>
      </c>
      <c r="B16" s="16" t="n">
        <v>277.83</v>
      </c>
      <c r="C16" s="16" t="n">
        <v>334.72</v>
      </c>
      <c r="D16" s="16" t="n">
        <v>322.62</v>
      </c>
      <c r="E16" s="16" t="n">
        <v>420.75</v>
      </c>
      <c r="F16" s="16" t="n">
        <v>276.6</v>
      </c>
      <c r="G16" s="16" t="n">
        <v>178.34</v>
      </c>
      <c r="H16" s="16" t="n">
        <v>238.53</v>
      </c>
      <c r="I16" s="16" t="n">
        <v>222.62</v>
      </c>
      <c r="J16" s="16" t="n">
        <v>549.52</v>
      </c>
      <c r="K16" s="16" t="n">
        <v>451.66</v>
      </c>
      <c r="L16" s="16" t="n">
        <v>61.96</v>
      </c>
      <c r="M16" s="16" t="n">
        <v>221.31</v>
      </c>
      <c r="N16" s="16">
        <f>SUM(B16:M16)</f>
        <v/>
      </c>
      <c r="O16" s="16" t="n">
        <v>155.65</v>
      </c>
      <c r="P16" s="16" t="n">
        <v>87.29000000000001</v>
      </c>
      <c r="Q16" s="16" t="n">
        <v>19.06</v>
      </c>
      <c r="R16" s="16" t="n">
        <v>176.18</v>
      </c>
      <c r="S16" s="16" t="n">
        <v>116.69</v>
      </c>
      <c r="T16" s="16" t="n">
        <v>172.18</v>
      </c>
      <c r="U16" s="16" t="n">
        <v>283.13</v>
      </c>
      <c r="AA16" s="16">
        <f>SUM(O16:U16)</f>
        <v/>
      </c>
      <c r="AB16" s="16">
        <f>SUM(O16:Z16)</f>
        <v/>
      </c>
      <c r="AC16" s="16" t="n">
        <v>70</v>
      </c>
      <c r="AD16" s="16" t="n">
        <v>70</v>
      </c>
      <c r="AE16" s="16" t="n">
        <v>70</v>
      </c>
      <c r="AF16" s="16" t="n">
        <v>70</v>
      </c>
      <c r="AG16" s="16" t="n">
        <v>70</v>
      </c>
      <c r="AH16" s="16" t="n">
        <v>70</v>
      </c>
      <c r="AI16" s="34">
        <f>SUM(AC16:AH16)</f>
        <v/>
      </c>
      <c r="AJ16" s="16">
        <f>SUM(AC16:AH16)+AI16</f>
        <v/>
      </c>
      <c r="AK16" s="11">
        <f>IF(N16&lt;&gt;0,(AB16-N16)/ABS(N16),0)</f>
        <v/>
      </c>
      <c r="AL16" s="11">
        <f>IF(AB16&lt;&gt;0,(AJ16-AB16)/ABS(AB16),0)</f>
        <v/>
      </c>
    </row>
    <row r="17" ht="13" customHeight="1">
      <c r="A17" s="15" t="inlineStr">
        <is>
          <t xml:space="preserve">    Recruitment</t>
        </is>
      </c>
      <c r="B17" s="16" t="n">
        <v>0</v>
      </c>
      <c r="C17" s="16" t="n">
        <v>0</v>
      </c>
      <c r="D17" s="16" t="n">
        <v>0</v>
      </c>
      <c r="E17" s="16" t="n">
        <v>0</v>
      </c>
      <c r="F17" s="16" t="n">
        <v>0</v>
      </c>
      <c r="G17" s="16" t="n">
        <v>0</v>
      </c>
      <c r="H17" s="16" t="n">
        <v>0</v>
      </c>
      <c r="I17" s="16" t="n">
        <v>0</v>
      </c>
      <c r="J17" s="16" t="n">
        <v>0</v>
      </c>
      <c r="K17" s="16" t="n">
        <v>0</v>
      </c>
      <c r="L17" s="16" t="n">
        <v>0</v>
      </c>
      <c r="M17" s="16" t="n">
        <v>0</v>
      </c>
      <c r="N17" s="16">
        <f>SUM(B17:M17)</f>
        <v/>
      </c>
      <c r="O17" s="16" t="n">
        <v>0</v>
      </c>
      <c r="P17" s="16" t="n">
        <v>0</v>
      </c>
      <c r="Q17" s="16" t="n">
        <v>0</v>
      </c>
      <c r="R17" s="16" t="n">
        <v>0</v>
      </c>
      <c r="S17" s="16" t="n">
        <v>0</v>
      </c>
      <c r="T17" s="16" t="n">
        <v>0</v>
      </c>
      <c r="U17" s="16" t="n">
        <v>0</v>
      </c>
      <c r="V17" s="16" t="n">
        <v>0</v>
      </c>
      <c r="W17" s="16" t="n">
        <v>0</v>
      </c>
      <c r="X17" s="16" t="n">
        <v>0</v>
      </c>
      <c r="Y17" s="16" t="n">
        <v>0</v>
      </c>
      <c r="Z17" s="16" t="n">
        <v>0</v>
      </c>
      <c r="AA17" s="16">
        <f>SUM(O17:U17)</f>
        <v/>
      </c>
      <c r="AB17" s="16">
        <f>SUM(O17:Z17)</f>
        <v/>
      </c>
      <c r="AC17" s="16" t="n">
        <v>0</v>
      </c>
      <c r="AD17" s="16" t="n">
        <v>0</v>
      </c>
      <c r="AE17" s="16" t="n">
        <v>0</v>
      </c>
      <c r="AF17" s="16" t="n">
        <v>0</v>
      </c>
      <c r="AG17" s="16" t="n">
        <v>0</v>
      </c>
      <c r="AH17" s="16" t="n">
        <v>0</v>
      </c>
      <c r="AI17" s="34">
        <f>SUM(AC17:AH17)</f>
        <v/>
      </c>
      <c r="AJ17" s="16">
        <f>SUM(AC17:AH17)+AI17</f>
        <v/>
      </c>
      <c r="AK17" s="11">
        <f>IF(N17&lt;&gt;0,(AB17-N17)/ABS(N17),0)</f>
        <v/>
      </c>
      <c r="AL17" s="11">
        <f>IF(AB17&lt;&gt;0,(AJ17-AB17)/ABS(AB17),0)</f>
        <v/>
      </c>
    </row>
    <row r="18" ht="13" customHeight="1">
      <c r="A18" s="15" t="inlineStr">
        <is>
          <t xml:space="preserve">    Rewards &amp; Recognition</t>
        </is>
      </c>
      <c r="B18" s="16" t="n">
        <v>0</v>
      </c>
      <c r="C18" s="16" t="n">
        <v>0</v>
      </c>
      <c r="D18" s="16" t="n">
        <v>0</v>
      </c>
      <c r="E18" s="16" t="n">
        <v>0</v>
      </c>
      <c r="F18" s="16" t="n">
        <v>0</v>
      </c>
      <c r="G18" s="16" t="n">
        <v>0</v>
      </c>
      <c r="H18" s="16" t="n">
        <v>94.31999999999999</v>
      </c>
      <c r="I18" s="16" t="n">
        <v>111.25</v>
      </c>
      <c r="J18" s="16" t="n">
        <v>84.98999999999999</v>
      </c>
      <c r="K18" s="16" t="n">
        <v>31.36</v>
      </c>
      <c r="L18" s="16" t="n">
        <v>91.53</v>
      </c>
      <c r="M18" s="16" t="n">
        <v>71</v>
      </c>
      <c r="N18" s="16">
        <f>SUM(B18:M18)</f>
        <v/>
      </c>
      <c r="O18" s="16" t="n">
        <v>20</v>
      </c>
      <c r="P18" s="16" t="n">
        <v>0</v>
      </c>
      <c r="Q18" s="16" t="n">
        <v>0</v>
      </c>
      <c r="R18" s="16" t="n">
        <v>0</v>
      </c>
      <c r="S18" s="16" t="n">
        <v>0</v>
      </c>
      <c r="T18" s="16" t="n">
        <v>0</v>
      </c>
      <c r="U18" s="16" t="n">
        <v>0</v>
      </c>
      <c r="AA18" s="16">
        <f>SUM(O18:U18)</f>
        <v/>
      </c>
      <c r="AB18" s="16">
        <f>SUM(O18:Z18)</f>
        <v/>
      </c>
      <c r="AC18" s="16" t="n">
        <v>29</v>
      </c>
      <c r="AD18" s="16" t="n">
        <v>29</v>
      </c>
      <c r="AE18" s="16" t="n">
        <v>29</v>
      </c>
      <c r="AF18" s="16" t="n">
        <v>29</v>
      </c>
      <c r="AG18" s="16" t="n">
        <v>29</v>
      </c>
      <c r="AH18" s="16" t="n">
        <v>29</v>
      </c>
      <c r="AI18" s="34">
        <f>SUM(AC18:AH18)</f>
        <v/>
      </c>
      <c r="AJ18" s="16">
        <f>SUM(AC18:AH18)+AI18</f>
        <v/>
      </c>
      <c r="AK18" s="11">
        <f>IF(N18&lt;&gt;0,(AB18-N18)/ABS(N18),0)</f>
        <v/>
      </c>
      <c r="AL18" s="11">
        <f>IF(AB18&lt;&gt;0,(AJ18-AB18)/ABS(AB18),0)</f>
        <v/>
      </c>
    </row>
    <row r="19" ht="13" customHeight="1">
      <c r="A19" s="15" t="inlineStr">
        <is>
          <t xml:space="preserve">    Temps</t>
        </is>
      </c>
      <c r="B19" s="16" t="n">
        <v>0</v>
      </c>
      <c r="C19" s="16" t="n">
        <v>0</v>
      </c>
      <c r="D19" s="16" t="n">
        <v>0</v>
      </c>
      <c r="E19" s="16" t="n">
        <v>0</v>
      </c>
      <c r="F19" s="16" t="n">
        <v>0</v>
      </c>
      <c r="G19" s="16" t="n">
        <v>0</v>
      </c>
      <c r="H19" s="16" t="n">
        <v>0</v>
      </c>
      <c r="I19" s="16" t="n">
        <v>0</v>
      </c>
      <c r="J19" s="16" t="n">
        <v>0</v>
      </c>
      <c r="K19" s="16" t="n">
        <v>662.49</v>
      </c>
      <c r="L19" s="16" t="n">
        <v>0</v>
      </c>
      <c r="M19" s="16" t="n">
        <v>0</v>
      </c>
      <c r="N19" s="16">
        <f>SUM(B19:M19)</f>
        <v/>
      </c>
      <c r="O19" s="16" t="n">
        <v>0</v>
      </c>
      <c r="P19" s="16" t="n">
        <v>0</v>
      </c>
      <c r="Q19" s="16" t="n">
        <v>0</v>
      </c>
      <c r="R19" s="16" t="n">
        <v>0</v>
      </c>
      <c r="S19" s="16" t="n">
        <v>0</v>
      </c>
      <c r="T19" s="16" t="n">
        <v>0</v>
      </c>
      <c r="U19" s="16" t="n">
        <v>0</v>
      </c>
      <c r="V19" s="16" t="n">
        <v>0</v>
      </c>
      <c r="W19" s="16" t="n">
        <v>0</v>
      </c>
      <c r="X19" s="16" t="n">
        <v>0</v>
      </c>
      <c r="Y19" s="16" t="n">
        <v>0</v>
      </c>
      <c r="Z19" s="16" t="n">
        <v>0</v>
      </c>
      <c r="AA19" s="16">
        <f>SUM(O19:U19)</f>
        <v/>
      </c>
      <c r="AB19" s="16">
        <f>SUM(O19:Z19)</f>
        <v/>
      </c>
      <c r="AC19" s="16" t="n">
        <v>0</v>
      </c>
      <c r="AD19" s="16" t="n">
        <v>0</v>
      </c>
      <c r="AE19" s="16" t="n">
        <v>0</v>
      </c>
      <c r="AF19" s="16" t="n">
        <v>0</v>
      </c>
      <c r="AG19" s="16" t="n">
        <v>0</v>
      </c>
      <c r="AH19" s="16" t="n">
        <v>0</v>
      </c>
      <c r="AI19" s="34">
        <f>SUM(AC19:AH19)</f>
        <v/>
      </c>
      <c r="AJ19" s="16">
        <f>SUM(AC19:AH19)+AI19</f>
        <v/>
      </c>
      <c r="AK19" s="11">
        <f>IF(N19&lt;&gt;0,(AB19-N19)/ABS(N19),0)</f>
        <v/>
      </c>
      <c r="AL19" s="11">
        <f>IF(AB19&lt;&gt;0,(AJ19-AB19)/ABS(AB19),0)</f>
        <v/>
      </c>
    </row>
    <row r="20" ht="13" customHeight="1">
      <c r="A20" s="17" t="inlineStr">
        <is>
          <t>Total Personnel</t>
        </is>
      </c>
      <c r="B20" s="18">
        <f>B11+B12+B13+B14+B15+B16+B17+B18+B19</f>
        <v/>
      </c>
      <c r="C20" s="18">
        <f>C11+C12+C13+C14+C15+C16+C17+C18+C19</f>
        <v/>
      </c>
      <c r="D20" s="18">
        <f>D11+D12+D13+D14+D15+D16+D17+D18+D19</f>
        <v/>
      </c>
      <c r="E20" s="18">
        <f>E11+E12+E13+E14+E15+E16+E17+E18+E19</f>
        <v/>
      </c>
      <c r="F20" s="18">
        <f>F11+F12+F13+F14+F15+F16+F17+F18+F19</f>
        <v/>
      </c>
      <c r="G20" s="18">
        <f>G11+G12+G13+G14+G15+G16+G17+G18+G19</f>
        <v/>
      </c>
      <c r="H20" s="18">
        <f>H11+H12+H13+H14+H15+H16+H17+H18+H19</f>
        <v/>
      </c>
      <c r="I20" s="18">
        <f>I11+I12+I13+I14+I15+I16+I17+I18+I19</f>
        <v/>
      </c>
      <c r="J20" s="18">
        <f>J11+J12+J13+J14+J15+J16+J17+J18+J19</f>
        <v/>
      </c>
      <c r="K20" s="18">
        <f>K11+K12+K13+K14+K15+K16+K17+K18+K19</f>
        <v/>
      </c>
      <c r="L20" s="18">
        <f>L11+L12+L13+L14+L15+L16+L17+L18+L19</f>
        <v/>
      </c>
      <c r="M20" s="18">
        <f>M11+M12+M13+M14+M15+M16+M17+M18+M19</f>
        <v/>
      </c>
      <c r="N20" s="18">
        <f>N11+N12+N13+N14+N15+N16+N17+N18+N19</f>
        <v/>
      </c>
      <c r="O20" s="18">
        <f>O11+O12+O13+O14+O15+O16+O17+O18+O19</f>
        <v/>
      </c>
      <c r="P20" s="18">
        <f>P11+P12+P13+P14+P15+P16+P17+P18+P19</f>
        <v/>
      </c>
      <c r="Q20" s="18">
        <f>Q11+Q12+Q13+Q14+Q15+Q16+Q17+Q18+Q19</f>
        <v/>
      </c>
      <c r="R20" s="18">
        <f>R11+R12+R13+R14+R15+R16+R17+R18+R19</f>
        <v/>
      </c>
      <c r="S20" s="18">
        <f>S11+S12+S13+S14+S15+S16+S17+S18+S19</f>
        <v/>
      </c>
      <c r="T20" s="18">
        <f>T11+T12+T13+T14+T15+T16+T17+T18+T19</f>
        <v/>
      </c>
      <c r="U20" s="18">
        <f>U11+U12+U13+U14+U15+U16+U17+U18+U19</f>
        <v/>
      </c>
      <c r="V20" s="18">
        <f>V11+V12+V13+V14+V15+V16+V17+V18+V19</f>
        <v/>
      </c>
      <c r="W20" s="18">
        <f>W11+W12+W13+W14+W15+W16+W17+W18+W19</f>
        <v/>
      </c>
      <c r="X20" s="18">
        <f>X11+X12+X13+X14+X15+X16+X17+X18+X19</f>
        <v/>
      </c>
      <c r="Y20" s="18">
        <f>Y11+Y12+Y13+Y14+Y15+Y16+Y17+Y18+Y19</f>
        <v/>
      </c>
      <c r="Z20" s="18">
        <f>Z11+Z12+Z13+Z14+Z15+Z16+Z17+Z18+Z19</f>
        <v/>
      </c>
      <c r="AA20" s="18">
        <f>AA11+AA12+AA13+AA14+AA15+AA16+AA17+AA18+AA19</f>
        <v/>
      </c>
      <c r="AB20" s="18">
        <f>AB11+AB12+AB13+AB14+AB15+AB16+AB17+AB18+AB19</f>
        <v/>
      </c>
      <c r="AC20" s="18">
        <f>AC11+AC12+AC13+AC14+AC15+AC16+AC17+AC18+AC19</f>
        <v/>
      </c>
      <c r="AD20" s="18">
        <f>AD11+AD12+AD13+AD14+AD15+AD16+AD17+AD18+AD19</f>
        <v/>
      </c>
      <c r="AE20" s="18">
        <f>AE11+AE12+AE13+AE14+AE15+AE16+AE17+AE18+AE19</f>
        <v/>
      </c>
      <c r="AF20" s="18">
        <f>AF11+AF12+AF13+AF14+AF15+AF16+AF17+AF18+AF19</f>
        <v/>
      </c>
      <c r="AG20" s="18">
        <f>AG11+AG12+AG13+AG14+AG15+AG16+AG17+AG18+AG19</f>
        <v/>
      </c>
      <c r="AH20" s="18">
        <f>AH11+AH12+AH13+AH14+AH15+AH16+AH17+AH18+AH19</f>
        <v/>
      </c>
      <c r="AI20" s="18">
        <f>AI11+AI12+AI13+AI14+AI15+AI16+AI17+AI18+AI19</f>
        <v/>
      </c>
      <c r="AJ20" s="18">
        <f>AJ11+AJ12+AJ13+AJ14+AJ15+AJ16+AJ17+AJ18+AJ19</f>
        <v/>
      </c>
      <c r="AK20" s="11">
        <f>IF(N20&lt;&gt;0,(AB20-N20)/ABS(N20),0)</f>
        <v/>
      </c>
      <c r="AL20" s="11">
        <f>IF(AB20&lt;&gt;0,(AJ20-AB20)/ABS(AB20),0)</f>
        <v/>
      </c>
    </row>
    <row r="21" ht="13" customHeight="1">
      <c r="A21" s="19" t="inlineStr">
        <is>
          <t xml:space="preserve">    Sal:Rev</t>
        </is>
      </c>
      <c r="B21" s="20">
        <f>IF(B7&gt;0,B20/B7,0)</f>
        <v/>
      </c>
      <c r="C21" s="20">
        <f>IF(C7&gt;0,C20/C7,0)</f>
        <v/>
      </c>
      <c r="D21" s="20">
        <f>IF(D7&gt;0,D20/D7,0)</f>
        <v/>
      </c>
      <c r="E21" s="20">
        <f>IF(E7&gt;0,E20/E7,0)</f>
        <v/>
      </c>
      <c r="F21" s="20">
        <f>IF(F7&gt;0,F20/F7,0)</f>
        <v/>
      </c>
      <c r="G21" s="20">
        <f>IF(G7&gt;0,G20/G7,0)</f>
        <v/>
      </c>
      <c r="H21" s="20">
        <f>IF(H7&gt;0,H20/H7,0)</f>
        <v/>
      </c>
      <c r="I21" s="20">
        <f>IF(I7&gt;0,I20/I7,0)</f>
        <v/>
      </c>
      <c r="J21" s="20">
        <f>IF(J7&gt;0,J20/J7,0)</f>
        <v/>
      </c>
      <c r="K21" s="20">
        <f>IF(K7&gt;0,K20/K7,0)</f>
        <v/>
      </c>
      <c r="L21" s="20">
        <f>IF(L7&gt;0,L20/L7,0)</f>
        <v/>
      </c>
      <c r="M21" s="20">
        <f>IF(M7&gt;0,M20/M7,0)</f>
        <v/>
      </c>
      <c r="N21" s="20">
        <f>IF(N7&gt;0,N20/N7,0)</f>
        <v/>
      </c>
      <c r="O21" s="20">
        <f>IF(O7&gt;0,O20/O7,0)</f>
        <v/>
      </c>
      <c r="P21" s="20">
        <f>IF(P7&gt;0,P20/P7,0)</f>
        <v/>
      </c>
      <c r="Q21" s="20">
        <f>IF(Q7&gt;0,Q20/Q7,0)</f>
        <v/>
      </c>
      <c r="R21" s="20">
        <f>IF(R7&gt;0,R20/R7,0)</f>
        <v/>
      </c>
      <c r="S21" s="20">
        <f>IF(S7&gt;0,S20/S7,0)</f>
        <v/>
      </c>
      <c r="T21" s="20">
        <f>IF(T7&gt;0,T20/T7,0)</f>
        <v/>
      </c>
      <c r="U21" s="20">
        <f>IF(U7&gt;0,U20/U7,0)</f>
        <v/>
      </c>
      <c r="V21" s="20">
        <f>IF(V7&gt;0,V20/V7,0)</f>
        <v/>
      </c>
      <c r="W21" s="20">
        <f>IF(W7&gt;0,W20/W7,0)</f>
        <v/>
      </c>
      <c r="X21" s="20">
        <f>IF(X7&gt;0,X20/X7,0)</f>
        <v/>
      </c>
      <c r="Y21" s="20">
        <f>IF(Y7&gt;0,Y20/Y7,0)</f>
        <v/>
      </c>
      <c r="Z21" s="20">
        <f>IF(Z7&gt;0,Z20/Z7,0)</f>
        <v/>
      </c>
      <c r="AA21" s="20">
        <f>IF(AA7&gt;0,AA20/AA7,0)</f>
        <v/>
      </c>
      <c r="AB21" s="20">
        <f>IF(AB7&gt;0,AB20/AB7,0)</f>
        <v/>
      </c>
      <c r="AC21" s="20">
        <f>IF(AC7&gt;0,AC20/AC7,0)</f>
        <v/>
      </c>
      <c r="AD21" s="20">
        <f>IF(AD7&gt;0,AD20/AD7,0)</f>
        <v/>
      </c>
      <c r="AE21" s="20">
        <f>IF(AE7&gt;0,AE20/AE7,0)</f>
        <v/>
      </c>
      <c r="AF21" s="20">
        <f>IF(AF7&gt;0,AF20/AF7,0)</f>
        <v/>
      </c>
      <c r="AG21" s="20">
        <f>IF(AG7&gt;0,AG20/AG7,0)</f>
        <v/>
      </c>
      <c r="AH21" s="20">
        <f>IF(AH7&gt;0,AH20/AH7,0)</f>
        <v/>
      </c>
      <c r="AI21" s="20">
        <f>IF(AI7&gt;0,AI20/AI7,0)</f>
        <v/>
      </c>
      <c r="AJ21" s="20">
        <f>IF(AJ7&gt;0,AJ20/AJ7,0)</f>
        <v/>
      </c>
    </row>
    <row r="22" ht="5" customHeight="1"/>
    <row r="23" ht="13" customHeight="1">
      <c r="A23" s="14" t="inlineStr">
        <is>
          <t>Childcare</t>
        </is>
      </c>
    </row>
    <row r="24" ht="13" customHeight="1">
      <c r="A24" s="21" t="inlineStr">
        <is>
          <t xml:space="preserve">    Catering Costs</t>
        </is>
      </c>
      <c r="N24" s="22">
        <f>SUM(B24:M24)</f>
        <v/>
      </c>
      <c r="O24" s="22" t="n">
        <v>894.3200000000001</v>
      </c>
      <c r="P24" s="22" t="n">
        <v>587.8</v>
      </c>
      <c r="Q24" s="22" t="n">
        <v>693.1900000000001</v>
      </c>
      <c r="R24" s="22" t="n">
        <v>726.12</v>
      </c>
      <c r="S24" s="22" t="n">
        <v>627.51</v>
      </c>
      <c r="T24" s="22" t="n">
        <v>765.63</v>
      </c>
      <c r="U24" s="22" t="n">
        <v>977.42</v>
      </c>
      <c r="V24" s="22" t="n">
        <v>590.4871439999999</v>
      </c>
      <c r="W24" s="22" t="n">
        <v>986.8872</v>
      </c>
      <c r="X24" s="22" t="n">
        <v>1094.5272</v>
      </c>
      <c r="Y24" s="22" t="n">
        <v>1044.3888</v>
      </c>
      <c r="Z24" s="22" t="n">
        <v>851.6351999999999</v>
      </c>
      <c r="AA24" s="22">
        <f>SUM(O24:U24)</f>
        <v/>
      </c>
      <c r="AB24" s="22">
        <f>SUM(O24:Z24)</f>
        <v/>
      </c>
      <c r="AC24" s="22" t="n">
        <v>1068.268968</v>
      </c>
      <c r="AD24" s="22" t="n">
        <v>939.4504079999999</v>
      </c>
      <c r="AE24" s="22" t="n">
        <v>1143.594816</v>
      </c>
      <c r="AF24" s="22" t="n">
        <v>1030.215576</v>
      </c>
      <c r="AG24" s="22" t="n">
        <v>1199.7024</v>
      </c>
      <c r="AH24" s="22" t="n">
        <v>1211.629848</v>
      </c>
      <c r="AI24" s="34">
        <f>SUM(AC24:AH24)</f>
        <v/>
      </c>
      <c r="AJ24" s="22">
        <f>SUM(AC24:AH24)+AI24</f>
        <v/>
      </c>
      <c r="AK24" s="11">
        <f>IF(N24&lt;&gt;0,(AB24-N24)/ABS(N24),0)</f>
        <v/>
      </c>
      <c r="AL24" s="11">
        <f>IF(AB24&lt;&gt;0,(AJ24-AB24)/ABS(AB24),0)</f>
        <v/>
      </c>
    </row>
    <row r="25" ht="13" customHeight="1">
      <c r="A25" s="21" t="inlineStr">
        <is>
          <t xml:space="preserve">    Toys and Games</t>
        </is>
      </c>
      <c r="B25" s="22" t="n">
        <v>29.07</v>
      </c>
      <c r="C25" s="22" t="n">
        <v>176.61</v>
      </c>
      <c r="D25" s="22" t="n">
        <v>111.88</v>
      </c>
      <c r="E25" s="22" t="n">
        <v>203.06</v>
      </c>
      <c r="F25" s="22" t="n">
        <v>178.9</v>
      </c>
      <c r="G25" s="22" t="n">
        <v>67.28999999999999</v>
      </c>
      <c r="H25" s="22" t="n">
        <v>38</v>
      </c>
      <c r="I25" s="22" t="n">
        <v>105.13</v>
      </c>
      <c r="J25" s="22" t="n">
        <v>220.74</v>
      </c>
      <c r="K25" s="22" t="n">
        <v>4.23</v>
      </c>
      <c r="L25" s="22" t="n">
        <v>126.27</v>
      </c>
      <c r="M25" s="22" t="n">
        <v>48.49</v>
      </c>
      <c r="N25" s="22">
        <f>SUM(B25:M25)</f>
        <v/>
      </c>
      <c r="O25" s="22" t="n">
        <v>12.23</v>
      </c>
      <c r="P25" s="22" t="n">
        <v>0</v>
      </c>
      <c r="Q25" s="22" t="n">
        <v>65.03</v>
      </c>
      <c r="R25" s="22" t="n">
        <v>131.86</v>
      </c>
      <c r="S25" s="22" t="n">
        <v>70.84999999999999</v>
      </c>
      <c r="T25" s="22" t="n">
        <v>80.06</v>
      </c>
      <c r="U25" s="22" t="n">
        <v>12</v>
      </c>
      <c r="AA25" s="22">
        <f>SUM(O25:U25)</f>
        <v/>
      </c>
      <c r="AB25" s="22">
        <f>SUM(O25:Z25)</f>
        <v/>
      </c>
      <c r="AC25" s="22" t="n">
        <v>50</v>
      </c>
      <c r="AD25" s="22" t="n">
        <v>50</v>
      </c>
      <c r="AE25" s="22" t="n">
        <v>50</v>
      </c>
      <c r="AF25" s="22" t="n">
        <v>50</v>
      </c>
      <c r="AG25" s="22" t="n">
        <v>50</v>
      </c>
      <c r="AH25" s="22" t="n">
        <v>50</v>
      </c>
      <c r="AI25" s="34">
        <f>SUM(AC25:AH25)</f>
        <v/>
      </c>
      <c r="AJ25" s="22">
        <f>SUM(AC25:AH25)+AI25</f>
        <v/>
      </c>
      <c r="AK25" s="11">
        <f>IF(N25&lt;&gt;0,(AB25-N25)/ABS(N25),0)</f>
        <v/>
      </c>
      <c r="AL25" s="11">
        <f>IF(AB25&lt;&gt;0,(AJ25-AB25)/ABS(AB25),0)</f>
        <v/>
      </c>
    </row>
    <row r="26" ht="13" customHeight="1">
      <c r="A26" s="21" t="inlineStr">
        <is>
          <t xml:space="preserve">    Art Materials</t>
        </is>
      </c>
      <c r="N26" s="22">
        <f>SUM(B26:M26)</f>
        <v/>
      </c>
      <c r="O26" s="22" t="n">
        <v>30.16</v>
      </c>
      <c r="P26" s="22" t="n">
        <v>0</v>
      </c>
      <c r="Q26" s="22" t="n">
        <v>232.14</v>
      </c>
      <c r="R26" s="22" t="n">
        <v>15.48</v>
      </c>
      <c r="S26" s="22" t="n">
        <v>30.74</v>
      </c>
      <c r="T26" s="22" t="n">
        <v>63.52</v>
      </c>
      <c r="U26" s="22" t="n">
        <v>12.37</v>
      </c>
      <c r="V26" s="22" t="n">
        <v>39.36580959999999</v>
      </c>
      <c r="W26" s="22" t="n">
        <v>65.79248</v>
      </c>
      <c r="X26" s="22" t="n">
        <v>72.96848</v>
      </c>
      <c r="Y26" s="22" t="n">
        <v>69.62591999999999</v>
      </c>
      <c r="Z26" s="22" t="n">
        <v>56.77567999999999</v>
      </c>
      <c r="AA26" s="22">
        <f>SUM(O26:U26)</f>
        <v/>
      </c>
      <c r="AB26" s="22">
        <f>SUM(O26:Z26)</f>
        <v/>
      </c>
      <c r="AC26" s="22" t="n">
        <v>71.2179312</v>
      </c>
      <c r="AD26" s="22" t="n">
        <v>62.63002719999999</v>
      </c>
      <c r="AE26" s="22" t="n">
        <v>76.23965439999999</v>
      </c>
      <c r="AF26" s="22" t="n">
        <v>68.68103840000001</v>
      </c>
      <c r="AG26" s="22" t="n">
        <v>79.98016</v>
      </c>
      <c r="AH26" s="22" t="n">
        <v>80.77532319999999</v>
      </c>
      <c r="AI26" s="34">
        <f>SUM(AC26:AH26)</f>
        <v/>
      </c>
      <c r="AJ26" s="22">
        <f>SUM(AC26:AH26)+AI26</f>
        <v/>
      </c>
      <c r="AK26" s="11">
        <f>IF(N26&lt;&gt;0,(AB26-N26)/ABS(N26),0)</f>
        <v/>
      </c>
      <c r="AL26" s="11">
        <f>IF(AB26&lt;&gt;0,(AJ26-AB26)/ABS(AB26),0)</f>
        <v/>
      </c>
    </row>
    <row r="27" ht="13" customHeight="1">
      <c r="A27" s="21" t="inlineStr">
        <is>
          <t xml:space="preserve">    Nursery Stationery</t>
        </is>
      </c>
      <c r="B27" s="22" t="n">
        <v>0</v>
      </c>
      <c r="C27" s="22" t="n">
        <v>0</v>
      </c>
      <c r="D27" s="22" t="n">
        <v>0</v>
      </c>
      <c r="E27" s="22" t="n">
        <v>0</v>
      </c>
      <c r="F27" s="22" t="n">
        <v>0</v>
      </c>
      <c r="G27" s="22" t="n">
        <v>0</v>
      </c>
      <c r="H27" s="22" t="n">
        <v>0</v>
      </c>
      <c r="I27" s="22" t="n">
        <v>0</v>
      </c>
      <c r="J27" s="22" t="n">
        <v>0</v>
      </c>
      <c r="K27" s="22" t="n">
        <v>0</v>
      </c>
      <c r="L27" s="22" t="n">
        <v>0</v>
      </c>
      <c r="M27" s="22" t="n">
        <v>0</v>
      </c>
      <c r="N27" s="22">
        <f>SUM(B27:M27)</f>
        <v/>
      </c>
      <c r="O27" s="22" t="n">
        <v>0</v>
      </c>
      <c r="P27" s="22" t="n">
        <v>0</v>
      </c>
      <c r="Q27" s="22" t="n">
        <v>0</v>
      </c>
      <c r="R27" s="22" t="n">
        <v>0</v>
      </c>
      <c r="S27" s="22" t="n">
        <v>0</v>
      </c>
      <c r="T27" s="22" t="n">
        <v>0</v>
      </c>
      <c r="U27" s="22" t="n">
        <v>76.09</v>
      </c>
      <c r="AA27" s="22">
        <f>SUM(O27:U27)</f>
        <v/>
      </c>
      <c r="AB27" s="22">
        <f>SUM(O27:Z27)</f>
        <v/>
      </c>
      <c r="AC27" s="22" t="n">
        <v>100</v>
      </c>
      <c r="AD27" s="22" t="n">
        <v>100</v>
      </c>
      <c r="AE27" s="22" t="n">
        <v>100</v>
      </c>
      <c r="AF27" s="22" t="n">
        <v>100</v>
      </c>
      <c r="AG27" s="22" t="n">
        <v>100</v>
      </c>
      <c r="AH27" s="22" t="n">
        <v>100</v>
      </c>
      <c r="AI27" s="34">
        <f>SUM(AC27:AH27)</f>
        <v/>
      </c>
      <c r="AJ27" s="22">
        <f>SUM(AC27:AH27)+AI27</f>
        <v/>
      </c>
      <c r="AK27" s="11">
        <f>IF(N27&lt;&gt;0,(AB27-N27)/ABS(N27),0)</f>
        <v/>
      </c>
      <c r="AL27" s="11">
        <f>IF(AB27&lt;&gt;0,(AJ27-AB27)/ABS(AB27),0)</f>
        <v/>
      </c>
    </row>
    <row r="28" ht="13" customHeight="1">
      <c r="A28" s="21" t="inlineStr">
        <is>
          <t xml:space="preserve">    Nursery Equipment</t>
        </is>
      </c>
      <c r="B28" s="22" t="n">
        <v>18.98</v>
      </c>
      <c r="C28" s="22" t="n">
        <v>117.79</v>
      </c>
      <c r="D28" s="22" t="n">
        <v>179.68</v>
      </c>
      <c r="E28" s="22" t="n">
        <v>95.60000000000001</v>
      </c>
      <c r="F28" s="22" t="n">
        <v>321.81</v>
      </c>
      <c r="G28" s="22" t="n">
        <v>0</v>
      </c>
      <c r="H28" s="22" t="n">
        <v>95.58</v>
      </c>
      <c r="I28" s="22" t="n">
        <v>134.96</v>
      </c>
      <c r="J28" s="22" t="n">
        <v>0</v>
      </c>
      <c r="K28" s="22" t="n">
        <v>81.06999999999999</v>
      </c>
      <c r="L28" s="22" t="n">
        <v>40.2</v>
      </c>
      <c r="M28" s="22" t="n">
        <v>117.6</v>
      </c>
      <c r="N28" s="22">
        <f>SUM(B28:M28)</f>
        <v/>
      </c>
      <c r="O28" s="22" t="n">
        <v>0</v>
      </c>
      <c r="P28" s="22" t="n">
        <v>258.16</v>
      </c>
      <c r="Q28" s="22" t="n">
        <v>0</v>
      </c>
      <c r="R28" s="22" t="n">
        <v>44.43</v>
      </c>
      <c r="S28" s="22" t="n">
        <v>39.47</v>
      </c>
      <c r="T28" s="22" t="n">
        <v>167.46</v>
      </c>
      <c r="U28" s="22" t="n">
        <v>0</v>
      </c>
      <c r="AA28" s="22">
        <f>SUM(O28:U28)</f>
        <v/>
      </c>
      <c r="AB28" s="22">
        <f>SUM(O28:Z28)</f>
        <v/>
      </c>
      <c r="AC28" s="22" t="n">
        <v>50</v>
      </c>
      <c r="AD28" s="22" t="n">
        <v>50</v>
      </c>
      <c r="AE28" s="22" t="n">
        <v>50</v>
      </c>
      <c r="AF28" s="22" t="n">
        <v>50</v>
      </c>
      <c r="AG28" s="22" t="n">
        <v>50</v>
      </c>
      <c r="AH28" s="22" t="n">
        <v>50</v>
      </c>
      <c r="AI28" s="34">
        <f>SUM(AC28:AH28)</f>
        <v/>
      </c>
      <c r="AJ28" s="22">
        <f>SUM(AC28:AH28)+AI28</f>
        <v/>
      </c>
      <c r="AK28" s="11">
        <f>IF(N28&lt;&gt;0,(AB28-N28)/ABS(N28),0)</f>
        <v/>
      </c>
      <c r="AL28" s="11">
        <f>IF(AB28&lt;&gt;0,(AJ28-AB28)/ABS(AB28),0)</f>
        <v/>
      </c>
    </row>
    <row r="29" ht="13" customHeight="1">
      <c r="A29" s="21" t="inlineStr">
        <is>
          <t xml:space="preserve">    Nursery Consumables</t>
        </is>
      </c>
      <c r="N29" s="22">
        <f>SUM(B29:M29)</f>
        <v/>
      </c>
      <c r="O29" s="22" t="n">
        <v>109.85</v>
      </c>
      <c r="P29" s="22" t="n">
        <v>126.99</v>
      </c>
      <c r="Q29" s="22" t="n">
        <v>68.91</v>
      </c>
      <c r="R29" s="22" t="n">
        <v>188.57</v>
      </c>
      <c r="S29" s="22" t="n">
        <v>185.38</v>
      </c>
      <c r="T29" s="22" t="n">
        <v>81.98999999999999</v>
      </c>
      <c r="U29" s="22" t="n">
        <v>56.14</v>
      </c>
      <c r="V29" s="22" t="n">
        <v>78.73161920000003</v>
      </c>
      <c r="W29" s="22" t="n">
        <v>131.5849600000001</v>
      </c>
      <c r="X29" s="22" t="n">
        <v>145.9369600000001</v>
      </c>
      <c r="Y29" s="22" t="n">
        <v>139.25184</v>
      </c>
      <c r="Z29" s="22" t="n">
        <v>113.55136</v>
      </c>
      <c r="AA29" s="22">
        <f>SUM(O29:U29)</f>
        <v/>
      </c>
      <c r="AB29" s="22">
        <f>SUM(O29:Z29)</f>
        <v/>
      </c>
      <c r="AC29" s="22" t="n">
        <v>142.4358624</v>
      </c>
      <c r="AD29" s="22" t="n">
        <v>125.2600544</v>
      </c>
      <c r="AE29" s="22" t="n">
        <v>152.4793088</v>
      </c>
      <c r="AF29" s="22" t="n">
        <v>137.3620768000001</v>
      </c>
      <c r="AG29" s="22" t="n">
        <v>159.9603200000001</v>
      </c>
      <c r="AH29" s="22" t="n">
        <v>161.5506464000001</v>
      </c>
      <c r="AI29" s="34">
        <f>SUM(AC29:AH29)</f>
        <v/>
      </c>
      <c r="AJ29" s="22">
        <f>SUM(AC29:AH29)+AI29</f>
        <v/>
      </c>
      <c r="AK29" s="11">
        <f>IF(N29&lt;&gt;0,(AB29-N29)/ABS(N29),0)</f>
        <v/>
      </c>
      <c r="AL29" s="11">
        <f>IF(AB29&lt;&gt;0,(AJ29-AB29)/ABS(AB29),0)</f>
        <v/>
      </c>
    </row>
    <row r="30" ht="13" customHeight="1">
      <c r="A30" s="23" t="inlineStr">
        <is>
          <t>Total Childcare Costs</t>
        </is>
      </c>
      <c r="B30" s="24">
        <f>B24+B25+B26+B27+B28+B29</f>
        <v/>
      </c>
      <c r="C30" s="24">
        <f>C24+C25+C26+C27+C28+C29</f>
        <v/>
      </c>
      <c r="D30" s="24">
        <f>D24+D25+D26+D27+D28+D29</f>
        <v/>
      </c>
      <c r="E30" s="24">
        <f>E24+E25+E26+E27+E28+E29</f>
        <v/>
      </c>
      <c r="F30" s="24">
        <f>F24+F25+F26+F27+F28+F29</f>
        <v/>
      </c>
      <c r="G30" s="24">
        <f>G24+G25+G26+G27+G28+G29</f>
        <v/>
      </c>
      <c r="H30" s="24">
        <f>H24+H25+H26+H27+H28+H29</f>
        <v/>
      </c>
      <c r="I30" s="24">
        <f>I24+I25+I26+I27+I28+I29</f>
        <v/>
      </c>
      <c r="J30" s="24">
        <f>J24+J25+J26+J27+J28+J29</f>
        <v/>
      </c>
      <c r="K30" s="24">
        <f>K24+K25+K26+K27+K28+K29</f>
        <v/>
      </c>
      <c r="L30" s="24">
        <f>L24+L25+L26+L27+L28+L29</f>
        <v/>
      </c>
      <c r="M30" s="24">
        <f>M24+M25+M26+M27+M28+M29</f>
        <v/>
      </c>
      <c r="N30" s="24">
        <f>N24+N25+N26+N27+N28+N29</f>
        <v/>
      </c>
      <c r="O30" s="24">
        <f>O24+O25+O26+O27+O28+O29</f>
        <v/>
      </c>
      <c r="P30" s="24">
        <f>P24+P25+P26+P27+P28+P29</f>
        <v/>
      </c>
      <c r="Q30" s="24">
        <f>Q24+Q25+Q26+Q27+Q28+Q29</f>
        <v/>
      </c>
      <c r="R30" s="24">
        <f>R24+R25+R26+R27+R28+R29</f>
        <v/>
      </c>
      <c r="S30" s="24">
        <f>S24+S25+S26+S27+S28+S29</f>
        <v/>
      </c>
      <c r="T30" s="24">
        <f>T24+T25+T26+T27+T28+T29</f>
        <v/>
      </c>
      <c r="U30" s="24">
        <f>U24+U25+U26+U27+U28+U29</f>
        <v/>
      </c>
      <c r="V30" s="24">
        <f>V24+V25+V26+V27+V28+V29</f>
        <v/>
      </c>
      <c r="W30" s="24">
        <f>W24+W25+W26+W27+W28+W29</f>
        <v/>
      </c>
      <c r="X30" s="24">
        <f>X24+X25+X26+X27+X28+X29</f>
        <v/>
      </c>
      <c r="Y30" s="24">
        <f>Y24+Y25+Y26+Y27+Y28+Y29</f>
        <v/>
      </c>
      <c r="Z30" s="24">
        <f>Z24+Z25+Z26+Z27+Z28+Z29</f>
        <v/>
      </c>
      <c r="AA30" s="24">
        <f>AA24+AA25+AA26+AA27+AA28+AA29</f>
        <v/>
      </c>
      <c r="AB30" s="24">
        <f>AB24+AB25+AB26+AB27+AB28+AB29</f>
        <v/>
      </c>
      <c r="AC30" s="24">
        <f>AC24+AC25+AC26+AC27+AC28+AC29</f>
        <v/>
      </c>
      <c r="AD30" s="24">
        <f>AD24+AD25+AD26+AD27+AD28+AD29</f>
        <v/>
      </c>
      <c r="AE30" s="24">
        <f>AE24+AE25+AE26+AE27+AE28+AE29</f>
        <v/>
      </c>
      <c r="AF30" s="24">
        <f>AF24+AF25+AF26+AF27+AF28+AF29</f>
        <v/>
      </c>
      <c r="AG30" s="24">
        <f>AG24+AG25+AG26+AG27+AG28+AG29</f>
        <v/>
      </c>
      <c r="AH30" s="24">
        <f>AH24+AH25+AH26+AH27+AH28+AH29</f>
        <v/>
      </c>
      <c r="AI30" s="24">
        <f>AI24+AI25+AI26+AI27+AI28+AI29</f>
        <v/>
      </c>
      <c r="AJ30" s="24">
        <f>AJ24+AJ25+AJ26+AJ27+AJ28+AJ29</f>
        <v/>
      </c>
      <c r="AK30" s="11">
        <f>IF(N30&lt;&gt;0,(AB30-N30)/ABS(N30),0)</f>
        <v/>
      </c>
      <c r="AL30" s="11">
        <f>IF(AB30&lt;&gt;0,(AJ30-AB30)/ABS(AB30),0)</f>
        <v/>
      </c>
    </row>
    <row r="31" ht="5" customHeight="1"/>
    <row r="32" ht="13" customHeight="1">
      <c r="A32" s="14" t="inlineStr">
        <is>
          <t>Premises &amp; Admin</t>
        </is>
      </c>
    </row>
    <row r="33" ht="13" customHeight="1">
      <c r="A33" s="25" t="inlineStr">
        <is>
          <t xml:space="preserve">    Rent</t>
        </is>
      </c>
      <c r="B33" s="26" t="n">
        <v>0</v>
      </c>
      <c r="C33" s="26" t="n">
        <v>0</v>
      </c>
      <c r="D33" s="26" t="n">
        <v>0</v>
      </c>
      <c r="E33" s="26" t="n">
        <v>0</v>
      </c>
      <c r="F33" s="26" t="n">
        <v>0</v>
      </c>
      <c r="G33" s="26" t="n">
        <v>0</v>
      </c>
      <c r="H33" s="26" t="n">
        <v>0</v>
      </c>
      <c r="I33" s="26" t="n">
        <v>0</v>
      </c>
      <c r="J33" s="26" t="n">
        <v>0</v>
      </c>
      <c r="K33" s="26" t="n">
        <v>0</v>
      </c>
      <c r="L33" s="26" t="n">
        <v>0</v>
      </c>
      <c r="M33" s="26" t="n">
        <v>0</v>
      </c>
      <c r="N33" s="26">
        <f>SUM(B33:M33)</f>
        <v/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1267.25</v>
      </c>
      <c r="AA33" s="26">
        <f>SUM(O33:U33)</f>
        <v/>
      </c>
      <c r="AB33" s="26">
        <f>SUM(O33:Z33)</f>
        <v/>
      </c>
      <c r="AC33" s="26" t="n">
        <v>0</v>
      </c>
      <c r="AD33" s="26" t="n">
        <v>0</v>
      </c>
      <c r="AE33" s="26" t="n">
        <v>0</v>
      </c>
      <c r="AF33" s="26" t="n">
        <v>0</v>
      </c>
      <c r="AG33" s="26" t="n">
        <v>0</v>
      </c>
      <c r="AH33" s="26" t="n">
        <v>0</v>
      </c>
      <c r="AI33" s="34">
        <f>SUM(AC33:AH33)</f>
        <v/>
      </c>
      <c r="AJ33" s="26">
        <f>SUM(AC33:AH33)+AI33</f>
        <v/>
      </c>
      <c r="AK33" s="11">
        <f>IF(N33&lt;&gt;0,(AB33-N33)/ABS(N33),0)</f>
        <v/>
      </c>
      <c r="AL33" s="11">
        <f>IF(AB33&lt;&gt;0,(AJ33-AB33)/ABS(AB33),0)</f>
        <v/>
      </c>
    </row>
    <row r="34" ht="13" customHeight="1">
      <c r="A34" s="25" t="inlineStr">
        <is>
          <t xml:space="preserve">    Business Rates</t>
        </is>
      </c>
      <c r="B34" s="26" t="n">
        <v>1101.96</v>
      </c>
      <c r="C34" s="26" t="n">
        <v>1101.96</v>
      </c>
      <c r="D34" s="26" t="n">
        <v>1101.96</v>
      </c>
      <c r="E34" s="26" t="n">
        <v>1101.96</v>
      </c>
      <c r="F34" s="26" t="n">
        <v>1101.96</v>
      </c>
      <c r="G34" s="26" t="n">
        <v>1101.96</v>
      </c>
      <c r="H34" s="26" t="n">
        <v>1101.96</v>
      </c>
      <c r="I34" s="26" t="n">
        <v>1101.96</v>
      </c>
      <c r="J34" s="26" t="n">
        <v>1101.96</v>
      </c>
      <c r="K34" s="26" t="n">
        <v>1101.96</v>
      </c>
      <c r="L34" s="26" t="n">
        <v>1101.96</v>
      </c>
      <c r="M34" s="26" t="n">
        <v>1101.96</v>
      </c>
      <c r="N34" s="26">
        <f>SUM(B34:M34)</f>
        <v/>
      </c>
      <c r="O34" s="26" t="n">
        <v>1101.96</v>
      </c>
      <c r="P34" s="26" t="n">
        <v>1101.95</v>
      </c>
      <c r="Q34" s="26" t="n">
        <v>1101.95</v>
      </c>
      <c r="R34" s="26" t="n">
        <v>1267.25</v>
      </c>
      <c r="S34" s="26" t="n">
        <v>1267.25</v>
      </c>
      <c r="T34" s="26" t="n">
        <v>1267.25</v>
      </c>
      <c r="U34" s="26" t="n">
        <v>0</v>
      </c>
      <c r="AA34" s="26">
        <f>SUM(O34:U34)</f>
        <v/>
      </c>
      <c r="AB34" s="26">
        <f>SUM(O34:Z34)</f>
        <v/>
      </c>
      <c r="AC34" s="26" t="n">
        <v>1267</v>
      </c>
      <c r="AD34" s="26" t="n">
        <v>1267</v>
      </c>
      <c r="AE34" s="26" t="n">
        <v>1267</v>
      </c>
      <c r="AF34" s="26" t="n">
        <v>1267</v>
      </c>
      <c r="AG34" s="26" t="n">
        <v>1267</v>
      </c>
      <c r="AH34" s="26" t="n">
        <v>1267</v>
      </c>
      <c r="AI34" s="34">
        <f>SUM(AC34:AH34)</f>
        <v/>
      </c>
      <c r="AJ34" s="26">
        <f>SUM(AC34:AH34)+AI34</f>
        <v/>
      </c>
      <c r="AK34" s="11">
        <f>IF(N34&lt;&gt;0,(AB34-N34)/ABS(N34),0)</f>
        <v/>
      </c>
      <c r="AL34" s="11">
        <f>IF(AB34&lt;&gt;0,(AJ34-AB34)/ABS(AB34),0)</f>
        <v/>
      </c>
    </row>
    <row r="35" ht="13" customHeight="1">
      <c r="A35" s="25" t="inlineStr">
        <is>
          <t xml:space="preserve">    Utilities</t>
        </is>
      </c>
      <c r="B35" s="26" t="n">
        <v>3375.89</v>
      </c>
      <c r="C35" s="26" t="n">
        <v>56.38000000000182</v>
      </c>
      <c r="D35" s="26" t="n">
        <v>2478.53</v>
      </c>
      <c r="E35" s="26" t="n">
        <v>2657.12</v>
      </c>
      <c r="F35" s="26" t="n">
        <v>1738.13</v>
      </c>
      <c r="G35" s="26" t="n">
        <v>942.84</v>
      </c>
      <c r="H35" s="26" t="n">
        <v>1984.28</v>
      </c>
      <c r="I35" s="26" t="n">
        <v>159.04</v>
      </c>
      <c r="J35" s="26" t="n">
        <v>-2054.4</v>
      </c>
      <c r="K35" s="26" t="n">
        <v>2069.1</v>
      </c>
      <c r="L35" s="26" t="n">
        <v>2303.05</v>
      </c>
      <c r="M35" s="26" t="n">
        <v>1297.49</v>
      </c>
      <c r="N35" s="26">
        <f>SUM(B35:M35)</f>
        <v/>
      </c>
      <c r="O35" s="26" t="n">
        <v>1098.56</v>
      </c>
      <c r="P35" s="26" t="n">
        <v>5374.07</v>
      </c>
      <c r="Q35" s="26" t="n">
        <v>2003.16</v>
      </c>
      <c r="R35" s="26" t="n">
        <v>1949.71</v>
      </c>
      <c r="S35" s="26" t="n">
        <v>1937.06</v>
      </c>
      <c r="T35" s="26" t="n">
        <v>2017.5</v>
      </c>
      <c r="U35" s="26" t="n">
        <v>158.35</v>
      </c>
      <c r="AA35" s="26">
        <f>SUM(O35:U35)</f>
        <v/>
      </c>
      <c r="AB35" s="26">
        <f>SUM(O35:Z35)</f>
        <v/>
      </c>
      <c r="AC35" s="26" t="n">
        <v>2300</v>
      </c>
      <c r="AD35" s="26" t="n">
        <v>2300</v>
      </c>
      <c r="AE35" s="26" t="n">
        <v>2300</v>
      </c>
      <c r="AF35" s="26" t="n">
        <v>2300</v>
      </c>
      <c r="AG35" s="26" t="n">
        <v>2300</v>
      </c>
      <c r="AH35" s="26" t="n">
        <v>2300</v>
      </c>
      <c r="AI35" s="34">
        <f>SUM(AC35:AH35)</f>
        <v/>
      </c>
      <c r="AJ35" s="26">
        <f>SUM(AC35:AH35)+AI35</f>
        <v/>
      </c>
      <c r="AK35" s="11">
        <f>IF(N35&lt;&gt;0,(AB35-N35)/ABS(N35),0)</f>
        <v/>
      </c>
      <c r="AL35" s="11">
        <f>IF(AB35&lt;&gt;0,(AJ35-AB35)/ABS(AB35),0)</f>
        <v/>
      </c>
    </row>
    <row r="36" ht="13" customHeight="1">
      <c r="A36" s="25" t="inlineStr">
        <is>
          <t xml:space="preserve">    Repairs &amp; Maintenance</t>
        </is>
      </c>
      <c r="B36" s="26" t="n">
        <v>17.94</v>
      </c>
      <c r="C36" s="26" t="n">
        <v>37.48</v>
      </c>
      <c r="D36" s="26" t="n">
        <v>566.99</v>
      </c>
      <c r="E36" s="26" t="n">
        <v>245.93</v>
      </c>
      <c r="F36" s="26" t="n">
        <v>270.95</v>
      </c>
      <c r="G36" s="26" t="n">
        <v>671.05</v>
      </c>
      <c r="H36" s="26" t="n">
        <v>0</v>
      </c>
      <c r="I36" s="26" t="n">
        <v>0</v>
      </c>
      <c r="J36" s="26" t="n">
        <v>22.7</v>
      </c>
      <c r="K36" s="26" t="n">
        <v>192.88</v>
      </c>
      <c r="L36" s="26" t="n">
        <v>0</v>
      </c>
      <c r="M36" s="26" t="n">
        <v>125.67</v>
      </c>
      <c r="N36" s="26">
        <f>SUM(B36:M36)</f>
        <v/>
      </c>
      <c r="O36" s="26" t="n">
        <v>0</v>
      </c>
      <c r="P36" s="26" t="n">
        <v>230.16</v>
      </c>
      <c r="Q36" s="26" t="n">
        <v>0</v>
      </c>
      <c r="R36" s="26" t="n">
        <v>0</v>
      </c>
      <c r="S36" s="26" t="n">
        <v>66.56999999999999</v>
      </c>
      <c r="T36" s="26" t="n">
        <v>0</v>
      </c>
      <c r="U36" s="26" t="n">
        <v>153.49</v>
      </c>
      <c r="AA36" s="26">
        <f>SUM(O36:U36)</f>
        <v/>
      </c>
      <c r="AB36" s="26">
        <f>SUM(O36:Z36)</f>
        <v/>
      </c>
      <c r="AC36" s="26" t="n">
        <v>0</v>
      </c>
      <c r="AD36" s="26" t="n">
        <v>0</v>
      </c>
      <c r="AE36" s="26" t="n">
        <v>0</v>
      </c>
      <c r="AF36" s="26" t="n">
        <v>0</v>
      </c>
      <c r="AG36" s="26" t="n">
        <v>0</v>
      </c>
      <c r="AH36" s="26" t="n">
        <v>0</v>
      </c>
      <c r="AI36" s="34">
        <f>SUM(AC36:AH36)</f>
        <v/>
      </c>
      <c r="AJ36" s="26">
        <f>SUM(AC36:AH36)+AI36</f>
        <v/>
      </c>
      <c r="AK36" s="11">
        <f>IF(N36&lt;&gt;0,(AB36-N36)/ABS(N36),0)</f>
        <v/>
      </c>
      <c r="AL36" s="11">
        <f>IF(AB36&lt;&gt;0,(AJ36-AB36)/ABS(AB36),0)</f>
        <v/>
      </c>
    </row>
    <row r="37" ht="13" customHeight="1">
      <c r="A37" s="25" t="inlineStr">
        <is>
          <t xml:space="preserve">    Cleaning</t>
        </is>
      </c>
      <c r="B37" s="26" t="n">
        <v>138.22</v>
      </c>
      <c r="C37" s="26" t="n">
        <v>106.33</v>
      </c>
      <c r="D37" s="26" t="n">
        <v>113.34</v>
      </c>
      <c r="E37" s="26" t="n">
        <v>182.89</v>
      </c>
      <c r="F37" s="26" t="n">
        <v>308.21</v>
      </c>
      <c r="G37" s="26" t="n">
        <v>17.18</v>
      </c>
      <c r="H37" s="26" t="n">
        <v>311.14</v>
      </c>
      <c r="I37" s="26" t="n">
        <v>96.34999999999999</v>
      </c>
      <c r="J37" s="26" t="n">
        <v>107.78</v>
      </c>
      <c r="K37" s="26" t="n">
        <v>191.11</v>
      </c>
      <c r="L37" s="26" t="n">
        <v>142.97</v>
      </c>
      <c r="M37" s="26" t="n">
        <v>35.48</v>
      </c>
      <c r="N37" s="26">
        <f>SUM(B37:M37)</f>
        <v/>
      </c>
      <c r="O37" s="26" t="n">
        <v>36.74</v>
      </c>
      <c r="P37" s="26" t="n">
        <v>320.76</v>
      </c>
      <c r="Q37" s="26" t="n">
        <v>0</v>
      </c>
      <c r="R37" s="26" t="n">
        <v>32.27</v>
      </c>
      <c r="S37" s="26" t="n">
        <v>51.33</v>
      </c>
      <c r="T37" s="26" t="n">
        <v>239.69</v>
      </c>
      <c r="U37" s="26" t="n">
        <v>0</v>
      </c>
      <c r="AA37" s="26">
        <f>SUM(O37:U37)</f>
        <v/>
      </c>
      <c r="AB37" s="26">
        <f>SUM(O37:Z37)</f>
        <v/>
      </c>
      <c r="AC37" s="26" t="n">
        <v>165</v>
      </c>
      <c r="AD37" s="26" t="n">
        <v>165</v>
      </c>
      <c r="AE37" s="26" t="n">
        <v>165</v>
      </c>
      <c r="AF37" s="26" t="n">
        <v>165</v>
      </c>
      <c r="AG37" s="26" t="n">
        <v>165</v>
      </c>
      <c r="AH37" s="26" t="n">
        <v>165</v>
      </c>
      <c r="AI37" s="34">
        <f>SUM(AC37:AH37)</f>
        <v/>
      </c>
      <c r="AJ37" s="26">
        <f>SUM(AC37:AH37)+AI37</f>
        <v/>
      </c>
      <c r="AK37" s="11">
        <f>IF(N37&lt;&gt;0,(AB37-N37)/ABS(N37),0)</f>
        <v/>
      </c>
      <c r="AL37" s="11">
        <f>IF(AB37&lt;&gt;0,(AJ37-AB37)/ABS(AB37),0)</f>
        <v/>
      </c>
    </row>
    <row r="38" ht="13" customHeight="1">
      <c r="A38" s="25" t="inlineStr">
        <is>
          <t xml:space="preserve">    Waste Disposal</t>
        </is>
      </c>
      <c r="B38" s="26" t="n">
        <v>352.3</v>
      </c>
      <c r="C38" s="26" t="n">
        <v>253.9</v>
      </c>
      <c r="D38" s="26" t="n">
        <v>403.3</v>
      </c>
      <c r="E38" s="26" t="n">
        <v>346.77</v>
      </c>
      <c r="F38" s="26" t="n">
        <v>393.52</v>
      </c>
      <c r="G38" s="26" t="n">
        <v>424.55</v>
      </c>
      <c r="H38" s="26" t="n">
        <v>328.24</v>
      </c>
      <c r="I38" s="26" t="n">
        <v>328.24</v>
      </c>
      <c r="J38" s="26" t="n">
        <v>489.35</v>
      </c>
      <c r="K38" s="26" t="n">
        <v>438.01</v>
      </c>
      <c r="L38" s="26" t="n">
        <v>355.75</v>
      </c>
      <c r="M38" s="26" t="n">
        <v>452.0599999999999</v>
      </c>
      <c r="N38" s="26">
        <f>SUM(B38:M38)</f>
        <v/>
      </c>
      <c r="O38" s="26" t="n">
        <v>355.77</v>
      </c>
      <c r="P38" s="26" t="n">
        <v>341.44</v>
      </c>
      <c r="Q38" s="26" t="n">
        <v>488.15</v>
      </c>
      <c r="R38" s="26" t="n">
        <v>449.49</v>
      </c>
      <c r="S38" s="26" t="n">
        <v>368.45</v>
      </c>
      <c r="T38" s="26" t="n">
        <v>280.5</v>
      </c>
      <c r="U38" s="26" t="n">
        <v>419.47</v>
      </c>
      <c r="AA38" s="26">
        <f>SUM(O38:U38)</f>
        <v/>
      </c>
      <c r="AB38" s="26">
        <f>SUM(O38:Z38)</f>
        <v/>
      </c>
      <c r="AC38" s="26" t="n">
        <v>370</v>
      </c>
      <c r="AD38" s="26" t="n">
        <v>370</v>
      </c>
      <c r="AE38" s="26" t="n">
        <v>370</v>
      </c>
      <c r="AF38" s="26" t="n">
        <v>370</v>
      </c>
      <c r="AG38" s="26" t="n">
        <v>370</v>
      </c>
      <c r="AH38" s="26" t="n">
        <v>370</v>
      </c>
      <c r="AI38" s="34">
        <f>SUM(AC38:AH38)</f>
        <v/>
      </c>
      <c r="AJ38" s="26">
        <f>SUM(AC38:AH38)+AI38</f>
        <v/>
      </c>
      <c r="AK38" s="11">
        <f>IF(N38&lt;&gt;0,(AB38-N38)/ABS(N38),0)</f>
        <v/>
      </c>
      <c r="AL38" s="11">
        <f>IF(AB38&lt;&gt;0,(AJ38-AB38)/ABS(AB38),0)</f>
        <v/>
      </c>
    </row>
    <row r="39" ht="13" customHeight="1">
      <c r="A39" s="25" t="inlineStr">
        <is>
          <t xml:space="preserve">    Postage/Printing/Stationery</t>
        </is>
      </c>
      <c r="B39" s="26" t="n">
        <v>132.08</v>
      </c>
      <c r="C39" s="26" t="n">
        <v>23.77</v>
      </c>
      <c r="D39" s="26" t="n">
        <v>72.49000000000001</v>
      </c>
      <c r="E39" s="26" t="n">
        <v>482.1900000000001</v>
      </c>
      <c r="F39" s="26" t="n">
        <v>465.37</v>
      </c>
      <c r="G39" s="26" t="n">
        <v>479.21</v>
      </c>
      <c r="H39" s="26" t="n">
        <v>-785.59</v>
      </c>
      <c r="I39" s="26" t="n">
        <v>463.76</v>
      </c>
      <c r="J39" s="26" t="n">
        <v>480.54</v>
      </c>
      <c r="K39" s="26" t="n">
        <v>434.84</v>
      </c>
      <c r="L39" s="26" t="n">
        <v>480.36</v>
      </c>
      <c r="M39" s="26" t="n">
        <v>476.84</v>
      </c>
      <c r="N39" s="26">
        <f>SUM(B39:M39)</f>
        <v/>
      </c>
      <c r="O39" s="26" t="n">
        <v>73.36</v>
      </c>
      <c r="P39" s="26" t="n">
        <v>58.85</v>
      </c>
      <c r="Q39" s="26" t="n">
        <v>176.11</v>
      </c>
      <c r="R39" s="26" t="n">
        <v>74.42</v>
      </c>
      <c r="S39" s="26" t="n">
        <v>63.8</v>
      </c>
      <c r="T39" s="26" t="n">
        <v>17.99</v>
      </c>
      <c r="U39" s="26" t="n">
        <v>98.47</v>
      </c>
      <c r="AA39" s="26">
        <f>SUM(O39:U39)</f>
        <v/>
      </c>
      <c r="AB39" s="26">
        <f>SUM(O39:Z39)</f>
        <v/>
      </c>
      <c r="AC39" s="26" t="n">
        <v>0</v>
      </c>
      <c r="AD39" s="26" t="n">
        <v>0</v>
      </c>
      <c r="AE39" s="26" t="n">
        <v>0</v>
      </c>
      <c r="AF39" s="26" t="n">
        <v>0</v>
      </c>
      <c r="AG39" s="26" t="n">
        <v>0</v>
      </c>
      <c r="AH39" s="26" t="n">
        <v>0</v>
      </c>
      <c r="AI39" s="34">
        <f>SUM(AC39:AH39)</f>
        <v/>
      </c>
      <c r="AJ39" s="26">
        <f>SUM(AC39:AH39)+AI39</f>
        <v/>
      </c>
      <c r="AK39" s="11">
        <f>IF(N39&lt;&gt;0,(AB39-N39)/ABS(N39),0)</f>
        <v/>
      </c>
      <c r="AL39" s="11">
        <f>IF(AB39&lt;&gt;0,(AJ39-AB39)/ABS(AB39),0)</f>
        <v/>
      </c>
    </row>
    <row r="40" ht="13" customHeight="1">
      <c r="A40" s="25" t="inlineStr">
        <is>
          <t xml:space="preserve">    Telephone</t>
        </is>
      </c>
      <c r="B40" s="26" t="n">
        <v>0</v>
      </c>
      <c r="C40" s="26" t="n">
        <v>0</v>
      </c>
      <c r="D40" s="26" t="n">
        <v>0</v>
      </c>
      <c r="E40" s="26" t="n">
        <v>0</v>
      </c>
      <c r="F40" s="26" t="n">
        <v>0</v>
      </c>
      <c r="G40" s="26" t="n">
        <v>0</v>
      </c>
      <c r="H40" s="26" t="n">
        <v>0</v>
      </c>
      <c r="I40" s="26" t="n">
        <v>0</v>
      </c>
      <c r="J40" s="26" t="n">
        <v>0</v>
      </c>
      <c r="K40" s="26" t="n">
        <v>0</v>
      </c>
      <c r="L40" s="26" t="n">
        <v>0</v>
      </c>
      <c r="M40" s="26" t="n">
        <v>0</v>
      </c>
      <c r="N40" s="26">
        <f>SUM(B40:M40)</f>
        <v/>
      </c>
      <c r="O40" s="26" t="n">
        <v>517.8099999999999</v>
      </c>
      <c r="P40" s="26" t="n">
        <v>548.75</v>
      </c>
      <c r="Q40" s="26" t="n">
        <v>632.12</v>
      </c>
      <c r="R40" s="26" t="n">
        <v>542.3</v>
      </c>
      <c r="S40" s="26" t="n">
        <v>722.9400000000001</v>
      </c>
      <c r="T40" s="26" t="n">
        <v>485.8</v>
      </c>
      <c r="U40" s="26" t="n">
        <v>878.8</v>
      </c>
      <c r="AA40" s="26">
        <f>SUM(O40:U40)</f>
        <v/>
      </c>
      <c r="AB40" s="26">
        <f>SUM(O40:Z40)</f>
        <v/>
      </c>
      <c r="AC40" s="26" t="n">
        <v>0</v>
      </c>
      <c r="AD40" s="26" t="n">
        <v>0</v>
      </c>
      <c r="AE40" s="26" t="n">
        <v>0</v>
      </c>
      <c r="AF40" s="26" t="n">
        <v>0</v>
      </c>
      <c r="AG40" s="26" t="n">
        <v>0</v>
      </c>
      <c r="AH40" s="26" t="n">
        <v>0</v>
      </c>
      <c r="AI40" s="34">
        <f>SUM(AC40:AH40)</f>
        <v/>
      </c>
      <c r="AJ40" s="26">
        <f>SUM(AC40:AH40)+AI40</f>
        <v/>
      </c>
      <c r="AK40" s="11">
        <f>IF(N40&lt;&gt;0,(AB40-N40)/ABS(N40),0)</f>
        <v/>
      </c>
      <c r="AL40" s="11">
        <f>IF(AB40&lt;&gt;0,(AJ40-AB40)/ABS(AB40),0)</f>
        <v/>
      </c>
    </row>
    <row r="41" ht="13" customHeight="1">
      <c r="A41" s="25" t="inlineStr">
        <is>
          <t xml:space="preserve">    Marketing</t>
        </is>
      </c>
      <c r="B41" s="26" t="n">
        <v>0</v>
      </c>
      <c r="C41" s="26" t="n">
        <v>0</v>
      </c>
      <c r="D41" s="26" t="n">
        <v>0</v>
      </c>
      <c r="E41" s="26" t="n">
        <v>0</v>
      </c>
      <c r="F41" s="26" t="n">
        <v>0</v>
      </c>
      <c r="G41" s="26" t="n">
        <v>0</v>
      </c>
      <c r="H41" s="26" t="n">
        <v>0</v>
      </c>
      <c r="I41" s="26" t="n">
        <v>0</v>
      </c>
      <c r="J41" s="26" t="n">
        <v>0</v>
      </c>
      <c r="K41" s="26" t="n">
        <v>0</v>
      </c>
      <c r="L41" s="26" t="n">
        <v>0</v>
      </c>
      <c r="M41" s="26" t="n">
        <v>0</v>
      </c>
      <c r="N41" s="26">
        <f>SUM(B41:M41)</f>
        <v/>
      </c>
      <c r="O41" s="26" t="n">
        <v>0</v>
      </c>
      <c r="P41" s="26" t="n">
        <v>0</v>
      </c>
      <c r="Q41" s="26" t="n">
        <v>0</v>
      </c>
      <c r="R41" s="26" t="n">
        <v>0</v>
      </c>
      <c r="S41" s="26" t="n">
        <v>0</v>
      </c>
      <c r="T41" s="26" t="n">
        <v>0</v>
      </c>
      <c r="U41" s="26" t="n">
        <v>0</v>
      </c>
      <c r="V41" s="26" t="n">
        <v>0</v>
      </c>
      <c r="W41" s="26" t="n">
        <v>0</v>
      </c>
      <c r="X41" s="26" t="n">
        <v>0</v>
      </c>
      <c r="Y41" s="26" t="n">
        <v>0</v>
      </c>
      <c r="Z41" s="26" t="n">
        <v>0</v>
      </c>
      <c r="AA41" s="26">
        <f>SUM(O41:U41)</f>
        <v/>
      </c>
      <c r="AB41" s="26">
        <f>SUM(O41:Z41)</f>
        <v/>
      </c>
      <c r="AC41" s="26" t="n">
        <v>100</v>
      </c>
      <c r="AD41" s="26" t="n">
        <v>100</v>
      </c>
      <c r="AE41" s="26" t="n">
        <v>100</v>
      </c>
      <c r="AF41" s="26" t="n">
        <v>100</v>
      </c>
      <c r="AG41" s="26" t="n">
        <v>100</v>
      </c>
      <c r="AH41" s="26" t="n">
        <v>100</v>
      </c>
      <c r="AI41" s="34">
        <f>SUM(AC41:AH41)</f>
        <v/>
      </c>
      <c r="AJ41" s="26">
        <f>SUM(AC41:AH41)+AI41</f>
        <v/>
      </c>
      <c r="AK41" s="11">
        <f>IF(N41&lt;&gt;0,(AB41-N41)/ABS(N41),0)</f>
        <v/>
      </c>
      <c r="AL41" s="11">
        <f>IF(AB41&lt;&gt;0,(AJ41-AB41)/ABS(AB41),0)</f>
        <v/>
      </c>
    </row>
    <row r="42" ht="13" customHeight="1">
      <c r="A42" s="27" t="inlineStr">
        <is>
          <t>Total Premises &amp; Admin</t>
        </is>
      </c>
      <c r="B42" s="28">
        <f>B33+B34+B35+B36+B37+B38+B39+B40+B41</f>
        <v/>
      </c>
      <c r="C42" s="28">
        <f>C33+C34+C35+C36+C37+C38+C39+C40+C41</f>
        <v/>
      </c>
      <c r="D42" s="28">
        <f>D33+D34+D35+D36+D37+D38+D39+D40+D41</f>
        <v/>
      </c>
      <c r="E42" s="28">
        <f>E33+E34+E35+E36+E37+E38+E39+E40+E41</f>
        <v/>
      </c>
      <c r="F42" s="28">
        <f>F33+F34+F35+F36+F37+F38+F39+F40+F41</f>
        <v/>
      </c>
      <c r="G42" s="28">
        <f>G33+G34+G35+G36+G37+G38+G39+G40+G41</f>
        <v/>
      </c>
      <c r="H42" s="28">
        <f>H33+H34+H35+H36+H37+H38+H39+H40+H41</f>
        <v/>
      </c>
      <c r="I42" s="28">
        <f>I33+I34+I35+I36+I37+I38+I39+I40+I41</f>
        <v/>
      </c>
      <c r="J42" s="28">
        <f>J33+J34+J35+J36+J37+J38+J39+J40+J41</f>
        <v/>
      </c>
      <c r="K42" s="28">
        <f>K33+K34+K35+K36+K37+K38+K39+K40+K41</f>
        <v/>
      </c>
      <c r="L42" s="28">
        <f>L33+L34+L35+L36+L37+L38+L39+L40+L41</f>
        <v/>
      </c>
      <c r="M42" s="28">
        <f>M33+M34+M35+M36+M37+M38+M39+M40+M41</f>
        <v/>
      </c>
      <c r="N42" s="28">
        <f>N33+N34+N35+N36+N37+N38+N39+N40+N41</f>
        <v/>
      </c>
      <c r="O42" s="28">
        <f>O33+O34+O35+O36+O37+O38+O39+O40+O41</f>
        <v/>
      </c>
      <c r="P42" s="28">
        <f>P33+P34+P35+P36+P37+P38+P39+P40+P41</f>
        <v/>
      </c>
      <c r="Q42" s="28">
        <f>Q33+Q34+Q35+Q36+Q37+Q38+Q39+Q40+Q41</f>
        <v/>
      </c>
      <c r="R42" s="28">
        <f>R33+R34+R35+R36+R37+R38+R39+R40+R41</f>
        <v/>
      </c>
      <c r="S42" s="28">
        <f>S33+S34+S35+S36+S37+S38+S39+S40+S41</f>
        <v/>
      </c>
      <c r="T42" s="28">
        <f>T33+T34+T35+T36+T37+T38+T39+T40+T41</f>
        <v/>
      </c>
      <c r="U42" s="28">
        <f>U33+U34+U35+U36+U37+U38+U39+U40+U41</f>
        <v/>
      </c>
      <c r="V42" s="28">
        <f>V33+V34+V35+V36+V37+V38+V39+V40+V41</f>
        <v/>
      </c>
      <c r="W42" s="28">
        <f>W33+W34+W35+W36+W37+W38+W39+W40+W41</f>
        <v/>
      </c>
      <c r="X42" s="28">
        <f>X33+X34+X35+X36+X37+X38+X39+X40+X41</f>
        <v/>
      </c>
      <c r="Y42" s="28">
        <f>Y33+Y34+Y35+Y36+Y37+Y38+Y39+Y40+Y41</f>
        <v/>
      </c>
      <c r="Z42" s="28">
        <f>Z33+Z34+Z35+Z36+Z37+Z38+Z39+Z40+Z41</f>
        <v/>
      </c>
      <c r="AA42" s="28">
        <f>AA33+AA34+AA35+AA36+AA37+AA38+AA39+AA40+AA41</f>
        <v/>
      </c>
      <c r="AB42" s="28">
        <f>AB33+AB34+AB35+AB36+AB37+AB38+AB39+AB40+AB41</f>
        <v/>
      </c>
      <c r="AC42" s="28">
        <f>AC33+AC34+AC35+AC36+AC37+AC38+AC39+AC40+AC41</f>
        <v/>
      </c>
      <c r="AD42" s="28">
        <f>AD33+AD34+AD35+AD36+AD37+AD38+AD39+AD40+AD41</f>
        <v/>
      </c>
      <c r="AE42" s="28">
        <f>AE33+AE34+AE35+AE36+AE37+AE38+AE39+AE40+AE41</f>
        <v/>
      </c>
      <c r="AF42" s="28">
        <f>AF33+AF34+AF35+AF36+AF37+AF38+AF39+AF40+AF41</f>
        <v/>
      </c>
      <c r="AG42" s="28">
        <f>AG33+AG34+AG35+AG36+AG37+AG38+AG39+AG40+AG41</f>
        <v/>
      </c>
      <c r="AH42" s="28">
        <f>AH33+AH34+AH35+AH36+AH37+AH38+AH39+AH40+AH41</f>
        <v/>
      </c>
      <c r="AI42" s="28">
        <f>AI33+AI34+AI35+AI36+AI37+AI38+AI39+AI40+AI41</f>
        <v/>
      </c>
      <c r="AJ42" s="28">
        <f>AJ33+AJ34+AJ35+AJ36+AJ37+AJ38+AJ39+AJ40+AJ41</f>
        <v/>
      </c>
      <c r="AK42" s="11">
        <f>IF(N42&lt;&gt;0,(AB42-N42)/ABS(N42),0)</f>
        <v/>
      </c>
      <c r="AL42" s="11">
        <f>IF(AB42&lt;&gt;0,(AJ42-AB42)/ABS(AB42),0)</f>
        <v/>
      </c>
    </row>
    <row r="43" ht="5" customHeight="1"/>
    <row r="44" ht="13" customHeight="1">
      <c r="A44" s="29" t="inlineStr">
        <is>
          <t>Total Direct Costs</t>
        </is>
      </c>
      <c r="AK44" s="11">
        <f>IF(N44&lt;&gt;0,(AB44-N44)/ABS(N44),0)</f>
        <v/>
      </c>
      <c r="AL44" s="11">
        <f>IF(AB44&lt;&gt;0,(AJ44-AB44)/ABS(AB44),0)</f>
        <v/>
      </c>
    </row>
    <row r="45" ht="5" customHeight="1"/>
    <row r="46" ht="15" customHeight="1">
      <c r="A46" s="30" t="inlineStr">
        <is>
          <t>CONTRIBUTION</t>
        </is>
      </c>
      <c r="B46" s="31">
        <f>B7-B44</f>
        <v/>
      </c>
      <c r="C46" s="31">
        <f>C7-C44</f>
        <v/>
      </c>
      <c r="D46" s="31">
        <f>D7-D44</f>
        <v/>
      </c>
      <c r="E46" s="31">
        <f>E7-E44</f>
        <v/>
      </c>
      <c r="F46" s="31">
        <f>F7-F44</f>
        <v/>
      </c>
      <c r="G46" s="31">
        <f>G7-G44</f>
        <v/>
      </c>
      <c r="H46" s="31">
        <f>H7-H44</f>
        <v/>
      </c>
      <c r="I46" s="31">
        <f>I7-I44</f>
        <v/>
      </c>
      <c r="J46" s="31">
        <f>J7-J44</f>
        <v/>
      </c>
      <c r="K46" s="31">
        <f>K7-K44</f>
        <v/>
      </c>
      <c r="L46" s="31">
        <f>L7-L44</f>
        <v/>
      </c>
      <c r="M46" s="31">
        <f>M7-M44</f>
        <v/>
      </c>
      <c r="N46" s="31">
        <f>N7-N44</f>
        <v/>
      </c>
      <c r="O46" s="31">
        <f>O7-O44</f>
        <v/>
      </c>
      <c r="P46" s="31">
        <f>P7-P44</f>
        <v/>
      </c>
      <c r="Q46" s="31">
        <f>Q7-Q44</f>
        <v/>
      </c>
      <c r="R46" s="31">
        <f>R7-R44</f>
        <v/>
      </c>
      <c r="S46" s="31">
        <f>S7-S44</f>
        <v/>
      </c>
      <c r="T46" s="31">
        <f>T7-T44</f>
        <v/>
      </c>
      <c r="U46" s="31">
        <f>U7-U44</f>
        <v/>
      </c>
      <c r="V46" s="31">
        <f>V7-V44</f>
        <v/>
      </c>
      <c r="W46" s="31">
        <f>W7-W44</f>
        <v/>
      </c>
      <c r="X46" s="31">
        <f>X7-X44</f>
        <v/>
      </c>
      <c r="Y46" s="31">
        <f>Y7-Y44</f>
        <v/>
      </c>
      <c r="Z46" s="31">
        <f>Z7-Z44</f>
        <v/>
      </c>
      <c r="AA46" s="31">
        <f>AA7-AA44</f>
        <v/>
      </c>
      <c r="AB46" s="31">
        <f>AB7-AB44</f>
        <v/>
      </c>
      <c r="AC46" s="31">
        <f>AC7-AC44</f>
        <v/>
      </c>
      <c r="AD46" s="31">
        <f>AD7-AD44</f>
        <v/>
      </c>
      <c r="AE46" s="31">
        <f>AE7-AE44</f>
        <v/>
      </c>
      <c r="AF46" s="31">
        <f>AF7-AF44</f>
        <v/>
      </c>
      <c r="AG46" s="31">
        <f>AG7-AG44</f>
        <v/>
      </c>
      <c r="AH46" s="31">
        <f>AH7-AH44</f>
        <v/>
      </c>
      <c r="AI46" s="31">
        <f>AI7-AI44</f>
        <v/>
      </c>
      <c r="AJ46" s="31">
        <f>AJ7-AJ44</f>
        <v/>
      </c>
      <c r="AK46" s="11">
        <f>IF(N46&lt;&gt;0,(AB46-N46)/ABS(N46),0)</f>
        <v/>
      </c>
      <c r="AL46" s="11">
        <f>IF(AB46&lt;&gt;0,(AJ46-AB46)/ABS(AB46),0)</f>
        <v/>
      </c>
    </row>
  </sheetData>
  <mergeCells count="8">
    <mergeCell ref="A10:AL10"/>
    <mergeCell ref="B1:N1"/>
    <mergeCell ref="A23:AL23"/>
    <mergeCell ref="A32:AL32"/>
    <mergeCell ref="AC1:AJ1"/>
    <mergeCell ref="A9:AL9"/>
    <mergeCell ref="A3:AL3"/>
    <mergeCell ref="O1:AB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L4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9.5" customWidth="1" min="27" max="27"/>
    <col width="9.5" customWidth="1" min="28" max="28"/>
    <col width="9.5" customWidth="1" min="29" max="29"/>
    <col width="9.5" customWidth="1" min="30" max="30"/>
    <col width="9.5" customWidth="1" min="31" max="31"/>
    <col width="9.5" customWidth="1" min="32" max="32"/>
    <col width="9.5" customWidth="1" min="33" max="33"/>
    <col width="9.5" customWidth="1" min="34" max="34"/>
    <col width="9.5" customWidth="1" min="35" max="35"/>
    <col width="11" customWidth="1" min="36" max="36"/>
    <col width="10" customWidth="1" min="37" max="37"/>
    <col width="10" customWidth="1" min="38" max="38"/>
  </cols>
  <sheetData>
    <row r="1" ht="18" customHeight="1">
      <c r="A1" s="1" t="inlineStr">
        <is>
          <t>Saltway</t>
        </is>
      </c>
      <c r="B1" s="2" t="inlineStr">
        <is>
          <t>Actuals 2025</t>
        </is>
      </c>
      <c r="O1" s="2" t="inlineStr">
        <is>
          <t>2026 Actual / Forecast</t>
        </is>
      </c>
      <c r="AC1" s="32" t="inlineStr">
        <is>
          <t>2027 Plan</t>
        </is>
      </c>
      <c r="AK1" s="3" t="inlineStr">
        <is>
          <t>YoY</t>
        </is>
      </c>
      <c r="AL1" s="3" t="inlineStr">
        <is>
          <t>YoY</t>
        </is>
      </c>
    </row>
    <row r="2" ht="22" customHeight="1">
      <c r="B2" s="4" t="inlineStr">
        <is>
          <t>Jan</t>
        </is>
      </c>
      <c r="C2" s="4" t="inlineStr">
        <is>
          <t>Feb</t>
        </is>
      </c>
      <c r="D2" s="4" t="inlineStr">
        <is>
          <t>Mar</t>
        </is>
      </c>
      <c r="E2" s="4" t="inlineStr">
        <is>
          <t>Apr</t>
        </is>
      </c>
      <c r="F2" s="4" t="inlineStr">
        <is>
          <t>May</t>
        </is>
      </c>
      <c r="G2" s="4" t="inlineStr">
        <is>
          <t>Jun</t>
        </is>
      </c>
      <c r="H2" s="4" t="inlineStr">
        <is>
          <t>Jul</t>
        </is>
      </c>
      <c r="I2" s="4" t="inlineStr">
        <is>
          <t>Aug</t>
        </is>
      </c>
      <c r="J2" s="4" t="inlineStr">
        <is>
          <t>Sep</t>
        </is>
      </c>
      <c r="K2" s="4" t="inlineStr">
        <is>
          <t>Oct</t>
        </is>
      </c>
      <c r="L2" s="4" t="inlineStr">
        <is>
          <t>Nov</t>
        </is>
      </c>
      <c r="M2" s="4" t="inlineStr">
        <is>
          <t>Dec</t>
        </is>
      </c>
      <c r="N2" s="5" t="inlineStr">
        <is>
          <t>FY2025
Total</t>
        </is>
      </c>
      <c r="O2" s="4" t="inlineStr">
        <is>
          <t>Jan</t>
        </is>
      </c>
      <c r="P2" s="4" t="inlineStr">
        <is>
          <t>Feb</t>
        </is>
      </c>
      <c r="Q2" s="4" t="inlineStr">
        <is>
          <t>Mar</t>
        </is>
      </c>
      <c r="R2" s="4" t="inlineStr">
        <is>
          <t>Apr</t>
        </is>
      </c>
      <c r="S2" s="4" t="inlineStr">
        <is>
          <t>May</t>
        </is>
      </c>
      <c r="T2" s="4" t="inlineStr">
        <is>
          <t>Jun</t>
        </is>
      </c>
      <c r="U2" s="4" t="inlineStr">
        <is>
          <t>Jul</t>
        </is>
      </c>
      <c r="V2" s="4" t="inlineStr">
        <is>
          <t>Aug</t>
        </is>
      </c>
      <c r="W2" s="4" t="inlineStr">
        <is>
          <t>Sep</t>
        </is>
      </c>
      <c r="X2" s="4" t="inlineStr">
        <is>
          <t>Oct</t>
        </is>
      </c>
      <c r="Y2" s="4" t="inlineStr">
        <is>
          <t>Nov</t>
        </is>
      </c>
      <c r="Z2" s="4" t="inlineStr">
        <is>
          <t>Dec</t>
        </is>
      </c>
      <c r="AA2" s="4" t="inlineStr">
        <is>
          <t>YTD</t>
        </is>
      </c>
      <c r="AB2" s="5" t="inlineStr">
        <is>
          <t>FY2026
Outlook</t>
        </is>
      </c>
      <c r="AC2" s="4" t="inlineStr">
        <is>
          <t>Jan</t>
        </is>
      </c>
      <c r="AD2" s="4" t="inlineStr">
        <is>
          <t>Feb</t>
        </is>
      </c>
      <c r="AE2" s="4" t="inlineStr">
        <is>
          <t>Mar</t>
        </is>
      </c>
      <c r="AF2" s="4" t="inlineStr">
        <is>
          <t>Apr</t>
        </is>
      </c>
      <c r="AG2" s="4" t="inlineStr">
        <is>
          <t>May</t>
        </is>
      </c>
      <c r="AH2" s="4" t="inlineStr">
        <is>
          <t>Jun</t>
        </is>
      </c>
      <c r="AI2" s="33" t="inlineStr">
        <is>
          <t>Jul-Dec
Plan</t>
        </is>
      </c>
      <c r="AJ2" s="4" t="inlineStr">
        <is>
          <t>FY2027</t>
        </is>
      </c>
      <c r="AK2" s="6" t="inlineStr">
        <is>
          <t>25→26
%</t>
        </is>
      </c>
      <c r="AL2" s="6" t="inlineStr">
        <is>
          <t>26→27
%</t>
        </is>
      </c>
    </row>
    <row r="3" ht="15" customHeight="1">
      <c r="A3" s="7" t="inlineStr">
        <is>
          <t>INCOME</t>
        </is>
      </c>
    </row>
    <row r="4" ht="13" customHeight="1">
      <c r="A4" s="8" t="inlineStr">
        <is>
          <t xml:space="preserve">    Fee Income Regular</t>
        </is>
      </c>
      <c r="B4" s="9" t="n">
        <v>37257.07</v>
      </c>
      <c r="C4" s="9" t="n">
        <v>33298.19</v>
      </c>
      <c r="D4" s="9" t="n">
        <v>43477.73</v>
      </c>
      <c r="E4" s="9" t="n">
        <v>53897.15</v>
      </c>
      <c r="F4" s="9" t="n">
        <v>40493.17</v>
      </c>
      <c r="G4" s="9" t="n">
        <v>40450.55</v>
      </c>
      <c r="H4" s="9" t="n">
        <v>59564.03999999999</v>
      </c>
      <c r="I4" s="9" t="n">
        <v>50501.36</v>
      </c>
      <c r="J4" s="9" t="n">
        <v>44919.97</v>
      </c>
      <c r="K4" s="9" t="n">
        <v>44608.71</v>
      </c>
      <c r="L4" s="9" t="n">
        <v>39750.3</v>
      </c>
      <c r="M4" s="9" t="n">
        <v>59286.95</v>
      </c>
      <c r="N4" s="9">
        <f>SUM(B4:M4)</f>
        <v/>
      </c>
      <c r="O4" s="9" t="n">
        <v>46983.8</v>
      </c>
      <c r="P4" s="9" t="n">
        <v>43534</v>
      </c>
      <c r="Q4" s="9" t="n">
        <v>51104.3</v>
      </c>
      <c r="R4" s="9" t="n">
        <v>61399.7</v>
      </c>
      <c r="S4" s="9" t="n">
        <v>49854.8</v>
      </c>
      <c r="T4" s="9" t="n">
        <v>53894.5</v>
      </c>
      <c r="U4" s="9" t="n">
        <v>69614.89000000001</v>
      </c>
      <c r="AA4" s="9">
        <f>SUM(O4:U4)</f>
        <v/>
      </c>
      <c r="AB4" s="9">
        <f>SUM(O4:Z4)</f>
        <v/>
      </c>
      <c r="AC4" s="9" t="n">
        <v>96606.42999999999</v>
      </c>
      <c r="AD4" s="9" t="n">
        <v>91623.52</v>
      </c>
      <c r="AE4" s="9" t="n">
        <v>110145.66</v>
      </c>
      <c r="AF4" s="9" t="n">
        <v>82870.42</v>
      </c>
      <c r="AG4" s="9" t="n">
        <v>74081.52</v>
      </c>
      <c r="AH4" s="9" t="n">
        <v>83711.62</v>
      </c>
      <c r="AI4" s="34">
        <f>SUM(AC4:AH4)</f>
        <v/>
      </c>
      <c r="AJ4" s="9">
        <f>SUM(AC4:AH4)+AI4</f>
        <v/>
      </c>
      <c r="AK4" s="11">
        <f>IF(N4&lt;&gt;0,(AB4-N4)/ABS(N4),0)</f>
        <v/>
      </c>
      <c r="AL4" s="11">
        <f>IF(AB4&lt;&gt;0,(AJ4-AB4)/ABS(AB4),0)</f>
        <v/>
      </c>
    </row>
    <row r="5" ht="13" customHeight="1">
      <c r="A5" s="8" t="inlineStr">
        <is>
          <t xml:space="preserve">    EEEF Embedded</t>
        </is>
      </c>
      <c r="B5" s="9" t="n">
        <v>15786.38</v>
      </c>
      <c r="C5" s="9" t="n">
        <v>31418.47</v>
      </c>
      <c r="D5" s="9" t="n">
        <v>31418.47</v>
      </c>
      <c r="E5" s="9" t="n">
        <v>11706.01</v>
      </c>
      <c r="F5" s="9" t="n">
        <v>11706.01</v>
      </c>
      <c r="G5" s="9" t="n">
        <v>25742.42</v>
      </c>
      <c r="H5" s="9" t="n">
        <v>26902.67</v>
      </c>
      <c r="I5" s="9" t="n">
        <v>0</v>
      </c>
      <c r="J5" s="9" t="n">
        <v>17420.26</v>
      </c>
      <c r="K5" s="9" t="n">
        <v>17420.26</v>
      </c>
      <c r="L5" s="9" t="n">
        <v>37807.82</v>
      </c>
      <c r="M5" s="9" t="n">
        <v>39399.03</v>
      </c>
      <c r="N5" s="9">
        <f>SUM(B5:M5)</f>
        <v/>
      </c>
      <c r="O5" s="9" t="n">
        <v>20404</v>
      </c>
      <c r="P5" s="9" t="n">
        <v>43307</v>
      </c>
      <c r="Q5" s="9" t="n">
        <v>43307</v>
      </c>
      <c r="R5" s="9" t="n">
        <v>36141.9</v>
      </c>
      <c r="S5" s="9" t="n">
        <v>36141.9</v>
      </c>
      <c r="T5" s="9" t="n">
        <v>36341.5</v>
      </c>
      <c r="U5" s="9" t="n">
        <v>36208.44</v>
      </c>
      <c r="AA5" s="9">
        <f>SUM(O5:U5)</f>
        <v/>
      </c>
      <c r="AB5" s="9">
        <f>SUM(O5:Z5)</f>
        <v/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34">
        <f>SUM(AC5:AH5)</f>
        <v/>
      </c>
      <c r="AJ5" s="9">
        <f>SUM(AC5:AH5)+AI5</f>
        <v/>
      </c>
      <c r="AK5" s="11">
        <f>IF(N5&lt;&gt;0,(AB5-N5)/ABS(N5),0)</f>
        <v/>
      </c>
      <c r="AL5" s="11">
        <f>IF(AB5&lt;&gt;0,(AJ5-AB5)/ABS(AB5),0)</f>
        <v/>
      </c>
    </row>
    <row r="6" ht="13" customHeight="1">
      <c r="A6" s="8" t="inlineStr">
        <is>
          <t xml:space="preserve">    Other Income</t>
        </is>
      </c>
      <c r="B6" s="9" t="n">
        <v>63</v>
      </c>
      <c r="C6" s="9" t="n">
        <v>0</v>
      </c>
      <c r="D6" s="9" t="n">
        <v>45</v>
      </c>
      <c r="E6" s="9" t="n">
        <v>424.2</v>
      </c>
      <c r="F6" s="9" t="n">
        <v>0</v>
      </c>
      <c r="G6" s="9" t="n">
        <v>-334.2</v>
      </c>
      <c r="H6" s="9" t="n">
        <v>0</v>
      </c>
      <c r="I6" s="9" t="n">
        <v>3954.91</v>
      </c>
      <c r="J6" s="9" t="n">
        <v>0</v>
      </c>
      <c r="K6" s="9" t="n">
        <v>15</v>
      </c>
      <c r="L6" s="9" t="n">
        <v>0</v>
      </c>
      <c r="M6" s="9" t="n">
        <v>4184.13</v>
      </c>
      <c r="N6" s="9">
        <f>SUM(B6:M6)</f>
        <v/>
      </c>
      <c r="O6" s="9" t="n">
        <v>88.5</v>
      </c>
      <c r="P6" s="9" t="n">
        <v>0</v>
      </c>
      <c r="Q6" s="9" t="n">
        <v>15</v>
      </c>
      <c r="R6" s="9" t="n">
        <v>0</v>
      </c>
      <c r="S6" s="9" t="n">
        <v>0</v>
      </c>
      <c r="T6" s="9" t="n">
        <v>0</v>
      </c>
      <c r="U6" s="9" t="n">
        <v>0</v>
      </c>
      <c r="AA6" s="9">
        <f>SUM(O6:U6)</f>
        <v/>
      </c>
      <c r="AB6" s="9">
        <f>SUM(O6:Z6)</f>
        <v/>
      </c>
      <c r="AC6" s="9" t="n">
        <v>0</v>
      </c>
      <c r="AD6" s="9" t="n">
        <v>0</v>
      </c>
      <c r="AE6" s="9" t="n">
        <v>0</v>
      </c>
      <c r="AF6" s="9" t="n">
        <v>0</v>
      </c>
      <c r="AG6" s="9" t="n">
        <v>0</v>
      </c>
      <c r="AH6" s="9" t="n">
        <v>0</v>
      </c>
      <c r="AI6" s="34">
        <f>SUM(AC6:AH6)</f>
        <v/>
      </c>
      <c r="AJ6" s="9">
        <f>SUM(AC6:AH6)+AI6</f>
        <v/>
      </c>
      <c r="AK6" s="11">
        <f>IF(N6&lt;&gt;0,(AB6-N6)/ABS(N6),0)</f>
        <v/>
      </c>
      <c r="AL6" s="11">
        <f>IF(AB6&lt;&gt;0,(AJ6-AB6)/ABS(AB6),0)</f>
        <v/>
      </c>
    </row>
    <row r="7" ht="13" customHeight="1">
      <c r="A7" s="12" t="inlineStr">
        <is>
          <t>Total Income</t>
        </is>
      </c>
      <c r="B7" s="13">
        <f>B4+B5+B6</f>
        <v/>
      </c>
      <c r="C7" s="13">
        <f>C4+C5+C6</f>
        <v/>
      </c>
      <c r="D7" s="13">
        <f>D4+D5+D6</f>
        <v/>
      </c>
      <c r="E7" s="13">
        <f>E4+E5+E6</f>
        <v/>
      </c>
      <c r="F7" s="13">
        <f>F4+F5+F6</f>
        <v/>
      </c>
      <c r="G7" s="13">
        <f>G4+G5+G6</f>
        <v/>
      </c>
      <c r="H7" s="13">
        <f>H4+H5+H6</f>
        <v/>
      </c>
      <c r="I7" s="13">
        <f>I4+I5+I6</f>
        <v/>
      </c>
      <c r="J7" s="13">
        <f>J4+J5+J6</f>
        <v/>
      </c>
      <c r="K7" s="13">
        <f>K4+K5+K6</f>
        <v/>
      </c>
      <c r="L7" s="13">
        <f>L4+L5+L6</f>
        <v/>
      </c>
      <c r="M7" s="13">
        <f>M4+M5+M6</f>
        <v/>
      </c>
      <c r="N7" s="13">
        <f>N4+N5+N6</f>
        <v/>
      </c>
      <c r="O7" s="13">
        <f>O4+O5+O6</f>
        <v/>
      </c>
      <c r="P7" s="13">
        <f>P4+P5+P6</f>
        <v/>
      </c>
      <c r="Q7" s="13">
        <f>Q4+Q5+Q6</f>
        <v/>
      </c>
      <c r="R7" s="13">
        <f>R4+R5+R6</f>
        <v/>
      </c>
      <c r="S7" s="13">
        <f>S4+S5+S6</f>
        <v/>
      </c>
      <c r="T7" s="13">
        <f>T4+T5+T6</f>
        <v/>
      </c>
      <c r="U7" s="13">
        <f>U4+U5+U6</f>
        <v/>
      </c>
      <c r="V7" s="13">
        <f>V4+V5+V6</f>
        <v/>
      </c>
      <c r="W7" s="13">
        <f>W4+W5+W6</f>
        <v/>
      </c>
      <c r="X7" s="13">
        <f>X4+X5+X6</f>
        <v/>
      </c>
      <c r="Y7" s="13">
        <f>Y4+Y5+Y6</f>
        <v/>
      </c>
      <c r="Z7" s="13">
        <f>Z4+Z5+Z6</f>
        <v/>
      </c>
      <c r="AA7" s="13">
        <f>AA4+AA5+AA6</f>
        <v/>
      </c>
      <c r="AB7" s="13">
        <f>AB4+AB5+AB6</f>
        <v/>
      </c>
      <c r="AC7" s="13">
        <f>AC4+AC5+AC6</f>
        <v/>
      </c>
      <c r="AD7" s="13">
        <f>AD4+AD5+AD6</f>
        <v/>
      </c>
      <c r="AE7" s="13">
        <f>AE4+AE5+AE6</f>
        <v/>
      </c>
      <c r="AF7" s="13">
        <f>AF4+AF5+AF6</f>
        <v/>
      </c>
      <c r="AG7" s="13">
        <f>AG4+AG5+AG6</f>
        <v/>
      </c>
      <c r="AH7" s="13">
        <f>AH4+AH5+AH6</f>
        <v/>
      </c>
      <c r="AI7" s="13">
        <f>AI4+AI5+AI6</f>
        <v/>
      </c>
      <c r="AJ7" s="13">
        <f>AJ4+AJ5+AJ6</f>
        <v/>
      </c>
      <c r="AK7" s="11">
        <f>IF(N7&lt;&gt;0,(AB7-N7)/ABS(N7),0)</f>
        <v/>
      </c>
      <c r="AL7" s="11">
        <f>IF(AB7&lt;&gt;0,(AJ7-AB7)/ABS(AB7),0)</f>
        <v/>
      </c>
    </row>
    <row r="8" ht="5" customHeight="1"/>
    <row r="9" ht="15" customHeight="1">
      <c r="A9" s="7" t="inlineStr">
        <is>
          <t>DIRECT COSTS</t>
        </is>
      </c>
    </row>
    <row r="10" ht="13" customHeight="1">
      <c r="A10" s="14" t="inlineStr">
        <is>
          <t>Personnel</t>
        </is>
      </c>
    </row>
    <row r="11" ht="13" customHeight="1">
      <c r="A11" s="15" t="inlineStr">
        <is>
          <t xml:space="preserve">    Nursery Salaries</t>
        </is>
      </c>
      <c r="B11" s="16" t="n">
        <v>30393.27</v>
      </c>
      <c r="C11" s="16" t="n">
        <v>35155.93</v>
      </c>
      <c r="D11" s="16" t="n">
        <v>30489.76</v>
      </c>
      <c r="E11" s="16" t="n">
        <v>31240.36</v>
      </c>
      <c r="F11" s="16" t="n">
        <v>32288.24</v>
      </c>
      <c r="G11" s="16" t="n">
        <v>31815.08</v>
      </c>
      <c r="H11" s="16" t="n">
        <v>35596.24</v>
      </c>
      <c r="I11" s="16" t="n">
        <v>35686.29</v>
      </c>
      <c r="J11" s="16" t="n">
        <v>38903.68</v>
      </c>
      <c r="K11" s="16" t="n">
        <v>41384.71</v>
      </c>
      <c r="L11" s="16" t="n">
        <v>36944.71</v>
      </c>
      <c r="M11" s="16" t="n">
        <v>35884.94</v>
      </c>
      <c r="N11" s="16">
        <f>SUM(B11:M11)</f>
        <v/>
      </c>
      <c r="O11" s="16" t="n">
        <v>37848.53</v>
      </c>
      <c r="P11" s="16" t="n">
        <v>36916.12</v>
      </c>
      <c r="Q11" s="16" t="n">
        <v>41103.48</v>
      </c>
      <c r="R11" s="16" t="n">
        <v>44693.53</v>
      </c>
      <c r="S11" s="16" t="n">
        <v>43482.05</v>
      </c>
      <c r="T11" s="16" t="n">
        <v>45096.24</v>
      </c>
      <c r="U11" s="16" t="n">
        <v>47153.07</v>
      </c>
      <c r="AA11" s="16">
        <f>SUM(O11:U11)</f>
        <v/>
      </c>
      <c r="AB11" s="16">
        <f>SUM(O11:Z11)</f>
        <v/>
      </c>
      <c r="AC11" s="16" t="n">
        <v>47153.07</v>
      </c>
      <c r="AD11" s="16" t="n">
        <v>47153.07</v>
      </c>
      <c r="AE11" s="16" t="n">
        <v>47153.07</v>
      </c>
      <c r="AF11" s="16" t="n">
        <v>47153.07</v>
      </c>
      <c r="AG11" s="16" t="n">
        <v>47153.07</v>
      </c>
      <c r="AH11" s="16" t="n">
        <v>47153.07</v>
      </c>
      <c r="AI11" s="34">
        <f>SUM(AC11:AH11)</f>
        <v/>
      </c>
      <c r="AJ11" s="16">
        <f>SUM(AC11:AH11)+AI11</f>
        <v/>
      </c>
      <c r="AK11" s="11">
        <f>IF(N11&lt;&gt;0,(AB11-N11)/ABS(N11),0)</f>
        <v/>
      </c>
      <c r="AL11" s="11">
        <f>IF(AB11&lt;&gt;0,(AJ11-AB11)/ABS(AB11),0)</f>
        <v/>
      </c>
    </row>
    <row r="12" ht="13" customHeight="1">
      <c r="A12" s="15" t="inlineStr">
        <is>
          <t xml:space="preserve">    Nursery NI</t>
        </is>
      </c>
      <c r="B12" s="16" t="n">
        <v>2487.86</v>
      </c>
      <c r="C12" s="16" t="n">
        <v>2930.63</v>
      </c>
      <c r="D12" s="16" t="n">
        <v>2468.52</v>
      </c>
      <c r="E12" s="16" t="n">
        <v>3548.23</v>
      </c>
      <c r="F12" s="16" t="n">
        <v>3707.05</v>
      </c>
      <c r="G12" s="16" t="n">
        <v>3481.19</v>
      </c>
      <c r="H12" s="16" t="n">
        <v>3778.98</v>
      </c>
      <c r="I12" s="16" t="n">
        <v>3691.12</v>
      </c>
      <c r="J12" s="16" t="n">
        <v>4117.66</v>
      </c>
      <c r="K12" s="16" t="n">
        <v>4459.07</v>
      </c>
      <c r="L12" s="16" t="n">
        <v>3885.32</v>
      </c>
      <c r="M12" s="16" t="n">
        <v>3732.95</v>
      </c>
      <c r="N12" s="16">
        <f>SUM(B12:M12)</f>
        <v/>
      </c>
      <c r="O12" s="16" t="n">
        <v>4003.51</v>
      </c>
      <c r="P12" s="16" t="n">
        <v>3825.11</v>
      </c>
      <c r="Q12" s="16" t="n">
        <v>4276.89</v>
      </c>
      <c r="R12" s="16" t="n">
        <v>4740.72</v>
      </c>
      <c r="S12" s="16" t="n">
        <v>4313</v>
      </c>
      <c r="T12" s="16" t="n">
        <v>4550.82</v>
      </c>
      <c r="U12" s="16" t="n">
        <v>4813.83</v>
      </c>
      <c r="AA12" s="16">
        <f>SUM(O12:U12)</f>
        <v/>
      </c>
      <c r="AB12" s="16">
        <f>SUM(O12:Z12)</f>
        <v/>
      </c>
      <c r="AC12" s="16" t="n">
        <v>4813.83</v>
      </c>
      <c r="AD12" s="16" t="n">
        <v>4813.83</v>
      </c>
      <c r="AE12" s="16" t="n">
        <v>4813.83</v>
      </c>
      <c r="AF12" s="16" t="n">
        <v>4813.83</v>
      </c>
      <c r="AG12" s="16" t="n">
        <v>4813.83</v>
      </c>
      <c r="AH12" s="16" t="n">
        <v>4813.83</v>
      </c>
      <c r="AI12" s="34">
        <f>SUM(AC12:AH12)</f>
        <v/>
      </c>
      <c r="AJ12" s="16">
        <f>SUM(AC12:AH12)+AI12</f>
        <v/>
      </c>
      <c r="AK12" s="11">
        <f>IF(N12&lt;&gt;0,(AB12-N12)/ABS(N12),0)</f>
        <v/>
      </c>
      <c r="AL12" s="11">
        <f>IF(AB12&lt;&gt;0,(AJ12-AB12)/ABS(AB12),0)</f>
        <v/>
      </c>
    </row>
    <row r="13" ht="13" customHeight="1">
      <c r="A13" s="15" t="inlineStr">
        <is>
          <t xml:space="preserve">    Nursery Pension</t>
        </is>
      </c>
      <c r="B13" s="16" t="n">
        <v>640.72</v>
      </c>
      <c r="C13" s="16" t="n">
        <v>686.54</v>
      </c>
      <c r="D13" s="16" t="n">
        <v>573.96</v>
      </c>
      <c r="E13" s="16" t="n">
        <v>601.96</v>
      </c>
      <c r="F13" s="16" t="n">
        <v>635.53</v>
      </c>
      <c r="G13" s="16" t="n">
        <v>557.1799999999999</v>
      </c>
      <c r="H13" s="16" t="n">
        <v>710.87</v>
      </c>
      <c r="I13" s="16" t="n">
        <v>676.8</v>
      </c>
      <c r="J13" s="16" t="n">
        <v>643.28</v>
      </c>
      <c r="K13" s="16" t="n">
        <v>675.99</v>
      </c>
      <c r="L13" s="16" t="n">
        <v>679.1799999999999</v>
      </c>
      <c r="M13" s="16" t="n">
        <v>701.47</v>
      </c>
      <c r="N13" s="16">
        <f>SUM(B13:M13)</f>
        <v/>
      </c>
      <c r="O13" s="16" t="n">
        <v>740.2</v>
      </c>
      <c r="P13" s="16" t="n">
        <v>688.26</v>
      </c>
      <c r="Q13" s="16" t="n">
        <v>682.22</v>
      </c>
      <c r="R13" s="16" t="n">
        <v>784.1799999999999</v>
      </c>
      <c r="S13" s="16" t="n">
        <v>758.1</v>
      </c>
      <c r="T13" s="16" t="n">
        <v>767.1</v>
      </c>
      <c r="U13" s="16" t="n">
        <v>843.4</v>
      </c>
      <c r="AA13" s="16">
        <f>SUM(O13:U13)</f>
        <v/>
      </c>
      <c r="AB13" s="16">
        <f>SUM(O13:Z13)</f>
        <v/>
      </c>
      <c r="AC13" s="16" t="n">
        <v>843.4</v>
      </c>
      <c r="AD13" s="16" t="n">
        <v>843.4</v>
      </c>
      <c r="AE13" s="16" t="n">
        <v>843.4</v>
      </c>
      <c r="AF13" s="16" t="n">
        <v>843.4</v>
      </c>
      <c r="AG13" s="16" t="n">
        <v>843.4</v>
      </c>
      <c r="AH13" s="16" t="n">
        <v>843.4</v>
      </c>
      <c r="AI13" s="34">
        <f>SUM(AC13:AH13)</f>
        <v/>
      </c>
      <c r="AJ13" s="16">
        <f>SUM(AC13:AH13)+AI13</f>
        <v/>
      </c>
      <c r="AK13" s="11">
        <f>IF(N13&lt;&gt;0,(AB13-N13)/ABS(N13),0)</f>
        <v/>
      </c>
      <c r="AL13" s="11">
        <f>IF(AB13&lt;&gt;0,(AJ13-AB13)/ABS(AB13),0)</f>
        <v/>
      </c>
    </row>
    <row r="14" ht="13" customHeight="1">
      <c r="A14" s="15" t="inlineStr">
        <is>
          <t xml:space="preserve">    Uniform</t>
        </is>
      </c>
      <c r="B14" s="16" t="n">
        <v>231.36</v>
      </c>
      <c r="C14" s="16" t="n">
        <v>161.76</v>
      </c>
      <c r="D14" s="16" t="n">
        <v>0</v>
      </c>
      <c r="E14" s="16" t="n">
        <v>0</v>
      </c>
      <c r="F14" s="16" t="n">
        <v>187.5</v>
      </c>
      <c r="G14" s="16" t="n">
        <v>0</v>
      </c>
      <c r="H14" s="16" t="n">
        <v>0</v>
      </c>
      <c r="I14" s="16" t="n">
        <v>0</v>
      </c>
      <c r="J14" s="16" t="n">
        <v>187.2</v>
      </c>
      <c r="K14" s="16" t="n">
        <v>276.84</v>
      </c>
      <c r="L14" s="16" t="n">
        <v>0</v>
      </c>
      <c r="M14" s="16" t="n">
        <v>0</v>
      </c>
      <c r="N14" s="16">
        <f>SUM(B14:M14)</f>
        <v/>
      </c>
      <c r="O14" s="16" t="n">
        <v>0</v>
      </c>
      <c r="P14" s="16" t="n">
        <v>466.8</v>
      </c>
      <c r="Q14" s="16" t="n">
        <v>12.72</v>
      </c>
      <c r="R14" s="16" t="n">
        <v>0</v>
      </c>
      <c r="S14" s="16" t="n">
        <v>0</v>
      </c>
      <c r="T14" s="16" t="n">
        <v>201.96</v>
      </c>
      <c r="U14" s="16" t="n">
        <v>0</v>
      </c>
      <c r="AA14" s="16">
        <f>SUM(O14:U14)</f>
        <v/>
      </c>
      <c r="AB14" s="16">
        <f>SUM(O14:Z14)</f>
        <v/>
      </c>
      <c r="AC14" s="16" t="n">
        <v>49</v>
      </c>
      <c r="AD14" s="16" t="n">
        <v>49</v>
      </c>
      <c r="AE14" s="16" t="n">
        <v>49</v>
      </c>
      <c r="AF14" s="16" t="n">
        <v>49</v>
      </c>
      <c r="AG14" s="16" t="n">
        <v>49</v>
      </c>
      <c r="AH14" s="16" t="n">
        <v>49</v>
      </c>
      <c r="AI14" s="34">
        <f>SUM(AC14:AH14)</f>
        <v/>
      </c>
      <c r="AJ14" s="16">
        <f>SUM(AC14:AH14)+AI14</f>
        <v/>
      </c>
      <c r="AK14" s="11">
        <f>IF(N14&lt;&gt;0,(AB14-N14)/ABS(N14),0)</f>
        <v/>
      </c>
      <c r="AL14" s="11">
        <f>IF(AB14&lt;&gt;0,(AJ14-AB14)/ABS(AB14),0)</f>
        <v/>
      </c>
    </row>
    <row r="15" ht="13" customHeight="1">
      <c r="A15" s="15" t="inlineStr">
        <is>
          <t xml:space="preserve">    Training</t>
        </is>
      </c>
      <c r="B15" s="16" t="n">
        <v>0</v>
      </c>
      <c r="C15" s="16" t="n">
        <v>50</v>
      </c>
      <c r="D15" s="16" t="n">
        <v>50</v>
      </c>
      <c r="E15" s="16" t="n">
        <v>0</v>
      </c>
      <c r="F15" s="16" t="n">
        <v>50</v>
      </c>
      <c r="G15" s="16" t="n">
        <v>0</v>
      </c>
      <c r="H15" s="16" t="n">
        <v>37.2</v>
      </c>
      <c r="I15" s="16" t="n">
        <v>0</v>
      </c>
      <c r="J15" s="16" t="n">
        <v>175</v>
      </c>
      <c r="K15" s="16" t="n">
        <v>35</v>
      </c>
      <c r="L15" s="16" t="n">
        <v>0</v>
      </c>
      <c r="M15" s="16" t="n">
        <v>0</v>
      </c>
      <c r="N15" s="16">
        <f>SUM(B15:M15)</f>
        <v/>
      </c>
      <c r="O15" s="16" t="n">
        <v>35</v>
      </c>
      <c r="P15" s="16" t="n">
        <v>816</v>
      </c>
      <c r="Q15" s="16" t="n">
        <v>336</v>
      </c>
      <c r="R15" s="16" t="n">
        <v>228</v>
      </c>
      <c r="S15" s="16" t="n">
        <v>0</v>
      </c>
      <c r="T15" s="16" t="n">
        <v>0</v>
      </c>
      <c r="U15" s="16" t="n">
        <v>0</v>
      </c>
      <c r="AA15" s="16">
        <f>SUM(O15:U15)</f>
        <v/>
      </c>
      <c r="AB15" s="16">
        <f>SUM(O15:Z15)</f>
        <v/>
      </c>
      <c r="AC15" s="16" t="n">
        <v>100</v>
      </c>
      <c r="AD15" s="16" t="n">
        <v>100</v>
      </c>
      <c r="AE15" s="16" t="n">
        <v>100</v>
      </c>
      <c r="AF15" s="16" t="n">
        <v>100</v>
      </c>
      <c r="AG15" s="16" t="n">
        <v>100</v>
      </c>
      <c r="AH15" s="16" t="n">
        <v>100</v>
      </c>
      <c r="AI15" s="34">
        <f>SUM(AC15:AH15)</f>
        <v/>
      </c>
      <c r="AJ15" s="16">
        <f>SUM(AC15:AH15)+AI15</f>
        <v/>
      </c>
      <c r="AK15" s="11">
        <f>IF(N15&lt;&gt;0,(AB15-N15)/ABS(N15),0)</f>
        <v/>
      </c>
      <c r="AL15" s="11">
        <f>IF(AB15&lt;&gt;0,(AJ15-AB15)/ABS(AB15),0)</f>
        <v/>
      </c>
    </row>
    <row r="16" ht="13" customHeight="1">
      <c r="A16" s="15" t="inlineStr">
        <is>
          <t xml:space="preserve">    Staff Welfare</t>
        </is>
      </c>
      <c r="B16" s="16" t="n">
        <v>0</v>
      </c>
      <c r="C16" s="16" t="n">
        <v>97.42</v>
      </c>
      <c r="D16" s="16" t="n">
        <v>124.67</v>
      </c>
      <c r="E16" s="16" t="n">
        <v>125.05</v>
      </c>
      <c r="F16" s="16" t="n">
        <v>146.5</v>
      </c>
      <c r="G16" s="16" t="n">
        <v>256.75</v>
      </c>
      <c r="H16" s="16" t="n">
        <v>208.36</v>
      </c>
      <c r="I16" s="16" t="n">
        <v>258.4</v>
      </c>
      <c r="J16" s="16" t="n">
        <v>178.56</v>
      </c>
      <c r="K16" s="16" t="n">
        <v>385.43</v>
      </c>
      <c r="L16" s="16" t="n">
        <v>183.22</v>
      </c>
      <c r="M16" s="16" t="n">
        <v>207.28</v>
      </c>
      <c r="N16" s="16">
        <f>SUM(B16:M16)</f>
        <v/>
      </c>
      <c r="O16" s="16" t="n">
        <v>294.86</v>
      </c>
      <c r="P16" s="16" t="n">
        <v>200.98</v>
      </c>
      <c r="Q16" s="16" t="n">
        <v>428.89</v>
      </c>
      <c r="R16" s="16" t="n">
        <v>243.11</v>
      </c>
      <c r="S16" s="16" t="n">
        <v>306.62</v>
      </c>
      <c r="T16" s="16" t="n">
        <v>577.88</v>
      </c>
      <c r="U16" s="16" t="n">
        <v>375.37</v>
      </c>
      <c r="AA16" s="16">
        <f>SUM(O16:U16)</f>
        <v/>
      </c>
      <c r="AB16" s="16">
        <f>SUM(O16:Z16)</f>
        <v/>
      </c>
      <c r="AC16" s="16" t="n">
        <v>100</v>
      </c>
      <c r="AD16" s="16" t="n">
        <v>100</v>
      </c>
      <c r="AE16" s="16" t="n">
        <v>100</v>
      </c>
      <c r="AF16" s="16" t="n">
        <v>100</v>
      </c>
      <c r="AG16" s="16" t="n">
        <v>100</v>
      </c>
      <c r="AH16" s="16" t="n">
        <v>100</v>
      </c>
      <c r="AI16" s="34">
        <f>SUM(AC16:AH16)</f>
        <v/>
      </c>
      <c r="AJ16" s="16">
        <f>SUM(AC16:AH16)+AI16</f>
        <v/>
      </c>
      <c r="AK16" s="11">
        <f>IF(N16&lt;&gt;0,(AB16-N16)/ABS(N16),0)</f>
        <v/>
      </c>
      <c r="AL16" s="11">
        <f>IF(AB16&lt;&gt;0,(AJ16-AB16)/ABS(AB16),0)</f>
        <v/>
      </c>
    </row>
    <row r="17" ht="13" customHeight="1">
      <c r="A17" s="15" t="inlineStr">
        <is>
          <t xml:space="preserve">    Recruitment</t>
        </is>
      </c>
      <c r="B17" s="16" t="n">
        <v>0</v>
      </c>
      <c r="C17" s="16" t="n">
        <v>0</v>
      </c>
      <c r="D17" s="16" t="n">
        <v>0</v>
      </c>
      <c r="E17" s="16" t="n">
        <v>0</v>
      </c>
      <c r="F17" s="16" t="n">
        <v>0</v>
      </c>
      <c r="G17" s="16" t="n">
        <v>0</v>
      </c>
      <c r="H17" s="16" t="n">
        <v>0</v>
      </c>
      <c r="I17" s="16" t="n">
        <v>0</v>
      </c>
      <c r="J17" s="16" t="n">
        <v>0</v>
      </c>
      <c r="K17" s="16" t="n">
        <v>0</v>
      </c>
      <c r="L17" s="16" t="n">
        <v>0</v>
      </c>
      <c r="M17" s="16" t="n">
        <v>0</v>
      </c>
      <c r="N17" s="16">
        <f>SUM(B17:M17)</f>
        <v/>
      </c>
      <c r="O17" s="16" t="n">
        <v>0</v>
      </c>
      <c r="P17" s="16" t="n">
        <v>0</v>
      </c>
      <c r="Q17" s="16" t="n">
        <v>0</v>
      </c>
      <c r="R17" s="16" t="n">
        <v>0</v>
      </c>
      <c r="S17" s="16" t="n">
        <v>0</v>
      </c>
      <c r="T17" s="16" t="n">
        <v>0</v>
      </c>
      <c r="U17" s="16" t="n">
        <v>0</v>
      </c>
      <c r="V17" s="16" t="n">
        <v>0</v>
      </c>
      <c r="W17" s="16" t="n">
        <v>0</v>
      </c>
      <c r="X17" s="16" t="n">
        <v>0</v>
      </c>
      <c r="Y17" s="16" t="n">
        <v>0</v>
      </c>
      <c r="Z17" s="16" t="n">
        <v>0</v>
      </c>
      <c r="AA17" s="16">
        <f>SUM(O17:U17)</f>
        <v/>
      </c>
      <c r="AB17" s="16">
        <f>SUM(O17:Z17)</f>
        <v/>
      </c>
      <c r="AC17" s="16" t="n">
        <v>0</v>
      </c>
      <c r="AD17" s="16" t="n">
        <v>0</v>
      </c>
      <c r="AE17" s="16" t="n">
        <v>0</v>
      </c>
      <c r="AF17" s="16" t="n">
        <v>0</v>
      </c>
      <c r="AG17" s="16" t="n">
        <v>0</v>
      </c>
      <c r="AH17" s="16" t="n">
        <v>0</v>
      </c>
      <c r="AI17" s="34">
        <f>SUM(AC17:AH17)</f>
        <v/>
      </c>
      <c r="AJ17" s="16">
        <f>SUM(AC17:AH17)+AI17</f>
        <v/>
      </c>
      <c r="AK17" s="11">
        <f>IF(N17&lt;&gt;0,(AB17-N17)/ABS(N17),0)</f>
        <v/>
      </c>
      <c r="AL17" s="11">
        <f>IF(AB17&lt;&gt;0,(AJ17-AB17)/ABS(AB17),0)</f>
        <v/>
      </c>
    </row>
    <row r="18" ht="13" customHeight="1">
      <c r="A18" s="15" t="inlineStr">
        <is>
          <t xml:space="preserve">    Rewards &amp; Recognition</t>
        </is>
      </c>
      <c r="B18" s="16" t="n">
        <v>0</v>
      </c>
      <c r="C18" s="16" t="n">
        <v>0</v>
      </c>
      <c r="D18" s="16" t="n">
        <v>0</v>
      </c>
      <c r="E18" s="16" t="n">
        <v>0</v>
      </c>
      <c r="F18" s="16" t="n">
        <v>0</v>
      </c>
      <c r="G18" s="16" t="n">
        <v>0</v>
      </c>
      <c r="H18" s="16" t="n">
        <v>0</v>
      </c>
      <c r="I18" s="16" t="n">
        <v>0</v>
      </c>
      <c r="J18" s="16" t="n">
        <v>0</v>
      </c>
      <c r="K18" s="16" t="n">
        <v>0</v>
      </c>
      <c r="L18" s="16" t="n">
        <v>0</v>
      </c>
      <c r="M18" s="16" t="n">
        <v>81.26000000000001</v>
      </c>
      <c r="N18" s="16">
        <f>SUM(B18:M18)</f>
        <v/>
      </c>
      <c r="O18" s="16" t="n">
        <v>0</v>
      </c>
      <c r="P18" s="16" t="n">
        <v>0</v>
      </c>
      <c r="Q18" s="16" t="n">
        <v>105</v>
      </c>
      <c r="R18" s="16" t="n">
        <v>11.89</v>
      </c>
      <c r="S18" s="16" t="n">
        <v>56.95</v>
      </c>
      <c r="T18" s="16" t="n">
        <v>0</v>
      </c>
      <c r="U18" s="16" t="n">
        <v>10.98</v>
      </c>
      <c r="AA18" s="16">
        <f>SUM(O18:U18)</f>
        <v/>
      </c>
      <c r="AB18" s="16">
        <f>SUM(O18:Z18)</f>
        <v/>
      </c>
      <c r="AC18" s="16" t="n">
        <v>42</v>
      </c>
      <c r="AD18" s="16" t="n">
        <v>42</v>
      </c>
      <c r="AE18" s="16" t="n">
        <v>42</v>
      </c>
      <c r="AF18" s="16" t="n">
        <v>42</v>
      </c>
      <c r="AG18" s="16" t="n">
        <v>42</v>
      </c>
      <c r="AH18" s="16" t="n">
        <v>42</v>
      </c>
      <c r="AI18" s="34">
        <f>SUM(AC18:AH18)</f>
        <v/>
      </c>
      <c r="AJ18" s="16">
        <f>SUM(AC18:AH18)+AI18</f>
        <v/>
      </c>
      <c r="AK18" s="11">
        <f>IF(N18&lt;&gt;0,(AB18-N18)/ABS(N18),0)</f>
        <v/>
      </c>
      <c r="AL18" s="11">
        <f>IF(AB18&lt;&gt;0,(AJ18-AB18)/ABS(AB18),0)</f>
        <v/>
      </c>
    </row>
    <row r="19" ht="13" customHeight="1">
      <c r="A19" s="15" t="inlineStr">
        <is>
          <t xml:space="preserve">    Temps</t>
        </is>
      </c>
      <c r="B19" s="16" t="n">
        <v>0</v>
      </c>
      <c r="C19" s="16" t="n">
        <v>0</v>
      </c>
      <c r="D19" s="16" t="n">
        <v>0</v>
      </c>
      <c r="E19" s="16" t="n">
        <v>0</v>
      </c>
      <c r="F19" s="16" t="n">
        <v>0</v>
      </c>
      <c r="G19" s="16" t="n">
        <v>0</v>
      </c>
      <c r="H19" s="16" t="n">
        <v>0</v>
      </c>
      <c r="I19" s="16" t="n">
        <v>0</v>
      </c>
      <c r="J19" s="16" t="n">
        <v>0</v>
      </c>
      <c r="K19" s="16" t="n">
        <v>0</v>
      </c>
      <c r="L19" s="16" t="n">
        <v>0</v>
      </c>
      <c r="M19" s="16" t="n">
        <v>0</v>
      </c>
      <c r="N19" s="16">
        <f>SUM(B19:M19)</f>
        <v/>
      </c>
      <c r="O19" s="16" t="n">
        <v>0</v>
      </c>
      <c r="P19" s="16" t="n">
        <v>0</v>
      </c>
      <c r="Q19" s="16" t="n">
        <v>0</v>
      </c>
      <c r="R19" s="16" t="n">
        <v>0</v>
      </c>
      <c r="S19" s="16" t="n">
        <v>0</v>
      </c>
      <c r="T19" s="16" t="n">
        <v>0</v>
      </c>
      <c r="U19" s="16" t="n">
        <v>0</v>
      </c>
      <c r="V19" s="16" t="n">
        <v>0</v>
      </c>
      <c r="W19" s="16" t="n">
        <v>0</v>
      </c>
      <c r="X19" s="16" t="n">
        <v>0</v>
      </c>
      <c r="Y19" s="16" t="n">
        <v>0</v>
      </c>
      <c r="Z19" s="16" t="n">
        <v>0</v>
      </c>
      <c r="AA19" s="16">
        <f>SUM(O19:U19)</f>
        <v/>
      </c>
      <c r="AB19" s="16">
        <f>SUM(O19:Z19)</f>
        <v/>
      </c>
      <c r="AC19" s="16" t="n">
        <v>0</v>
      </c>
      <c r="AD19" s="16" t="n">
        <v>0</v>
      </c>
      <c r="AE19" s="16" t="n">
        <v>0</v>
      </c>
      <c r="AF19" s="16" t="n">
        <v>0</v>
      </c>
      <c r="AG19" s="16" t="n">
        <v>0</v>
      </c>
      <c r="AH19" s="16" t="n">
        <v>0</v>
      </c>
      <c r="AI19" s="34">
        <f>SUM(AC19:AH19)</f>
        <v/>
      </c>
      <c r="AJ19" s="16">
        <f>SUM(AC19:AH19)+AI19</f>
        <v/>
      </c>
      <c r="AK19" s="11">
        <f>IF(N19&lt;&gt;0,(AB19-N19)/ABS(N19),0)</f>
        <v/>
      </c>
      <c r="AL19" s="11">
        <f>IF(AB19&lt;&gt;0,(AJ19-AB19)/ABS(AB19),0)</f>
        <v/>
      </c>
    </row>
    <row r="20" ht="13" customHeight="1">
      <c r="A20" s="17" t="inlineStr">
        <is>
          <t>Total Personnel</t>
        </is>
      </c>
      <c r="B20" s="18">
        <f>B11+B12+B13+B14+B15+B16+B17+B18+B19</f>
        <v/>
      </c>
      <c r="C20" s="18">
        <f>C11+C12+C13+C14+C15+C16+C17+C18+C19</f>
        <v/>
      </c>
      <c r="D20" s="18">
        <f>D11+D12+D13+D14+D15+D16+D17+D18+D19</f>
        <v/>
      </c>
      <c r="E20" s="18">
        <f>E11+E12+E13+E14+E15+E16+E17+E18+E19</f>
        <v/>
      </c>
      <c r="F20" s="18">
        <f>F11+F12+F13+F14+F15+F16+F17+F18+F19</f>
        <v/>
      </c>
      <c r="G20" s="18">
        <f>G11+G12+G13+G14+G15+G16+G17+G18+G19</f>
        <v/>
      </c>
      <c r="H20" s="18">
        <f>H11+H12+H13+H14+H15+H16+H17+H18+H19</f>
        <v/>
      </c>
      <c r="I20" s="18">
        <f>I11+I12+I13+I14+I15+I16+I17+I18+I19</f>
        <v/>
      </c>
      <c r="J20" s="18">
        <f>J11+J12+J13+J14+J15+J16+J17+J18+J19</f>
        <v/>
      </c>
      <c r="K20" s="18">
        <f>K11+K12+K13+K14+K15+K16+K17+K18+K19</f>
        <v/>
      </c>
      <c r="L20" s="18">
        <f>L11+L12+L13+L14+L15+L16+L17+L18+L19</f>
        <v/>
      </c>
      <c r="M20" s="18">
        <f>M11+M12+M13+M14+M15+M16+M17+M18+M19</f>
        <v/>
      </c>
      <c r="N20" s="18">
        <f>N11+N12+N13+N14+N15+N16+N17+N18+N19</f>
        <v/>
      </c>
      <c r="O20" s="18">
        <f>O11+O12+O13+O14+O15+O16+O17+O18+O19</f>
        <v/>
      </c>
      <c r="P20" s="18">
        <f>P11+P12+P13+P14+P15+P16+P17+P18+P19</f>
        <v/>
      </c>
      <c r="Q20" s="18">
        <f>Q11+Q12+Q13+Q14+Q15+Q16+Q17+Q18+Q19</f>
        <v/>
      </c>
      <c r="R20" s="18">
        <f>R11+R12+R13+R14+R15+R16+R17+R18+R19</f>
        <v/>
      </c>
      <c r="S20" s="18">
        <f>S11+S12+S13+S14+S15+S16+S17+S18+S19</f>
        <v/>
      </c>
      <c r="T20" s="18">
        <f>T11+T12+T13+T14+T15+T16+T17+T18+T19</f>
        <v/>
      </c>
      <c r="U20" s="18">
        <f>U11+U12+U13+U14+U15+U16+U17+U18+U19</f>
        <v/>
      </c>
      <c r="V20" s="18">
        <f>V11+V12+V13+V14+V15+V16+V17+V18+V19</f>
        <v/>
      </c>
      <c r="W20" s="18">
        <f>W11+W12+W13+W14+W15+W16+W17+W18+W19</f>
        <v/>
      </c>
      <c r="X20" s="18">
        <f>X11+X12+X13+X14+X15+X16+X17+X18+X19</f>
        <v/>
      </c>
      <c r="Y20" s="18">
        <f>Y11+Y12+Y13+Y14+Y15+Y16+Y17+Y18+Y19</f>
        <v/>
      </c>
      <c r="Z20" s="18">
        <f>Z11+Z12+Z13+Z14+Z15+Z16+Z17+Z18+Z19</f>
        <v/>
      </c>
      <c r="AA20" s="18">
        <f>AA11+AA12+AA13+AA14+AA15+AA16+AA17+AA18+AA19</f>
        <v/>
      </c>
      <c r="AB20" s="18">
        <f>AB11+AB12+AB13+AB14+AB15+AB16+AB17+AB18+AB19</f>
        <v/>
      </c>
      <c r="AC20" s="18">
        <f>AC11+AC12+AC13+AC14+AC15+AC16+AC17+AC18+AC19</f>
        <v/>
      </c>
      <c r="AD20" s="18">
        <f>AD11+AD12+AD13+AD14+AD15+AD16+AD17+AD18+AD19</f>
        <v/>
      </c>
      <c r="AE20" s="18">
        <f>AE11+AE12+AE13+AE14+AE15+AE16+AE17+AE18+AE19</f>
        <v/>
      </c>
      <c r="AF20" s="18">
        <f>AF11+AF12+AF13+AF14+AF15+AF16+AF17+AF18+AF19</f>
        <v/>
      </c>
      <c r="AG20" s="18">
        <f>AG11+AG12+AG13+AG14+AG15+AG16+AG17+AG18+AG19</f>
        <v/>
      </c>
      <c r="AH20" s="18">
        <f>AH11+AH12+AH13+AH14+AH15+AH16+AH17+AH18+AH19</f>
        <v/>
      </c>
      <c r="AI20" s="18">
        <f>AI11+AI12+AI13+AI14+AI15+AI16+AI17+AI18+AI19</f>
        <v/>
      </c>
      <c r="AJ20" s="18">
        <f>AJ11+AJ12+AJ13+AJ14+AJ15+AJ16+AJ17+AJ18+AJ19</f>
        <v/>
      </c>
      <c r="AK20" s="11">
        <f>IF(N20&lt;&gt;0,(AB20-N20)/ABS(N20),0)</f>
        <v/>
      </c>
      <c r="AL20" s="11">
        <f>IF(AB20&lt;&gt;0,(AJ20-AB20)/ABS(AB20),0)</f>
        <v/>
      </c>
    </row>
    <row r="21" ht="13" customHeight="1">
      <c r="A21" s="19" t="inlineStr">
        <is>
          <t xml:space="preserve">    Sal:Rev</t>
        </is>
      </c>
      <c r="B21" s="20">
        <f>IF(B7&gt;0,B20/B7,0)</f>
        <v/>
      </c>
      <c r="C21" s="20">
        <f>IF(C7&gt;0,C20/C7,0)</f>
        <v/>
      </c>
      <c r="D21" s="20">
        <f>IF(D7&gt;0,D20/D7,0)</f>
        <v/>
      </c>
      <c r="E21" s="20">
        <f>IF(E7&gt;0,E20/E7,0)</f>
        <v/>
      </c>
      <c r="F21" s="20">
        <f>IF(F7&gt;0,F20/F7,0)</f>
        <v/>
      </c>
      <c r="G21" s="20">
        <f>IF(G7&gt;0,G20/G7,0)</f>
        <v/>
      </c>
      <c r="H21" s="20">
        <f>IF(H7&gt;0,H20/H7,0)</f>
        <v/>
      </c>
      <c r="I21" s="20">
        <f>IF(I7&gt;0,I20/I7,0)</f>
        <v/>
      </c>
      <c r="J21" s="20">
        <f>IF(J7&gt;0,J20/J7,0)</f>
        <v/>
      </c>
      <c r="K21" s="20">
        <f>IF(K7&gt;0,K20/K7,0)</f>
        <v/>
      </c>
      <c r="L21" s="20">
        <f>IF(L7&gt;0,L20/L7,0)</f>
        <v/>
      </c>
      <c r="M21" s="20">
        <f>IF(M7&gt;0,M20/M7,0)</f>
        <v/>
      </c>
      <c r="N21" s="20">
        <f>IF(N7&gt;0,N20/N7,0)</f>
        <v/>
      </c>
      <c r="O21" s="20">
        <f>IF(O7&gt;0,O20/O7,0)</f>
        <v/>
      </c>
      <c r="P21" s="20">
        <f>IF(P7&gt;0,P20/P7,0)</f>
        <v/>
      </c>
      <c r="Q21" s="20">
        <f>IF(Q7&gt;0,Q20/Q7,0)</f>
        <v/>
      </c>
      <c r="R21" s="20">
        <f>IF(R7&gt;0,R20/R7,0)</f>
        <v/>
      </c>
      <c r="S21" s="20">
        <f>IF(S7&gt;0,S20/S7,0)</f>
        <v/>
      </c>
      <c r="T21" s="20">
        <f>IF(T7&gt;0,T20/T7,0)</f>
        <v/>
      </c>
      <c r="U21" s="20">
        <f>IF(U7&gt;0,U20/U7,0)</f>
        <v/>
      </c>
      <c r="V21" s="20">
        <f>IF(V7&gt;0,V20/V7,0)</f>
        <v/>
      </c>
      <c r="W21" s="20">
        <f>IF(W7&gt;0,W20/W7,0)</f>
        <v/>
      </c>
      <c r="X21" s="20">
        <f>IF(X7&gt;0,X20/X7,0)</f>
        <v/>
      </c>
      <c r="Y21" s="20">
        <f>IF(Y7&gt;0,Y20/Y7,0)</f>
        <v/>
      </c>
      <c r="Z21" s="20">
        <f>IF(Z7&gt;0,Z20/Z7,0)</f>
        <v/>
      </c>
      <c r="AA21" s="20">
        <f>IF(AA7&gt;0,AA20/AA7,0)</f>
        <v/>
      </c>
      <c r="AB21" s="20">
        <f>IF(AB7&gt;0,AB20/AB7,0)</f>
        <v/>
      </c>
      <c r="AC21" s="20">
        <f>IF(AC7&gt;0,AC20/AC7,0)</f>
        <v/>
      </c>
      <c r="AD21" s="20">
        <f>IF(AD7&gt;0,AD20/AD7,0)</f>
        <v/>
      </c>
      <c r="AE21" s="20">
        <f>IF(AE7&gt;0,AE20/AE7,0)</f>
        <v/>
      </c>
      <c r="AF21" s="20">
        <f>IF(AF7&gt;0,AF20/AF7,0)</f>
        <v/>
      </c>
      <c r="AG21" s="20">
        <f>IF(AG7&gt;0,AG20/AG7,0)</f>
        <v/>
      </c>
      <c r="AH21" s="20">
        <f>IF(AH7&gt;0,AH20/AH7,0)</f>
        <v/>
      </c>
      <c r="AI21" s="20">
        <f>IF(AI7&gt;0,AI20/AI7,0)</f>
        <v/>
      </c>
      <c r="AJ21" s="20">
        <f>IF(AJ7&gt;0,AJ20/AJ7,0)</f>
        <v/>
      </c>
    </row>
    <row r="22" ht="5" customHeight="1"/>
    <row r="23" ht="13" customHeight="1">
      <c r="A23" s="14" t="inlineStr">
        <is>
          <t>Childcare</t>
        </is>
      </c>
    </row>
    <row r="24" ht="13" customHeight="1">
      <c r="A24" s="21" t="inlineStr">
        <is>
          <t xml:space="preserve">    Catering Costs</t>
        </is>
      </c>
      <c r="N24" s="22">
        <f>SUM(B24:M24)</f>
        <v/>
      </c>
      <c r="O24" s="22" t="n">
        <v>1657.73</v>
      </c>
      <c r="P24" s="22" t="n">
        <v>2323.72</v>
      </c>
      <c r="Q24" s="22" t="n">
        <v>2282.6</v>
      </c>
      <c r="R24" s="22" t="n">
        <v>2212.08</v>
      </c>
      <c r="S24" s="22" t="n">
        <v>1953.08</v>
      </c>
      <c r="T24" s="22" t="n">
        <v>2585.29</v>
      </c>
      <c r="U24" s="22" t="n">
        <v>2105.23</v>
      </c>
      <c r="V24" s="22" t="n">
        <v>1937.4888</v>
      </c>
      <c r="W24" s="22" t="n">
        <v>2484.6744</v>
      </c>
      <c r="X24" s="22" t="n">
        <v>2600.0832</v>
      </c>
      <c r="Y24" s="22" t="n">
        <v>2705.4456</v>
      </c>
      <c r="Z24" s="22" t="n">
        <v>2722.4184</v>
      </c>
      <c r="AA24" s="22">
        <f>SUM(O24:U24)</f>
        <v/>
      </c>
      <c r="AB24" s="22">
        <f>SUM(O24:Z24)</f>
        <v/>
      </c>
      <c r="AC24" s="22" t="n">
        <v>3014.120616</v>
      </c>
      <c r="AD24" s="22" t="n">
        <v>2858.653824</v>
      </c>
      <c r="AE24" s="22" t="n">
        <v>3436.544592</v>
      </c>
      <c r="AF24" s="22" t="n">
        <v>2585.557104</v>
      </c>
      <c r="AG24" s="22" t="n">
        <v>2311.343424</v>
      </c>
      <c r="AH24" s="22" t="n">
        <v>2611.802544</v>
      </c>
      <c r="AI24" s="34">
        <f>SUM(AC24:AH24)</f>
        <v/>
      </c>
      <c r="AJ24" s="22">
        <f>SUM(AC24:AH24)+AI24</f>
        <v/>
      </c>
      <c r="AK24" s="11">
        <f>IF(N24&lt;&gt;0,(AB24-N24)/ABS(N24),0)</f>
        <v/>
      </c>
      <c r="AL24" s="11">
        <f>IF(AB24&lt;&gt;0,(AJ24-AB24)/ABS(AB24),0)</f>
        <v/>
      </c>
    </row>
    <row r="25" ht="13" customHeight="1">
      <c r="A25" s="21" t="inlineStr">
        <is>
          <t xml:space="preserve">    Toys and Games</t>
        </is>
      </c>
      <c r="B25" s="22" t="n">
        <v>68.40000000000001</v>
      </c>
      <c r="C25" s="22" t="n">
        <v>128.78</v>
      </c>
      <c r="D25" s="22" t="n">
        <v>85.5</v>
      </c>
      <c r="E25" s="22" t="n">
        <v>83.75</v>
      </c>
      <c r="F25" s="22" t="n">
        <v>195.42</v>
      </c>
      <c r="G25" s="22" t="n">
        <v>104.04</v>
      </c>
      <c r="H25" s="22" t="n">
        <v>328.45</v>
      </c>
      <c r="I25" s="22" t="n">
        <v>78.45</v>
      </c>
      <c r="J25" s="22" t="n">
        <v>37.86</v>
      </c>
      <c r="K25" s="22" t="n">
        <v>97.79000000000001</v>
      </c>
      <c r="L25" s="22" t="n">
        <v>65.98999999999999</v>
      </c>
      <c r="M25" s="22" t="n">
        <v>18.31</v>
      </c>
      <c r="N25" s="22">
        <f>SUM(B25:M25)</f>
        <v/>
      </c>
      <c r="O25" s="22" t="n">
        <v>101.07</v>
      </c>
      <c r="P25" s="22" t="n">
        <v>94.3</v>
      </c>
      <c r="Q25" s="22" t="n">
        <v>182.82</v>
      </c>
      <c r="R25" s="22" t="n">
        <v>199.11</v>
      </c>
      <c r="S25" s="22" t="n">
        <v>118.49</v>
      </c>
      <c r="T25" s="22" t="n">
        <v>99.12</v>
      </c>
      <c r="U25" s="22" t="n">
        <v>99.25999999999999</v>
      </c>
      <c r="AA25" s="22">
        <f>SUM(O25:U25)</f>
        <v/>
      </c>
      <c r="AB25" s="22">
        <f>SUM(O25:Z25)</f>
        <v/>
      </c>
      <c r="AC25" s="22" t="n">
        <v>50</v>
      </c>
      <c r="AD25" s="22" t="n">
        <v>50</v>
      </c>
      <c r="AE25" s="22" t="n">
        <v>50</v>
      </c>
      <c r="AF25" s="22" t="n">
        <v>50</v>
      </c>
      <c r="AG25" s="22" t="n">
        <v>50</v>
      </c>
      <c r="AH25" s="22" t="n">
        <v>50</v>
      </c>
      <c r="AI25" s="34">
        <f>SUM(AC25:AH25)</f>
        <v/>
      </c>
      <c r="AJ25" s="22">
        <f>SUM(AC25:AH25)+AI25</f>
        <v/>
      </c>
      <c r="AK25" s="11">
        <f>IF(N25&lt;&gt;0,(AB25-N25)/ABS(N25),0)</f>
        <v/>
      </c>
      <c r="AL25" s="11">
        <f>IF(AB25&lt;&gt;0,(AJ25-AB25)/ABS(AB25),0)</f>
        <v/>
      </c>
    </row>
    <row r="26" ht="13" customHeight="1">
      <c r="A26" s="21" t="inlineStr">
        <is>
          <t xml:space="preserve">    Art Materials</t>
        </is>
      </c>
      <c r="N26" s="22">
        <f>SUM(B26:M26)</f>
        <v/>
      </c>
      <c r="O26" s="22" t="n">
        <v>147.48</v>
      </c>
      <c r="P26" s="22" t="n">
        <v>45.11</v>
      </c>
      <c r="Q26" s="22" t="n">
        <v>228.48</v>
      </c>
      <c r="R26" s="22" t="n">
        <v>121.89</v>
      </c>
      <c r="S26" s="22" t="n">
        <v>218.45</v>
      </c>
      <c r="T26" s="22" t="n">
        <v>66.66</v>
      </c>
      <c r="U26" s="22" t="n">
        <v>63.70000000000001</v>
      </c>
      <c r="V26" s="22" t="n">
        <v>193.74888</v>
      </c>
      <c r="W26" s="22" t="n">
        <v>248.46744</v>
      </c>
      <c r="X26" s="22" t="n">
        <v>260.00832</v>
      </c>
      <c r="Y26" s="22" t="n">
        <v>270.54456</v>
      </c>
      <c r="Z26" s="22" t="n">
        <v>272.24184</v>
      </c>
      <c r="AA26" s="22">
        <f>SUM(O26:U26)</f>
        <v/>
      </c>
      <c r="AB26" s="22">
        <f>SUM(O26:Z26)</f>
        <v/>
      </c>
      <c r="AC26" s="22" t="n">
        <v>301.4120616</v>
      </c>
      <c r="AD26" s="22" t="n">
        <v>285.8653824</v>
      </c>
      <c r="AE26" s="22" t="n">
        <v>343.6544592</v>
      </c>
      <c r="AF26" s="22" t="n">
        <v>258.5557104</v>
      </c>
      <c r="AG26" s="22" t="n">
        <v>231.1343424</v>
      </c>
      <c r="AH26" s="22" t="n">
        <v>261.1802544</v>
      </c>
      <c r="AI26" s="34">
        <f>SUM(AC26:AH26)</f>
        <v/>
      </c>
      <c r="AJ26" s="22">
        <f>SUM(AC26:AH26)+AI26</f>
        <v/>
      </c>
      <c r="AK26" s="11">
        <f>IF(N26&lt;&gt;0,(AB26-N26)/ABS(N26),0)</f>
        <v/>
      </c>
      <c r="AL26" s="11">
        <f>IF(AB26&lt;&gt;0,(AJ26-AB26)/ABS(AB26),0)</f>
        <v/>
      </c>
    </row>
    <row r="27" ht="13" customHeight="1">
      <c r="A27" s="21" t="inlineStr">
        <is>
          <t xml:space="preserve">    Nursery Stationery</t>
        </is>
      </c>
      <c r="B27" s="22" t="n">
        <v>223.47</v>
      </c>
      <c r="C27" s="22" t="n">
        <v>58.78</v>
      </c>
      <c r="D27" s="22" t="n">
        <v>28</v>
      </c>
      <c r="E27" s="22" t="n">
        <v>9.1</v>
      </c>
      <c r="F27" s="22" t="n">
        <v>63.78</v>
      </c>
      <c r="G27" s="22" t="n">
        <v>4.3</v>
      </c>
      <c r="H27" s="22" t="n">
        <v>23.48</v>
      </c>
      <c r="I27" s="22" t="n">
        <v>45.41</v>
      </c>
      <c r="J27" s="22" t="n">
        <v>108.62</v>
      </c>
      <c r="K27" s="22" t="n">
        <v>20.82</v>
      </c>
      <c r="L27" s="22" t="n">
        <v>27.74</v>
      </c>
      <c r="M27" s="22" t="n">
        <v>0</v>
      </c>
      <c r="N27" s="22">
        <f>SUM(B27:M27)</f>
        <v/>
      </c>
      <c r="O27" s="22" t="n">
        <v>72.15000000000001</v>
      </c>
      <c r="P27" s="22" t="n">
        <v>35.67</v>
      </c>
      <c r="Q27" s="22" t="n">
        <v>121.22</v>
      </c>
      <c r="R27" s="22" t="n">
        <v>135.22</v>
      </c>
      <c r="S27" s="22" t="n">
        <v>98.09</v>
      </c>
      <c r="T27" s="22" t="n">
        <v>69.61</v>
      </c>
      <c r="U27" s="22" t="n">
        <v>109.3</v>
      </c>
      <c r="AA27" s="22">
        <f>SUM(O27:U27)</f>
        <v/>
      </c>
      <c r="AB27" s="22">
        <f>SUM(O27:Z27)</f>
        <v/>
      </c>
      <c r="AC27" s="22" t="n">
        <v>100</v>
      </c>
      <c r="AD27" s="22" t="n">
        <v>100</v>
      </c>
      <c r="AE27" s="22" t="n">
        <v>100</v>
      </c>
      <c r="AF27" s="22" t="n">
        <v>100</v>
      </c>
      <c r="AG27" s="22" t="n">
        <v>100</v>
      </c>
      <c r="AH27" s="22" t="n">
        <v>100</v>
      </c>
      <c r="AI27" s="34">
        <f>SUM(AC27:AH27)</f>
        <v/>
      </c>
      <c r="AJ27" s="22">
        <f>SUM(AC27:AH27)+AI27</f>
        <v/>
      </c>
      <c r="AK27" s="11">
        <f>IF(N27&lt;&gt;0,(AB27-N27)/ABS(N27),0)</f>
        <v/>
      </c>
      <c r="AL27" s="11">
        <f>IF(AB27&lt;&gt;0,(AJ27-AB27)/ABS(AB27),0)</f>
        <v/>
      </c>
    </row>
    <row r="28" ht="13" customHeight="1">
      <c r="A28" s="21" t="inlineStr">
        <is>
          <t xml:space="preserve">    Nursery Equipment</t>
        </is>
      </c>
      <c r="B28" s="22" t="n">
        <v>33.38</v>
      </c>
      <c r="C28" s="22" t="n">
        <v>150.78</v>
      </c>
      <c r="D28" s="22" t="n">
        <v>0</v>
      </c>
      <c r="E28" s="22" t="n">
        <v>86.95</v>
      </c>
      <c r="F28" s="22" t="n">
        <v>197.12</v>
      </c>
      <c r="G28" s="22" t="n">
        <v>87</v>
      </c>
      <c r="H28" s="22" t="n">
        <v>188.42</v>
      </c>
      <c r="I28" s="22" t="n">
        <v>0</v>
      </c>
      <c r="J28" s="22" t="n">
        <v>117.09</v>
      </c>
      <c r="K28" s="22" t="n">
        <v>236.18</v>
      </c>
      <c r="L28" s="22" t="n">
        <v>112.16</v>
      </c>
      <c r="M28" s="22" t="n">
        <v>0</v>
      </c>
      <c r="N28" s="22">
        <f>SUM(B28:M28)</f>
        <v/>
      </c>
      <c r="O28" s="22" t="n">
        <v>52.34</v>
      </c>
      <c r="P28" s="22" t="n">
        <v>48.88</v>
      </c>
      <c r="Q28" s="22" t="n">
        <v>97.54000000000001</v>
      </c>
      <c r="R28" s="22" t="n">
        <v>124.88</v>
      </c>
      <c r="S28" s="22" t="n">
        <v>161.32</v>
      </c>
      <c r="T28" s="22" t="n">
        <v>25.57</v>
      </c>
      <c r="U28" s="22" t="n">
        <v>174.81</v>
      </c>
      <c r="AA28" s="22">
        <f>SUM(O28:U28)</f>
        <v/>
      </c>
      <c r="AB28" s="22">
        <f>SUM(O28:Z28)</f>
        <v/>
      </c>
      <c r="AC28" s="22" t="n">
        <v>50</v>
      </c>
      <c r="AD28" s="22" t="n">
        <v>50</v>
      </c>
      <c r="AE28" s="22" t="n">
        <v>50</v>
      </c>
      <c r="AF28" s="22" t="n">
        <v>50</v>
      </c>
      <c r="AG28" s="22" t="n">
        <v>50</v>
      </c>
      <c r="AH28" s="22" t="n">
        <v>50</v>
      </c>
      <c r="AI28" s="34">
        <f>SUM(AC28:AH28)</f>
        <v/>
      </c>
      <c r="AJ28" s="22">
        <f>SUM(AC28:AH28)+AI28</f>
        <v/>
      </c>
      <c r="AK28" s="11">
        <f>IF(N28&lt;&gt;0,(AB28-N28)/ABS(N28),0)</f>
        <v/>
      </c>
      <c r="AL28" s="11">
        <f>IF(AB28&lt;&gt;0,(AJ28-AB28)/ABS(AB28),0)</f>
        <v/>
      </c>
    </row>
    <row r="29" ht="13" customHeight="1">
      <c r="A29" s="21" t="inlineStr">
        <is>
          <t xml:space="preserve">    Nursery Consumables</t>
        </is>
      </c>
      <c r="N29" s="22">
        <f>SUM(B29:M29)</f>
        <v/>
      </c>
      <c r="O29" s="22" t="n">
        <v>299.13</v>
      </c>
      <c r="P29" s="22" t="n">
        <v>158.76</v>
      </c>
      <c r="Q29" s="22" t="n">
        <v>414.86</v>
      </c>
      <c r="R29" s="22" t="n">
        <v>501.63</v>
      </c>
      <c r="S29" s="22" t="n">
        <v>649.63</v>
      </c>
      <c r="T29" s="22" t="n">
        <v>384.68</v>
      </c>
      <c r="U29" s="22" t="n">
        <v>435.71</v>
      </c>
      <c r="V29" s="22" t="n">
        <v>322.9148</v>
      </c>
      <c r="W29" s="22" t="n">
        <v>414.1124</v>
      </c>
      <c r="X29" s="22" t="n">
        <v>433.3472</v>
      </c>
      <c r="Y29" s="22" t="n">
        <v>450.9076000000001</v>
      </c>
      <c r="Z29" s="22" t="n">
        <v>453.7364000000001</v>
      </c>
      <c r="AA29" s="22">
        <f>SUM(O29:U29)</f>
        <v/>
      </c>
      <c r="AB29" s="22">
        <f>SUM(O29:Z29)</f>
        <v/>
      </c>
      <c r="AC29" s="22" t="n">
        <v>502.353436</v>
      </c>
      <c r="AD29" s="22" t="n">
        <v>476.4423040000001</v>
      </c>
      <c r="AE29" s="22" t="n">
        <v>572.7574320000001</v>
      </c>
      <c r="AF29" s="22" t="n">
        <v>430.926184</v>
      </c>
      <c r="AG29" s="22" t="n">
        <v>385.2239040000001</v>
      </c>
      <c r="AH29" s="22" t="n">
        <v>435.300424</v>
      </c>
      <c r="AI29" s="34">
        <f>SUM(AC29:AH29)</f>
        <v/>
      </c>
      <c r="AJ29" s="22">
        <f>SUM(AC29:AH29)+AI29</f>
        <v/>
      </c>
      <c r="AK29" s="11">
        <f>IF(N29&lt;&gt;0,(AB29-N29)/ABS(N29),0)</f>
        <v/>
      </c>
      <c r="AL29" s="11">
        <f>IF(AB29&lt;&gt;0,(AJ29-AB29)/ABS(AB29),0)</f>
        <v/>
      </c>
    </row>
    <row r="30" ht="13" customHeight="1">
      <c r="A30" s="23" t="inlineStr">
        <is>
          <t>Total Childcare Costs</t>
        </is>
      </c>
      <c r="B30" s="24">
        <f>B24+B25+B26+B27+B28+B29</f>
        <v/>
      </c>
      <c r="C30" s="24">
        <f>C24+C25+C26+C27+C28+C29</f>
        <v/>
      </c>
      <c r="D30" s="24">
        <f>D24+D25+D26+D27+D28+D29</f>
        <v/>
      </c>
      <c r="E30" s="24">
        <f>E24+E25+E26+E27+E28+E29</f>
        <v/>
      </c>
      <c r="F30" s="24">
        <f>F24+F25+F26+F27+F28+F29</f>
        <v/>
      </c>
      <c r="G30" s="24">
        <f>G24+G25+G26+G27+G28+G29</f>
        <v/>
      </c>
      <c r="H30" s="24">
        <f>H24+H25+H26+H27+H28+H29</f>
        <v/>
      </c>
      <c r="I30" s="24">
        <f>I24+I25+I26+I27+I28+I29</f>
        <v/>
      </c>
      <c r="J30" s="24">
        <f>J24+J25+J26+J27+J28+J29</f>
        <v/>
      </c>
      <c r="K30" s="24">
        <f>K24+K25+K26+K27+K28+K29</f>
        <v/>
      </c>
      <c r="L30" s="24">
        <f>L24+L25+L26+L27+L28+L29</f>
        <v/>
      </c>
      <c r="M30" s="24">
        <f>M24+M25+M26+M27+M28+M29</f>
        <v/>
      </c>
      <c r="N30" s="24">
        <f>N24+N25+N26+N27+N28+N29</f>
        <v/>
      </c>
      <c r="O30" s="24">
        <f>O24+O25+O26+O27+O28+O29</f>
        <v/>
      </c>
      <c r="P30" s="24">
        <f>P24+P25+P26+P27+P28+P29</f>
        <v/>
      </c>
      <c r="Q30" s="24">
        <f>Q24+Q25+Q26+Q27+Q28+Q29</f>
        <v/>
      </c>
      <c r="R30" s="24">
        <f>R24+R25+R26+R27+R28+R29</f>
        <v/>
      </c>
      <c r="S30" s="24">
        <f>S24+S25+S26+S27+S28+S29</f>
        <v/>
      </c>
      <c r="T30" s="24">
        <f>T24+T25+T26+T27+T28+T29</f>
        <v/>
      </c>
      <c r="U30" s="24">
        <f>U24+U25+U26+U27+U28+U29</f>
        <v/>
      </c>
      <c r="V30" s="24">
        <f>V24+V25+V26+V27+V28+V29</f>
        <v/>
      </c>
      <c r="W30" s="24">
        <f>W24+W25+W26+W27+W28+W29</f>
        <v/>
      </c>
      <c r="X30" s="24">
        <f>X24+X25+X26+X27+X28+X29</f>
        <v/>
      </c>
      <c r="Y30" s="24">
        <f>Y24+Y25+Y26+Y27+Y28+Y29</f>
        <v/>
      </c>
      <c r="Z30" s="24">
        <f>Z24+Z25+Z26+Z27+Z28+Z29</f>
        <v/>
      </c>
      <c r="AA30" s="24">
        <f>AA24+AA25+AA26+AA27+AA28+AA29</f>
        <v/>
      </c>
      <c r="AB30" s="24">
        <f>AB24+AB25+AB26+AB27+AB28+AB29</f>
        <v/>
      </c>
      <c r="AC30" s="24">
        <f>AC24+AC25+AC26+AC27+AC28+AC29</f>
        <v/>
      </c>
      <c r="AD30" s="24">
        <f>AD24+AD25+AD26+AD27+AD28+AD29</f>
        <v/>
      </c>
      <c r="AE30" s="24">
        <f>AE24+AE25+AE26+AE27+AE28+AE29</f>
        <v/>
      </c>
      <c r="AF30" s="24">
        <f>AF24+AF25+AF26+AF27+AF28+AF29</f>
        <v/>
      </c>
      <c r="AG30" s="24">
        <f>AG24+AG25+AG26+AG27+AG28+AG29</f>
        <v/>
      </c>
      <c r="AH30" s="24">
        <f>AH24+AH25+AH26+AH27+AH28+AH29</f>
        <v/>
      </c>
      <c r="AI30" s="24">
        <f>AI24+AI25+AI26+AI27+AI28+AI29</f>
        <v/>
      </c>
      <c r="AJ30" s="24">
        <f>AJ24+AJ25+AJ26+AJ27+AJ28+AJ29</f>
        <v/>
      </c>
      <c r="AK30" s="11">
        <f>IF(N30&lt;&gt;0,(AB30-N30)/ABS(N30),0)</f>
        <v/>
      </c>
      <c r="AL30" s="11">
        <f>IF(AB30&lt;&gt;0,(AJ30-AB30)/ABS(AB30),0)</f>
        <v/>
      </c>
    </row>
    <row r="31" ht="5" customHeight="1"/>
    <row r="32" ht="13" customHeight="1">
      <c r="A32" s="14" t="inlineStr">
        <is>
          <t>Premises &amp; Admin</t>
        </is>
      </c>
    </row>
    <row r="33" ht="13" customHeight="1">
      <c r="A33" s="25" t="inlineStr">
        <is>
          <t xml:space="preserve">    Rent</t>
        </is>
      </c>
      <c r="B33" s="26" t="n">
        <v>0</v>
      </c>
      <c r="C33" s="26" t="n">
        <v>0</v>
      </c>
      <c r="D33" s="26" t="n">
        <v>0</v>
      </c>
      <c r="E33" s="26" t="n">
        <v>0</v>
      </c>
      <c r="F33" s="26" t="n">
        <v>0</v>
      </c>
      <c r="G33" s="26" t="n">
        <v>0</v>
      </c>
      <c r="H33" s="26" t="n">
        <v>0</v>
      </c>
      <c r="I33" s="26" t="n">
        <v>0</v>
      </c>
      <c r="J33" s="26" t="n">
        <v>0</v>
      </c>
      <c r="K33" s="26" t="n">
        <v>0</v>
      </c>
      <c r="L33" s="26" t="n">
        <v>0</v>
      </c>
      <c r="M33" s="26" t="n">
        <v>0</v>
      </c>
      <c r="N33" s="26">
        <f>SUM(B33:M33)</f>
        <v/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  <c r="V33" s="26" t="n">
        <v>0</v>
      </c>
      <c r="W33" s="26" t="n">
        <v>0</v>
      </c>
      <c r="X33" s="26" t="n">
        <v>0</v>
      </c>
      <c r="Y33" s="26" t="n">
        <v>0</v>
      </c>
      <c r="Z33" s="26" t="n">
        <v>0</v>
      </c>
      <c r="AA33" s="26">
        <f>SUM(O33:U33)</f>
        <v/>
      </c>
      <c r="AB33" s="26">
        <f>SUM(O33:Z33)</f>
        <v/>
      </c>
      <c r="AC33" s="26" t="n">
        <v>0</v>
      </c>
      <c r="AD33" s="26" t="n">
        <v>0</v>
      </c>
      <c r="AE33" s="26" t="n">
        <v>0</v>
      </c>
      <c r="AF33" s="26" t="n">
        <v>0</v>
      </c>
      <c r="AG33" s="26" t="n">
        <v>0</v>
      </c>
      <c r="AH33" s="26" t="n">
        <v>0</v>
      </c>
      <c r="AI33" s="34">
        <f>SUM(AC33:AH33)</f>
        <v/>
      </c>
      <c r="AJ33" s="26">
        <f>SUM(AC33:AH33)+AI33</f>
        <v/>
      </c>
      <c r="AK33" s="11">
        <f>IF(N33&lt;&gt;0,(AB33-N33)/ABS(N33),0)</f>
        <v/>
      </c>
      <c r="AL33" s="11">
        <f>IF(AB33&lt;&gt;0,(AJ33-AB33)/ABS(AB33),0)</f>
        <v/>
      </c>
    </row>
    <row r="34" ht="13" customHeight="1">
      <c r="A34" s="25" t="inlineStr">
        <is>
          <t xml:space="preserve">    Business Rates</t>
        </is>
      </c>
      <c r="B34" s="26" t="n">
        <v>-2157.98</v>
      </c>
      <c r="C34" s="26" t="n">
        <v>721.59</v>
      </c>
      <c r="D34" s="26" t="n">
        <v>721.59</v>
      </c>
      <c r="E34" s="26" t="n">
        <v>4207.28</v>
      </c>
      <c r="F34" s="26" t="n">
        <v>758.9</v>
      </c>
      <c r="G34" s="26" t="n">
        <v>758.9</v>
      </c>
      <c r="H34" s="26" t="n">
        <v>758.9</v>
      </c>
      <c r="I34" s="26" t="n">
        <v>758.9</v>
      </c>
      <c r="J34" s="26" t="n">
        <v>758.9</v>
      </c>
      <c r="K34" s="26" t="n">
        <v>758.9</v>
      </c>
      <c r="L34" s="26" t="n">
        <v>758.9</v>
      </c>
      <c r="M34" s="26" t="n">
        <v>758.9</v>
      </c>
      <c r="N34" s="26">
        <f>SUM(B34:M34)</f>
        <v/>
      </c>
      <c r="O34" s="26" t="n">
        <v>758.89</v>
      </c>
      <c r="P34" s="26" t="n">
        <v>758.88</v>
      </c>
      <c r="Q34" s="26" t="n">
        <v>758.88</v>
      </c>
      <c r="R34" s="26" t="n">
        <v>872.73</v>
      </c>
      <c r="S34" s="26" t="n">
        <v>872.73</v>
      </c>
      <c r="T34" s="26" t="n">
        <v>872.73</v>
      </c>
      <c r="U34" s="26" t="n">
        <v>872.73</v>
      </c>
      <c r="AA34" s="26">
        <f>SUM(O34:U34)</f>
        <v/>
      </c>
      <c r="AB34" s="26">
        <f>SUM(O34:Z34)</f>
        <v/>
      </c>
      <c r="AC34" s="26" t="n">
        <v>873</v>
      </c>
      <c r="AD34" s="26" t="n">
        <v>873</v>
      </c>
      <c r="AE34" s="26" t="n">
        <v>873</v>
      </c>
      <c r="AF34" s="26" t="n">
        <v>873</v>
      </c>
      <c r="AG34" s="26" t="n">
        <v>873</v>
      </c>
      <c r="AH34" s="26" t="n">
        <v>873</v>
      </c>
      <c r="AI34" s="34">
        <f>SUM(AC34:AH34)</f>
        <v/>
      </c>
      <c r="AJ34" s="26">
        <f>SUM(AC34:AH34)+AI34</f>
        <v/>
      </c>
      <c r="AK34" s="11">
        <f>IF(N34&lt;&gt;0,(AB34-N34)/ABS(N34),0)</f>
        <v/>
      </c>
      <c r="AL34" s="11">
        <f>IF(AB34&lt;&gt;0,(AJ34-AB34)/ABS(AB34),0)</f>
        <v/>
      </c>
    </row>
    <row r="35" ht="13" customHeight="1">
      <c r="A35" s="25" t="inlineStr">
        <is>
          <t xml:space="preserve">    Utilities</t>
        </is>
      </c>
      <c r="B35" s="26" t="n">
        <v>1211.79</v>
      </c>
      <c r="C35" s="26" t="n">
        <v>1770.42</v>
      </c>
      <c r="D35" s="26" t="n">
        <v>1942.85</v>
      </c>
      <c r="E35" s="26" t="n">
        <v>1364.31</v>
      </c>
      <c r="F35" s="26" t="n">
        <v>837.5699999999999</v>
      </c>
      <c r="G35" s="26" t="n">
        <v>573.86</v>
      </c>
      <c r="H35" s="26" t="n">
        <v>402.07</v>
      </c>
      <c r="I35" s="26" t="n">
        <v>0</v>
      </c>
      <c r="J35" s="26" t="n">
        <v>813.2</v>
      </c>
      <c r="K35" s="26" t="n">
        <v>649.55</v>
      </c>
      <c r="L35" s="26" t="n">
        <v>605.8200000000001</v>
      </c>
      <c r="M35" s="26" t="n">
        <v>1258.8</v>
      </c>
      <c r="N35" s="26">
        <f>SUM(B35:M35)</f>
        <v/>
      </c>
      <c r="O35" s="26" t="n">
        <v>1793.18</v>
      </c>
      <c r="P35" s="26" t="n">
        <v>-670.91</v>
      </c>
      <c r="Q35" s="26" t="n">
        <v>3154.63</v>
      </c>
      <c r="R35" s="26" t="n">
        <v>2930.7</v>
      </c>
      <c r="S35" s="26" t="n">
        <v>1012.99</v>
      </c>
      <c r="T35" s="26" t="n">
        <v>0</v>
      </c>
      <c r="U35" s="26" t="n">
        <v>1017.15</v>
      </c>
      <c r="AA35" s="26">
        <f>SUM(O35:U35)</f>
        <v/>
      </c>
      <c r="AB35" s="26">
        <f>SUM(O35:Z35)</f>
        <v/>
      </c>
      <c r="AC35" s="26" t="n">
        <v>950</v>
      </c>
      <c r="AD35" s="26" t="n">
        <v>950</v>
      </c>
      <c r="AE35" s="26" t="n">
        <v>950</v>
      </c>
      <c r="AF35" s="26" t="n">
        <v>950</v>
      </c>
      <c r="AG35" s="26" t="n">
        <v>950</v>
      </c>
      <c r="AH35" s="26" t="n">
        <v>950</v>
      </c>
      <c r="AI35" s="34">
        <f>SUM(AC35:AH35)</f>
        <v/>
      </c>
      <c r="AJ35" s="26">
        <f>SUM(AC35:AH35)+AI35</f>
        <v/>
      </c>
      <c r="AK35" s="11">
        <f>IF(N35&lt;&gt;0,(AB35-N35)/ABS(N35),0)</f>
        <v/>
      </c>
      <c r="AL35" s="11">
        <f>IF(AB35&lt;&gt;0,(AJ35-AB35)/ABS(AB35),0)</f>
        <v/>
      </c>
    </row>
    <row r="36" ht="13" customHeight="1">
      <c r="A36" s="25" t="inlineStr">
        <is>
          <t xml:space="preserve">    Repairs &amp; Maintenance</t>
        </is>
      </c>
      <c r="B36" s="26" t="n">
        <v>494.65</v>
      </c>
      <c r="C36" s="26" t="n">
        <v>0</v>
      </c>
      <c r="D36" s="26" t="n">
        <v>1927</v>
      </c>
      <c r="E36" s="26" t="n">
        <v>2375.809999999999</v>
      </c>
      <c r="F36" s="26" t="n">
        <v>1374.88</v>
      </c>
      <c r="G36" s="26" t="n">
        <v>70.98</v>
      </c>
      <c r="H36" s="26" t="n">
        <v>536.11</v>
      </c>
      <c r="I36" s="26" t="n">
        <v>185.96</v>
      </c>
      <c r="J36" s="26" t="n">
        <v>0</v>
      </c>
      <c r="K36" s="26" t="n">
        <v>37.19</v>
      </c>
      <c r="L36" s="26" t="n">
        <v>87.64</v>
      </c>
      <c r="M36" s="26" t="n">
        <v>531.6</v>
      </c>
      <c r="N36" s="26">
        <f>SUM(B36:M36)</f>
        <v/>
      </c>
      <c r="O36" s="26" t="n">
        <v>163.83</v>
      </c>
      <c r="P36" s="26" t="n">
        <v>37.95</v>
      </c>
      <c r="Q36" s="26" t="n">
        <v>866.6</v>
      </c>
      <c r="R36" s="26" t="n">
        <v>19.35</v>
      </c>
      <c r="S36" s="26" t="n">
        <v>0</v>
      </c>
      <c r="T36" s="26" t="n">
        <v>0</v>
      </c>
      <c r="U36" s="26" t="n">
        <v>170.72</v>
      </c>
      <c r="AA36" s="26">
        <f>SUM(O36:U36)</f>
        <v/>
      </c>
      <c r="AB36" s="26">
        <f>SUM(O36:Z36)</f>
        <v/>
      </c>
      <c r="AC36" s="26" t="n">
        <v>0</v>
      </c>
      <c r="AD36" s="26" t="n">
        <v>0</v>
      </c>
      <c r="AE36" s="26" t="n">
        <v>0</v>
      </c>
      <c r="AF36" s="26" t="n">
        <v>0</v>
      </c>
      <c r="AG36" s="26" t="n">
        <v>0</v>
      </c>
      <c r="AH36" s="26" t="n">
        <v>0</v>
      </c>
      <c r="AI36" s="34">
        <f>SUM(AC36:AH36)</f>
        <v/>
      </c>
      <c r="AJ36" s="26">
        <f>SUM(AC36:AH36)+AI36</f>
        <v/>
      </c>
      <c r="AK36" s="11">
        <f>IF(N36&lt;&gt;0,(AB36-N36)/ABS(N36),0)</f>
        <v/>
      </c>
      <c r="AL36" s="11">
        <f>IF(AB36&lt;&gt;0,(AJ36-AB36)/ABS(AB36),0)</f>
        <v/>
      </c>
    </row>
    <row r="37" ht="13" customHeight="1">
      <c r="A37" s="25" t="inlineStr">
        <is>
          <t xml:space="preserve">    Cleaning</t>
        </is>
      </c>
      <c r="B37" s="26" t="n">
        <v>1242.55</v>
      </c>
      <c r="C37" s="26" t="n">
        <v>908.0699999999999</v>
      </c>
      <c r="D37" s="26" t="n">
        <v>1204.23</v>
      </c>
      <c r="E37" s="26" t="n">
        <v>1580.58</v>
      </c>
      <c r="F37" s="26" t="n">
        <v>1102.14</v>
      </c>
      <c r="G37" s="26" t="n">
        <v>1077.97</v>
      </c>
      <c r="H37" s="26" t="n">
        <v>1581.4</v>
      </c>
      <c r="I37" s="26" t="n">
        <v>1021.21</v>
      </c>
      <c r="J37" s="26" t="n">
        <v>1373.97</v>
      </c>
      <c r="K37" s="26" t="n">
        <v>1218.93</v>
      </c>
      <c r="L37" s="26" t="n">
        <v>1057.79</v>
      </c>
      <c r="M37" s="26" t="n">
        <v>930.5599999999999</v>
      </c>
      <c r="N37" s="26">
        <f>SUM(B37:M37)</f>
        <v/>
      </c>
      <c r="O37" s="26" t="n">
        <v>1113.13</v>
      </c>
      <c r="P37" s="26" t="n">
        <v>917</v>
      </c>
      <c r="Q37" s="26" t="n">
        <v>1348.6</v>
      </c>
      <c r="R37" s="26" t="n">
        <v>1131.19</v>
      </c>
      <c r="S37" s="26" t="n">
        <v>942.5700000000001</v>
      </c>
      <c r="T37" s="26" t="n">
        <v>328.6</v>
      </c>
      <c r="U37" s="26" t="n">
        <v>1557.23</v>
      </c>
      <c r="AA37" s="26">
        <f>SUM(O37:U37)</f>
        <v/>
      </c>
      <c r="AB37" s="26">
        <f>SUM(O37:Z37)</f>
        <v/>
      </c>
      <c r="AC37" s="26" t="n">
        <v>1232</v>
      </c>
      <c r="AD37" s="26" t="n">
        <v>1232</v>
      </c>
      <c r="AE37" s="26" t="n">
        <v>1232</v>
      </c>
      <c r="AF37" s="26" t="n">
        <v>1232</v>
      </c>
      <c r="AG37" s="26" t="n">
        <v>1232</v>
      </c>
      <c r="AH37" s="26" t="n">
        <v>1232</v>
      </c>
      <c r="AI37" s="34">
        <f>SUM(AC37:AH37)</f>
        <v/>
      </c>
      <c r="AJ37" s="26">
        <f>SUM(AC37:AH37)+AI37</f>
        <v/>
      </c>
      <c r="AK37" s="11">
        <f>IF(N37&lt;&gt;0,(AB37-N37)/ABS(N37),0)</f>
        <v/>
      </c>
      <c r="AL37" s="11">
        <f>IF(AB37&lt;&gt;0,(AJ37-AB37)/ABS(AB37),0)</f>
        <v/>
      </c>
    </row>
    <row r="38" ht="13" customHeight="1">
      <c r="A38" s="25" t="inlineStr">
        <is>
          <t xml:space="preserve">    Waste Disposal</t>
        </is>
      </c>
      <c r="B38" s="26" t="n">
        <v>329.95</v>
      </c>
      <c r="C38" s="26" t="n">
        <v>622.9300000000001</v>
      </c>
      <c r="D38" s="26" t="n">
        <v>236.94</v>
      </c>
      <c r="E38" s="26" t="n">
        <v>225.05</v>
      </c>
      <c r="F38" s="26" t="n">
        <v>432.79</v>
      </c>
      <c r="G38" s="26" t="n">
        <v>390.78</v>
      </c>
      <c r="H38" s="26" t="n">
        <v>429.19</v>
      </c>
      <c r="I38" s="26" t="n">
        <v>420.09</v>
      </c>
      <c r="J38" s="26" t="n">
        <v>631.8900000000001</v>
      </c>
      <c r="K38" s="26" t="n">
        <v>447.09</v>
      </c>
      <c r="L38" s="26" t="n">
        <v>405.09</v>
      </c>
      <c r="M38" s="26" t="n">
        <v>452.47</v>
      </c>
      <c r="N38" s="26">
        <f>SUM(B38:M38)</f>
        <v/>
      </c>
      <c r="O38" s="26" t="n">
        <v>513.64</v>
      </c>
      <c r="P38" s="26" t="n">
        <v>405.09</v>
      </c>
      <c r="Q38" s="26" t="n">
        <v>416.49</v>
      </c>
      <c r="R38" s="26" t="n">
        <v>660.74</v>
      </c>
      <c r="S38" s="26" t="n">
        <v>437.44</v>
      </c>
      <c r="T38" s="26" t="n">
        <v>194.51</v>
      </c>
      <c r="U38" s="26" t="n">
        <v>632.85</v>
      </c>
      <c r="AA38" s="26">
        <f>SUM(O38:U38)</f>
        <v/>
      </c>
      <c r="AB38" s="26">
        <f>SUM(O38:Z38)</f>
        <v/>
      </c>
      <c r="AC38" s="26" t="n">
        <v>413</v>
      </c>
      <c r="AD38" s="26" t="n">
        <v>413</v>
      </c>
      <c r="AE38" s="26" t="n">
        <v>413</v>
      </c>
      <c r="AF38" s="26" t="n">
        <v>413</v>
      </c>
      <c r="AG38" s="26" t="n">
        <v>413</v>
      </c>
      <c r="AH38" s="26" t="n">
        <v>413</v>
      </c>
      <c r="AI38" s="34">
        <f>SUM(AC38:AH38)</f>
        <v/>
      </c>
      <c r="AJ38" s="26">
        <f>SUM(AC38:AH38)+AI38</f>
        <v/>
      </c>
      <c r="AK38" s="11">
        <f>IF(N38&lt;&gt;0,(AB38-N38)/ABS(N38),0)</f>
        <v/>
      </c>
      <c r="AL38" s="11">
        <f>IF(AB38&lt;&gt;0,(AJ38-AB38)/ABS(AB38),0)</f>
        <v/>
      </c>
    </row>
    <row r="39" ht="13" customHeight="1">
      <c r="A39" s="25" t="inlineStr">
        <is>
          <t xml:space="preserve">    Postage/Printing/Stationery</t>
        </is>
      </c>
      <c r="B39" s="26" t="n">
        <v>0</v>
      </c>
      <c r="C39" s="26" t="n">
        <v>620.59</v>
      </c>
      <c r="D39" s="26" t="n">
        <v>0</v>
      </c>
      <c r="E39" s="26" t="n">
        <v>0</v>
      </c>
      <c r="F39" s="26" t="n">
        <v>689.9400000000001</v>
      </c>
      <c r="G39" s="26" t="n">
        <v>0</v>
      </c>
      <c r="H39" s="26" t="n">
        <v>20.99</v>
      </c>
      <c r="I39" s="26" t="n">
        <v>597.6</v>
      </c>
      <c r="J39" s="26" t="n">
        <v>41.97</v>
      </c>
      <c r="K39" s="26" t="n">
        <v>1007.99</v>
      </c>
      <c r="L39" s="26" t="n">
        <v>0</v>
      </c>
      <c r="M39" s="26" t="n">
        <v>786</v>
      </c>
      <c r="N39" s="26">
        <f>SUM(B39:M39)</f>
        <v/>
      </c>
      <c r="O39" s="26" t="n">
        <v>152.77</v>
      </c>
      <c r="P39" s="26" t="n">
        <v>823.6799999999999</v>
      </c>
      <c r="Q39" s="26" t="n">
        <v>1020.06</v>
      </c>
      <c r="R39" s="26" t="n">
        <v>157.3</v>
      </c>
      <c r="S39" s="26" t="n">
        <v>157.3</v>
      </c>
      <c r="T39" s="26" t="n">
        <v>943.3</v>
      </c>
      <c r="U39" s="26" t="n">
        <v>149</v>
      </c>
      <c r="AA39" s="26">
        <f>SUM(O39:U39)</f>
        <v/>
      </c>
      <c r="AB39" s="26">
        <f>SUM(O39:Z39)</f>
        <v/>
      </c>
      <c r="AC39" s="26" t="n">
        <v>0</v>
      </c>
      <c r="AD39" s="26" t="n">
        <v>0</v>
      </c>
      <c r="AE39" s="26" t="n">
        <v>0</v>
      </c>
      <c r="AF39" s="26" t="n">
        <v>0</v>
      </c>
      <c r="AG39" s="26" t="n">
        <v>0</v>
      </c>
      <c r="AH39" s="26" t="n">
        <v>0</v>
      </c>
      <c r="AI39" s="34">
        <f>SUM(AC39:AH39)</f>
        <v/>
      </c>
      <c r="AJ39" s="26">
        <f>SUM(AC39:AH39)+AI39</f>
        <v/>
      </c>
      <c r="AK39" s="11">
        <f>IF(N39&lt;&gt;0,(AB39-N39)/ABS(N39),0)</f>
        <v/>
      </c>
      <c r="AL39" s="11">
        <f>IF(AB39&lt;&gt;0,(AJ39-AB39)/ABS(AB39),0)</f>
        <v/>
      </c>
    </row>
    <row r="40" ht="13" customHeight="1">
      <c r="A40" s="25" t="inlineStr">
        <is>
          <t xml:space="preserve">    Telephone</t>
        </is>
      </c>
      <c r="B40" s="26" t="n">
        <v>849.3399999999999</v>
      </c>
      <c r="C40" s="26" t="n">
        <v>136.41</v>
      </c>
      <c r="D40" s="26" t="n">
        <v>136.41</v>
      </c>
      <c r="E40" s="26" t="n">
        <v>140.14</v>
      </c>
      <c r="F40" s="26" t="n">
        <v>140.14</v>
      </c>
      <c r="G40" s="26" t="n">
        <v>140.14</v>
      </c>
      <c r="H40" s="26" t="n">
        <v>140.14</v>
      </c>
      <c r="I40" s="26" t="n">
        <v>152.77</v>
      </c>
      <c r="J40" s="26" t="n">
        <v>152.77</v>
      </c>
      <c r="K40" s="26" t="n">
        <v>152.77</v>
      </c>
      <c r="L40" s="26" t="n">
        <v>152.77</v>
      </c>
      <c r="M40" s="26" t="n">
        <v>152.77</v>
      </c>
      <c r="N40" s="26">
        <f>SUM(B40:M40)</f>
        <v/>
      </c>
      <c r="O40" s="26" t="n">
        <v>19.19</v>
      </c>
      <c r="P40" s="26" t="n">
        <v>0</v>
      </c>
      <c r="Q40" s="26" t="n">
        <v>0</v>
      </c>
      <c r="R40" s="26" t="n">
        <v>103.95</v>
      </c>
      <c r="S40" s="26" t="n">
        <v>0</v>
      </c>
      <c r="T40" s="26" t="n">
        <v>0</v>
      </c>
      <c r="U40" s="26" t="n">
        <v>0</v>
      </c>
      <c r="AA40" s="26">
        <f>SUM(O40:U40)</f>
        <v/>
      </c>
      <c r="AB40" s="26">
        <f>SUM(O40:Z40)</f>
        <v/>
      </c>
      <c r="AC40" s="26" t="n">
        <v>153</v>
      </c>
      <c r="AD40" s="26" t="n">
        <v>153</v>
      </c>
      <c r="AE40" s="26" t="n">
        <v>153</v>
      </c>
      <c r="AF40" s="26" t="n">
        <v>153</v>
      </c>
      <c r="AG40" s="26" t="n">
        <v>153</v>
      </c>
      <c r="AH40" s="26" t="n">
        <v>153</v>
      </c>
      <c r="AI40" s="34">
        <f>SUM(AC40:AH40)</f>
        <v/>
      </c>
      <c r="AJ40" s="26">
        <f>SUM(AC40:AH40)+AI40</f>
        <v/>
      </c>
      <c r="AK40" s="11">
        <f>IF(N40&lt;&gt;0,(AB40-N40)/ABS(N40),0)</f>
        <v/>
      </c>
      <c r="AL40" s="11">
        <f>IF(AB40&lt;&gt;0,(AJ40-AB40)/ABS(AB40),0)</f>
        <v/>
      </c>
    </row>
    <row r="41" ht="13" customHeight="1">
      <c r="A41" s="25" t="inlineStr">
        <is>
          <t xml:space="preserve">    Marketing</t>
        </is>
      </c>
      <c r="B41" s="26" t="n">
        <v>0</v>
      </c>
      <c r="C41" s="26" t="n">
        <v>0</v>
      </c>
      <c r="D41" s="26" t="n">
        <v>0</v>
      </c>
      <c r="E41" s="26" t="n">
        <v>0</v>
      </c>
      <c r="F41" s="26" t="n">
        <v>0</v>
      </c>
      <c r="G41" s="26" t="n">
        <v>0</v>
      </c>
      <c r="H41" s="26" t="n">
        <v>0</v>
      </c>
      <c r="I41" s="26" t="n">
        <v>0</v>
      </c>
      <c r="J41" s="26" t="n">
        <v>0</v>
      </c>
      <c r="K41" s="26" t="n">
        <v>0</v>
      </c>
      <c r="L41" s="26" t="n">
        <v>0</v>
      </c>
      <c r="M41" s="26" t="n">
        <v>0</v>
      </c>
      <c r="N41" s="26">
        <f>SUM(B41:M41)</f>
        <v/>
      </c>
      <c r="O41" s="26" t="n">
        <v>0</v>
      </c>
      <c r="P41" s="26" t="n">
        <v>0</v>
      </c>
      <c r="Q41" s="26" t="n">
        <v>0</v>
      </c>
      <c r="R41" s="26" t="n">
        <v>0</v>
      </c>
      <c r="S41" s="26" t="n">
        <v>0</v>
      </c>
      <c r="T41" s="26" t="n">
        <v>0</v>
      </c>
      <c r="U41" s="26" t="n">
        <v>0</v>
      </c>
      <c r="V41" s="26" t="n">
        <v>0</v>
      </c>
      <c r="W41" s="26" t="n">
        <v>0</v>
      </c>
      <c r="X41" s="26" t="n">
        <v>0</v>
      </c>
      <c r="Y41" s="26" t="n">
        <v>0</v>
      </c>
      <c r="Z41" s="26" t="n">
        <v>0</v>
      </c>
      <c r="AA41" s="26">
        <f>SUM(O41:U41)</f>
        <v/>
      </c>
      <c r="AB41" s="26">
        <f>SUM(O41:Z41)</f>
        <v/>
      </c>
      <c r="AC41" s="26" t="n">
        <v>0</v>
      </c>
      <c r="AD41" s="26" t="n">
        <v>0</v>
      </c>
      <c r="AE41" s="26" t="n">
        <v>0</v>
      </c>
      <c r="AF41" s="26" t="n">
        <v>0</v>
      </c>
      <c r="AG41" s="26" t="n">
        <v>0</v>
      </c>
      <c r="AH41" s="26" t="n">
        <v>0</v>
      </c>
      <c r="AI41" s="34">
        <f>SUM(AC41:AH41)</f>
        <v/>
      </c>
      <c r="AJ41" s="26">
        <f>SUM(AC41:AH41)+AI41</f>
        <v/>
      </c>
      <c r="AK41" s="11">
        <f>IF(N41&lt;&gt;0,(AB41-N41)/ABS(N41),0)</f>
        <v/>
      </c>
      <c r="AL41" s="11">
        <f>IF(AB41&lt;&gt;0,(AJ41-AB41)/ABS(AB41),0)</f>
        <v/>
      </c>
    </row>
    <row r="42" ht="13" customHeight="1">
      <c r="A42" s="27" t="inlineStr">
        <is>
          <t>Total Premises &amp; Admin</t>
        </is>
      </c>
      <c r="B42" s="28">
        <f>B33+B34+B35+B36+B37+B38+B39+B40+B41</f>
        <v/>
      </c>
      <c r="C42" s="28">
        <f>C33+C34+C35+C36+C37+C38+C39+C40+C41</f>
        <v/>
      </c>
      <c r="D42" s="28">
        <f>D33+D34+D35+D36+D37+D38+D39+D40+D41</f>
        <v/>
      </c>
      <c r="E42" s="28">
        <f>E33+E34+E35+E36+E37+E38+E39+E40+E41</f>
        <v/>
      </c>
      <c r="F42" s="28">
        <f>F33+F34+F35+F36+F37+F38+F39+F40+F41</f>
        <v/>
      </c>
      <c r="G42" s="28">
        <f>G33+G34+G35+G36+G37+G38+G39+G40+G41</f>
        <v/>
      </c>
      <c r="H42" s="28">
        <f>H33+H34+H35+H36+H37+H38+H39+H40+H41</f>
        <v/>
      </c>
      <c r="I42" s="28">
        <f>I33+I34+I35+I36+I37+I38+I39+I40+I41</f>
        <v/>
      </c>
      <c r="J42" s="28">
        <f>J33+J34+J35+J36+J37+J38+J39+J40+J41</f>
        <v/>
      </c>
      <c r="K42" s="28">
        <f>K33+K34+K35+K36+K37+K38+K39+K40+K41</f>
        <v/>
      </c>
      <c r="L42" s="28">
        <f>L33+L34+L35+L36+L37+L38+L39+L40+L41</f>
        <v/>
      </c>
      <c r="M42" s="28">
        <f>M33+M34+M35+M36+M37+M38+M39+M40+M41</f>
        <v/>
      </c>
      <c r="N42" s="28">
        <f>N33+N34+N35+N36+N37+N38+N39+N40+N41</f>
        <v/>
      </c>
      <c r="O42" s="28">
        <f>O33+O34+O35+O36+O37+O38+O39+O40+O41</f>
        <v/>
      </c>
      <c r="P42" s="28">
        <f>P33+P34+P35+P36+P37+P38+P39+P40+P41</f>
        <v/>
      </c>
      <c r="Q42" s="28">
        <f>Q33+Q34+Q35+Q36+Q37+Q38+Q39+Q40+Q41</f>
        <v/>
      </c>
      <c r="R42" s="28">
        <f>R33+R34+R35+R36+R37+R38+R39+R40+R41</f>
        <v/>
      </c>
      <c r="S42" s="28">
        <f>S33+S34+S35+S36+S37+S38+S39+S40+S41</f>
        <v/>
      </c>
      <c r="T42" s="28">
        <f>T33+T34+T35+T36+T37+T38+T39+T40+T41</f>
        <v/>
      </c>
      <c r="U42" s="28">
        <f>U33+U34+U35+U36+U37+U38+U39+U40+U41</f>
        <v/>
      </c>
      <c r="V42" s="28">
        <f>V33+V34+V35+V36+V37+V38+V39+V40+V41</f>
        <v/>
      </c>
      <c r="W42" s="28">
        <f>W33+W34+W35+W36+W37+W38+W39+W40+W41</f>
        <v/>
      </c>
      <c r="X42" s="28">
        <f>X33+X34+X35+X36+X37+X38+X39+X40+X41</f>
        <v/>
      </c>
      <c r="Y42" s="28">
        <f>Y33+Y34+Y35+Y36+Y37+Y38+Y39+Y40+Y41</f>
        <v/>
      </c>
      <c r="Z42" s="28">
        <f>Z33+Z34+Z35+Z36+Z37+Z38+Z39+Z40+Z41</f>
        <v/>
      </c>
      <c r="AA42" s="28">
        <f>AA33+AA34+AA35+AA36+AA37+AA38+AA39+AA40+AA41</f>
        <v/>
      </c>
      <c r="AB42" s="28">
        <f>AB33+AB34+AB35+AB36+AB37+AB38+AB39+AB40+AB41</f>
        <v/>
      </c>
      <c r="AC42" s="28">
        <f>AC33+AC34+AC35+AC36+AC37+AC38+AC39+AC40+AC41</f>
        <v/>
      </c>
      <c r="AD42" s="28">
        <f>AD33+AD34+AD35+AD36+AD37+AD38+AD39+AD40+AD41</f>
        <v/>
      </c>
      <c r="AE42" s="28">
        <f>AE33+AE34+AE35+AE36+AE37+AE38+AE39+AE40+AE41</f>
        <v/>
      </c>
      <c r="AF42" s="28">
        <f>AF33+AF34+AF35+AF36+AF37+AF38+AF39+AF40+AF41</f>
        <v/>
      </c>
      <c r="AG42" s="28">
        <f>AG33+AG34+AG35+AG36+AG37+AG38+AG39+AG40+AG41</f>
        <v/>
      </c>
      <c r="AH42" s="28">
        <f>AH33+AH34+AH35+AH36+AH37+AH38+AH39+AH40+AH41</f>
        <v/>
      </c>
      <c r="AI42" s="28">
        <f>AI33+AI34+AI35+AI36+AI37+AI38+AI39+AI40+AI41</f>
        <v/>
      </c>
      <c r="AJ42" s="28">
        <f>AJ33+AJ34+AJ35+AJ36+AJ37+AJ38+AJ39+AJ40+AJ41</f>
        <v/>
      </c>
      <c r="AK42" s="11">
        <f>IF(N42&lt;&gt;0,(AB42-N42)/ABS(N42),0)</f>
        <v/>
      </c>
      <c r="AL42" s="11">
        <f>IF(AB42&lt;&gt;0,(AJ42-AB42)/ABS(AB42),0)</f>
        <v/>
      </c>
    </row>
    <row r="43" ht="5" customHeight="1"/>
    <row r="44" ht="13" customHeight="1">
      <c r="A44" s="29" t="inlineStr">
        <is>
          <t>Total Direct Costs</t>
        </is>
      </c>
      <c r="AK44" s="11">
        <f>IF(N44&lt;&gt;0,(AB44-N44)/ABS(N44),0)</f>
        <v/>
      </c>
      <c r="AL44" s="11">
        <f>IF(AB44&lt;&gt;0,(AJ44-AB44)/ABS(AB44),0)</f>
        <v/>
      </c>
    </row>
    <row r="45" ht="5" customHeight="1"/>
    <row r="46" ht="15" customHeight="1">
      <c r="A46" s="30" t="inlineStr">
        <is>
          <t>CONTRIBUTION</t>
        </is>
      </c>
      <c r="B46" s="31">
        <f>B7-B44</f>
        <v/>
      </c>
      <c r="C46" s="31">
        <f>C7-C44</f>
        <v/>
      </c>
      <c r="D46" s="31">
        <f>D7-D44</f>
        <v/>
      </c>
      <c r="E46" s="31">
        <f>E7-E44</f>
        <v/>
      </c>
      <c r="F46" s="31">
        <f>F7-F44</f>
        <v/>
      </c>
      <c r="G46" s="31">
        <f>G7-G44</f>
        <v/>
      </c>
      <c r="H46" s="31">
        <f>H7-H44</f>
        <v/>
      </c>
      <c r="I46" s="31">
        <f>I7-I44</f>
        <v/>
      </c>
      <c r="J46" s="31">
        <f>J7-J44</f>
        <v/>
      </c>
      <c r="K46" s="31">
        <f>K7-K44</f>
        <v/>
      </c>
      <c r="L46" s="31">
        <f>L7-L44</f>
        <v/>
      </c>
      <c r="M46" s="31">
        <f>M7-M44</f>
        <v/>
      </c>
      <c r="N46" s="31">
        <f>N7-N44</f>
        <v/>
      </c>
      <c r="O46" s="31">
        <f>O7-O44</f>
        <v/>
      </c>
      <c r="P46" s="31">
        <f>P7-P44</f>
        <v/>
      </c>
      <c r="Q46" s="31">
        <f>Q7-Q44</f>
        <v/>
      </c>
      <c r="R46" s="31">
        <f>R7-R44</f>
        <v/>
      </c>
      <c r="S46" s="31">
        <f>S7-S44</f>
        <v/>
      </c>
      <c r="T46" s="31">
        <f>T7-T44</f>
        <v/>
      </c>
      <c r="U46" s="31">
        <f>U7-U44</f>
        <v/>
      </c>
      <c r="V46" s="31">
        <f>V7-V44</f>
        <v/>
      </c>
      <c r="W46" s="31">
        <f>W7-W44</f>
        <v/>
      </c>
      <c r="X46" s="31">
        <f>X7-X44</f>
        <v/>
      </c>
      <c r="Y46" s="31">
        <f>Y7-Y44</f>
        <v/>
      </c>
      <c r="Z46" s="31">
        <f>Z7-Z44</f>
        <v/>
      </c>
      <c r="AA46" s="31">
        <f>AA7-AA44</f>
        <v/>
      </c>
      <c r="AB46" s="31">
        <f>AB7-AB44</f>
        <v/>
      </c>
      <c r="AC46" s="31">
        <f>AC7-AC44</f>
        <v/>
      </c>
      <c r="AD46" s="31">
        <f>AD7-AD44</f>
        <v/>
      </c>
      <c r="AE46" s="31">
        <f>AE7-AE44</f>
        <v/>
      </c>
      <c r="AF46" s="31">
        <f>AF7-AF44</f>
        <v/>
      </c>
      <c r="AG46" s="31">
        <f>AG7-AG44</f>
        <v/>
      </c>
      <c r="AH46" s="31">
        <f>AH7-AH44</f>
        <v/>
      </c>
      <c r="AI46" s="31">
        <f>AI7-AI44</f>
        <v/>
      </c>
      <c r="AJ46" s="31">
        <f>AJ7-AJ44</f>
        <v/>
      </c>
      <c r="AK46" s="11">
        <f>IF(N46&lt;&gt;0,(AB46-N46)/ABS(N46),0)</f>
        <v/>
      </c>
      <c r="AL46" s="11">
        <f>IF(AB46&lt;&gt;0,(AJ46-AB46)/ABS(AB46),0)</f>
        <v/>
      </c>
    </row>
  </sheetData>
  <mergeCells count="8">
    <mergeCell ref="A10:AL10"/>
    <mergeCell ref="B1:N1"/>
    <mergeCell ref="A23:AL23"/>
    <mergeCell ref="A32:AL32"/>
    <mergeCell ref="AC1:AJ1"/>
    <mergeCell ref="A9:AL9"/>
    <mergeCell ref="A3:AL3"/>
    <mergeCell ref="O1:AB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L4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9.5" customWidth="1" min="27" max="27"/>
    <col width="9.5" customWidth="1" min="28" max="28"/>
    <col width="9.5" customWidth="1" min="29" max="29"/>
    <col width="9.5" customWidth="1" min="30" max="30"/>
    <col width="9.5" customWidth="1" min="31" max="31"/>
    <col width="9.5" customWidth="1" min="32" max="32"/>
    <col width="9.5" customWidth="1" min="33" max="33"/>
    <col width="9.5" customWidth="1" min="34" max="34"/>
    <col width="9.5" customWidth="1" min="35" max="35"/>
    <col width="11" customWidth="1" min="36" max="36"/>
    <col width="10" customWidth="1" min="37" max="37"/>
    <col width="10" customWidth="1" min="38" max="38"/>
  </cols>
  <sheetData>
    <row r="1" ht="18" customHeight="1">
      <c r="A1" s="1" t="inlineStr">
        <is>
          <t>Smart Tots</t>
        </is>
      </c>
      <c r="B1" s="2" t="inlineStr">
        <is>
          <t>Actuals 2025</t>
        </is>
      </c>
      <c r="O1" s="2" t="inlineStr">
        <is>
          <t>2026 Actual / Forecast</t>
        </is>
      </c>
      <c r="AC1" s="32" t="inlineStr">
        <is>
          <t>2027 Plan</t>
        </is>
      </c>
      <c r="AK1" s="3" t="inlineStr">
        <is>
          <t>YoY</t>
        </is>
      </c>
      <c r="AL1" s="3" t="inlineStr">
        <is>
          <t>YoY</t>
        </is>
      </c>
    </row>
    <row r="2" ht="22" customHeight="1">
      <c r="B2" s="4" t="inlineStr">
        <is>
          <t>Jan</t>
        </is>
      </c>
      <c r="C2" s="4" t="inlineStr">
        <is>
          <t>Feb</t>
        </is>
      </c>
      <c r="D2" s="4" t="inlineStr">
        <is>
          <t>Mar</t>
        </is>
      </c>
      <c r="E2" s="4" t="inlineStr">
        <is>
          <t>Apr</t>
        </is>
      </c>
      <c r="F2" s="4" t="inlineStr">
        <is>
          <t>May</t>
        </is>
      </c>
      <c r="G2" s="4" t="inlineStr">
        <is>
          <t>Jun</t>
        </is>
      </c>
      <c r="H2" s="4" t="inlineStr">
        <is>
          <t>Jul</t>
        </is>
      </c>
      <c r="I2" s="4" t="inlineStr">
        <is>
          <t>Aug</t>
        </is>
      </c>
      <c r="J2" s="4" t="inlineStr">
        <is>
          <t>Sep</t>
        </is>
      </c>
      <c r="K2" s="4" t="inlineStr">
        <is>
          <t>Oct</t>
        </is>
      </c>
      <c r="L2" s="4" t="inlineStr">
        <is>
          <t>Nov</t>
        </is>
      </c>
      <c r="M2" s="4" t="inlineStr">
        <is>
          <t>Dec</t>
        </is>
      </c>
      <c r="N2" s="5" t="inlineStr">
        <is>
          <t>FY2025
Total</t>
        </is>
      </c>
      <c r="O2" s="4" t="inlineStr">
        <is>
          <t>Jan</t>
        </is>
      </c>
      <c r="P2" s="4" t="inlineStr">
        <is>
          <t>Feb</t>
        </is>
      </c>
      <c r="Q2" s="4" t="inlineStr">
        <is>
          <t>Mar</t>
        </is>
      </c>
      <c r="R2" s="4" t="inlineStr">
        <is>
          <t>Apr</t>
        </is>
      </c>
      <c r="S2" s="4" t="inlineStr">
        <is>
          <t>May</t>
        </is>
      </c>
      <c r="T2" s="4" t="inlineStr">
        <is>
          <t>Jun</t>
        </is>
      </c>
      <c r="U2" s="4" t="inlineStr">
        <is>
          <t>Jul</t>
        </is>
      </c>
      <c r="V2" s="4" t="inlineStr">
        <is>
          <t>Aug</t>
        </is>
      </c>
      <c r="W2" s="4" t="inlineStr">
        <is>
          <t>Sep</t>
        </is>
      </c>
      <c r="X2" s="4" t="inlineStr">
        <is>
          <t>Oct</t>
        </is>
      </c>
      <c r="Y2" s="4" t="inlineStr">
        <is>
          <t>Nov</t>
        </is>
      </c>
      <c r="Z2" s="4" t="inlineStr">
        <is>
          <t>Dec</t>
        </is>
      </c>
      <c r="AA2" s="4" t="inlineStr">
        <is>
          <t>YTD</t>
        </is>
      </c>
      <c r="AB2" s="5" t="inlineStr">
        <is>
          <t>FY2026
Outlook</t>
        </is>
      </c>
      <c r="AC2" s="4" t="inlineStr">
        <is>
          <t>Jan</t>
        </is>
      </c>
      <c r="AD2" s="4" t="inlineStr">
        <is>
          <t>Feb</t>
        </is>
      </c>
      <c r="AE2" s="4" t="inlineStr">
        <is>
          <t>Mar</t>
        </is>
      </c>
      <c r="AF2" s="4" t="inlineStr">
        <is>
          <t>Apr</t>
        </is>
      </c>
      <c r="AG2" s="4" t="inlineStr">
        <is>
          <t>May</t>
        </is>
      </c>
      <c r="AH2" s="4" t="inlineStr">
        <is>
          <t>Jun</t>
        </is>
      </c>
      <c r="AI2" s="33" t="inlineStr">
        <is>
          <t>Jul-Dec
Plan</t>
        </is>
      </c>
      <c r="AJ2" s="4" t="inlineStr">
        <is>
          <t>FY2027</t>
        </is>
      </c>
      <c r="AK2" s="6" t="inlineStr">
        <is>
          <t>25→26
%</t>
        </is>
      </c>
      <c r="AL2" s="6" t="inlineStr">
        <is>
          <t>26→27
%</t>
        </is>
      </c>
    </row>
    <row r="3" ht="15" customHeight="1">
      <c r="A3" s="7" t="inlineStr">
        <is>
          <t>INCOME</t>
        </is>
      </c>
    </row>
    <row r="4" ht="13" customHeight="1">
      <c r="A4" s="8" t="inlineStr">
        <is>
          <t xml:space="preserve">    Fee Income Regular</t>
        </is>
      </c>
      <c r="B4" s="9" t="n">
        <v>35136.66</v>
      </c>
      <c r="C4" s="9" t="n">
        <v>31904.12</v>
      </c>
      <c r="D4" s="9" t="n">
        <v>37428.88</v>
      </c>
      <c r="E4" s="9" t="n">
        <v>44109.71</v>
      </c>
      <c r="F4" s="9" t="n">
        <v>35175.74</v>
      </c>
      <c r="G4" s="9" t="n">
        <v>35630.7</v>
      </c>
      <c r="H4" s="9" t="n">
        <v>48545.23</v>
      </c>
      <c r="I4" s="9" t="n">
        <v>36978.69</v>
      </c>
      <c r="J4" s="9" t="n">
        <v>23539.81</v>
      </c>
      <c r="K4" s="9" t="n">
        <v>21638.64</v>
      </c>
      <c r="L4" s="9" t="n">
        <v>21476.5</v>
      </c>
      <c r="M4" s="9" t="n">
        <v>29823.68</v>
      </c>
      <c r="N4" s="9">
        <f>SUM(B4:M4)</f>
        <v/>
      </c>
      <c r="O4" s="9" t="n">
        <v>27048.5</v>
      </c>
      <c r="P4" s="9" t="n">
        <v>29446.3</v>
      </c>
      <c r="Q4" s="9" t="n">
        <v>33209</v>
      </c>
      <c r="R4" s="9" t="n">
        <v>39710.4</v>
      </c>
      <c r="S4" s="9" t="n">
        <v>34102.1</v>
      </c>
      <c r="T4" s="9" t="n">
        <v>39117.5</v>
      </c>
      <c r="U4" s="9" t="n">
        <v>48092.35000000001</v>
      </c>
      <c r="AA4" s="9">
        <f>SUM(O4:U4)</f>
        <v/>
      </c>
      <c r="AB4" s="9">
        <f>SUM(O4:Z4)</f>
        <v/>
      </c>
      <c r="AC4" s="9" t="n">
        <v>51523.8</v>
      </c>
      <c r="AD4" s="9" t="n">
        <v>47675.55</v>
      </c>
      <c r="AE4" s="9" t="n">
        <v>57134.76</v>
      </c>
      <c r="AF4" s="9" t="n">
        <v>48560.52</v>
      </c>
      <c r="AG4" s="9" t="n">
        <v>49676.32</v>
      </c>
      <c r="AH4" s="9" t="n">
        <v>51026.35</v>
      </c>
      <c r="AI4" s="34">
        <f>SUM(AC4:AH4)</f>
        <v/>
      </c>
      <c r="AJ4" s="9">
        <f>SUM(AC4:AH4)+AI4</f>
        <v/>
      </c>
      <c r="AK4" s="11">
        <f>IF(N4&lt;&gt;0,(AB4-N4)/ABS(N4),0)</f>
        <v/>
      </c>
      <c r="AL4" s="11">
        <f>IF(AB4&lt;&gt;0,(AJ4-AB4)/ABS(AB4),0)</f>
        <v/>
      </c>
    </row>
    <row r="5" ht="13" customHeight="1">
      <c r="A5" s="8" t="inlineStr">
        <is>
          <t xml:space="preserve">    EEEF Embedded</t>
        </is>
      </c>
      <c r="B5" s="9" t="n">
        <v>13402.32</v>
      </c>
      <c r="C5" s="9" t="n">
        <v>26714.04</v>
      </c>
      <c r="D5" s="9" t="n">
        <v>26714.04</v>
      </c>
      <c r="E5" s="9" t="n">
        <v>8615.389999999999</v>
      </c>
      <c r="F5" s="9" t="n">
        <v>8615.389999999999</v>
      </c>
      <c r="G5" s="9" t="n">
        <v>22603.64</v>
      </c>
      <c r="H5" s="9" t="n">
        <v>22603.63</v>
      </c>
      <c r="I5" s="9" t="n">
        <v>0</v>
      </c>
      <c r="J5" s="9" t="n">
        <v>9695.389999999999</v>
      </c>
      <c r="K5" s="9" t="n">
        <v>9695.379999999999</v>
      </c>
      <c r="L5" s="9" t="n">
        <v>23858.64</v>
      </c>
      <c r="M5" s="9" t="n">
        <v>23858.64</v>
      </c>
      <c r="N5" s="9">
        <f>SUM(B5:M5)</f>
        <v/>
      </c>
      <c r="O5" s="9" t="n">
        <v>11734.8</v>
      </c>
      <c r="P5" s="9" t="n">
        <v>29745.6</v>
      </c>
      <c r="Q5" s="9" t="n">
        <v>32438.4</v>
      </c>
      <c r="R5" s="9" t="n">
        <v>26264.3</v>
      </c>
      <c r="S5" s="9" t="n">
        <v>24020.2</v>
      </c>
      <c r="T5" s="9" t="n">
        <v>23531.2</v>
      </c>
      <c r="U5" s="9" t="n">
        <v>26524.66</v>
      </c>
      <c r="AA5" s="9">
        <f>SUM(O5:U5)</f>
        <v/>
      </c>
      <c r="AB5" s="9">
        <f>SUM(O5:Z5)</f>
        <v/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34">
        <f>SUM(AC5:AH5)</f>
        <v/>
      </c>
      <c r="AJ5" s="9">
        <f>SUM(AC5:AH5)+AI5</f>
        <v/>
      </c>
      <c r="AK5" s="11">
        <f>IF(N5&lt;&gt;0,(AB5-N5)/ABS(N5),0)</f>
        <v/>
      </c>
      <c r="AL5" s="11">
        <f>IF(AB5&lt;&gt;0,(AJ5-AB5)/ABS(AB5),0)</f>
        <v/>
      </c>
    </row>
    <row r="6" ht="13" customHeight="1">
      <c r="A6" s="8" t="inlineStr">
        <is>
          <t xml:space="preserve">    Other Income</t>
        </is>
      </c>
      <c r="B6" s="9" t="n">
        <v>193.25</v>
      </c>
      <c r="C6" s="9" t="n">
        <v>100</v>
      </c>
      <c r="D6" s="9" t="n">
        <v>240</v>
      </c>
      <c r="E6" s="9" t="n">
        <v>150</v>
      </c>
      <c r="F6" s="9" t="n">
        <v>150</v>
      </c>
      <c r="G6" s="9" t="n">
        <v>180</v>
      </c>
      <c r="H6" s="9" t="n">
        <v>722.6900000000001</v>
      </c>
      <c r="I6" s="9" t="n">
        <v>3954.91</v>
      </c>
      <c r="J6" s="9" t="n">
        <v>0</v>
      </c>
      <c r="K6" s="9" t="n">
        <v>30</v>
      </c>
      <c r="L6" s="9" t="n">
        <v>0</v>
      </c>
      <c r="M6" s="9" t="n">
        <v>90</v>
      </c>
      <c r="N6" s="9">
        <f>SUM(B6:M6)</f>
        <v/>
      </c>
      <c r="O6" s="9" t="n">
        <v>59.5</v>
      </c>
      <c r="P6" s="9" t="n">
        <v>0</v>
      </c>
      <c r="Q6" s="9" t="n">
        <v>30</v>
      </c>
      <c r="R6" s="9" t="n">
        <v>0</v>
      </c>
      <c r="S6" s="9" t="n">
        <v>0</v>
      </c>
      <c r="T6" s="9" t="n">
        <v>0</v>
      </c>
      <c r="U6" s="9" t="n">
        <v>0</v>
      </c>
      <c r="AA6" s="9">
        <f>SUM(O6:U6)</f>
        <v/>
      </c>
      <c r="AB6" s="9">
        <f>SUM(O6:Z6)</f>
        <v/>
      </c>
      <c r="AC6" s="9" t="n">
        <v>0</v>
      </c>
      <c r="AD6" s="9" t="n">
        <v>0</v>
      </c>
      <c r="AE6" s="9" t="n">
        <v>0</v>
      </c>
      <c r="AF6" s="9" t="n">
        <v>0</v>
      </c>
      <c r="AG6" s="9" t="n">
        <v>0</v>
      </c>
      <c r="AH6" s="9" t="n">
        <v>0</v>
      </c>
      <c r="AI6" s="34">
        <f>SUM(AC6:AH6)</f>
        <v/>
      </c>
      <c r="AJ6" s="9">
        <f>SUM(AC6:AH6)+AI6</f>
        <v/>
      </c>
      <c r="AK6" s="11">
        <f>IF(N6&lt;&gt;0,(AB6-N6)/ABS(N6),0)</f>
        <v/>
      </c>
      <c r="AL6" s="11">
        <f>IF(AB6&lt;&gt;0,(AJ6-AB6)/ABS(AB6),0)</f>
        <v/>
      </c>
    </row>
    <row r="7" ht="13" customHeight="1">
      <c r="A7" s="12" t="inlineStr">
        <is>
          <t>Total Income</t>
        </is>
      </c>
      <c r="B7" s="13">
        <f>B4+B5+B6</f>
        <v/>
      </c>
      <c r="C7" s="13">
        <f>C4+C5+C6</f>
        <v/>
      </c>
      <c r="D7" s="13">
        <f>D4+D5+D6</f>
        <v/>
      </c>
      <c r="E7" s="13">
        <f>E4+E5+E6</f>
        <v/>
      </c>
      <c r="F7" s="13">
        <f>F4+F5+F6</f>
        <v/>
      </c>
      <c r="G7" s="13">
        <f>G4+G5+G6</f>
        <v/>
      </c>
      <c r="H7" s="13">
        <f>H4+H5+H6</f>
        <v/>
      </c>
      <c r="I7" s="13">
        <f>I4+I5+I6</f>
        <v/>
      </c>
      <c r="J7" s="13">
        <f>J4+J5+J6</f>
        <v/>
      </c>
      <c r="K7" s="13">
        <f>K4+K5+K6</f>
        <v/>
      </c>
      <c r="L7" s="13">
        <f>L4+L5+L6</f>
        <v/>
      </c>
      <c r="M7" s="13">
        <f>M4+M5+M6</f>
        <v/>
      </c>
      <c r="N7" s="13">
        <f>N4+N5+N6</f>
        <v/>
      </c>
      <c r="O7" s="13">
        <f>O4+O5+O6</f>
        <v/>
      </c>
      <c r="P7" s="13">
        <f>P4+P5+P6</f>
        <v/>
      </c>
      <c r="Q7" s="13">
        <f>Q4+Q5+Q6</f>
        <v/>
      </c>
      <c r="R7" s="13">
        <f>R4+R5+R6</f>
        <v/>
      </c>
      <c r="S7" s="13">
        <f>S4+S5+S6</f>
        <v/>
      </c>
      <c r="T7" s="13">
        <f>T4+T5+T6</f>
        <v/>
      </c>
      <c r="U7" s="13">
        <f>U4+U5+U6</f>
        <v/>
      </c>
      <c r="V7" s="13">
        <f>V4+V5+V6</f>
        <v/>
      </c>
      <c r="W7" s="13">
        <f>W4+W5+W6</f>
        <v/>
      </c>
      <c r="X7" s="13">
        <f>X4+X5+X6</f>
        <v/>
      </c>
      <c r="Y7" s="13">
        <f>Y4+Y5+Y6</f>
        <v/>
      </c>
      <c r="Z7" s="13">
        <f>Z4+Z5+Z6</f>
        <v/>
      </c>
      <c r="AA7" s="13">
        <f>AA4+AA5+AA6</f>
        <v/>
      </c>
      <c r="AB7" s="13">
        <f>AB4+AB5+AB6</f>
        <v/>
      </c>
      <c r="AC7" s="13">
        <f>AC4+AC5+AC6</f>
        <v/>
      </c>
      <c r="AD7" s="13">
        <f>AD4+AD5+AD6</f>
        <v/>
      </c>
      <c r="AE7" s="13">
        <f>AE4+AE5+AE6</f>
        <v/>
      </c>
      <c r="AF7" s="13">
        <f>AF4+AF5+AF6</f>
        <v/>
      </c>
      <c r="AG7" s="13">
        <f>AG4+AG5+AG6</f>
        <v/>
      </c>
      <c r="AH7" s="13">
        <f>AH4+AH5+AH6</f>
        <v/>
      </c>
      <c r="AI7" s="13">
        <f>AI4+AI5+AI6</f>
        <v/>
      </c>
      <c r="AJ7" s="13">
        <f>AJ4+AJ5+AJ6</f>
        <v/>
      </c>
      <c r="AK7" s="11">
        <f>IF(N7&lt;&gt;0,(AB7-N7)/ABS(N7),0)</f>
        <v/>
      </c>
      <c r="AL7" s="11">
        <f>IF(AB7&lt;&gt;0,(AJ7-AB7)/ABS(AB7),0)</f>
        <v/>
      </c>
    </row>
    <row r="8" ht="5" customHeight="1"/>
    <row r="9" ht="15" customHeight="1">
      <c r="A9" s="7" t="inlineStr">
        <is>
          <t>DIRECT COSTS</t>
        </is>
      </c>
    </row>
    <row r="10" ht="13" customHeight="1">
      <c r="A10" s="14" t="inlineStr">
        <is>
          <t>Personnel</t>
        </is>
      </c>
    </row>
    <row r="11" ht="13" customHeight="1">
      <c r="A11" s="15" t="inlineStr">
        <is>
          <t xml:space="preserve">    Nursery Salaries</t>
        </is>
      </c>
      <c r="B11" s="16" t="n">
        <v>30287.19</v>
      </c>
      <c r="C11" s="16" t="n">
        <v>28161.92</v>
      </c>
      <c r="D11" s="16" t="n">
        <v>25110.5</v>
      </c>
      <c r="E11" s="16" t="n">
        <v>28269.59</v>
      </c>
      <c r="F11" s="16" t="n">
        <v>32973.91</v>
      </c>
      <c r="G11" s="16" t="n">
        <v>26527.48</v>
      </c>
      <c r="H11" s="16" t="n">
        <v>26525.69</v>
      </c>
      <c r="I11" s="16" t="n">
        <v>24730.92</v>
      </c>
      <c r="J11" s="16" t="n">
        <v>23058.19</v>
      </c>
      <c r="K11" s="16" t="n">
        <v>26098.63</v>
      </c>
      <c r="L11" s="16" t="n">
        <v>25153.72</v>
      </c>
      <c r="M11" s="16" t="n">
        <v>28256.28</v>
      </c>
      <c r="N11" s="16">
        <f>SUM(B11:M11)</f>
        <v/>
      </c>
      <c r="O11" s="16" t="n">
        <v>29983.84</v>
      </c>
      <c r="P11" s="16" t="n">
        <v>29098.5</v>
      </c>
      <c r="Q11" s="16" t="n">
        <v>32556.97</v>
      </c>
      <c r="R11" s="16" t="n">
        <v>34842.43</v>
      </c>
      <c r="S11" s="16" t="n">
        <v>34444.71</v>
      </c>
      <c r="T11" s="16" t="n">
        <v>37619.83</v>
      </c>
      <c r="U11" s="16" t="n">
        <v>36454.3</v>
      </c>
      <c r="AA11" s="16">
        <f>SUM(O11:U11)</f>
        <v/>
      </c>
      <c r="AB11" s="16">
        <f>SUM(O11:Z11)</f>
        <v/>
      </c>
      <c r="AC11" s="16" t="n">
        <v>36454.3</v>
      </c>
      <c r="AD11" s="16" t="n">
        <v>36454.3</v>
      </c>
      <c r="AE11" s="16" t="n">
        <v>36454.3</v>
      </c>
      <c r="AF11" s="16" t="n">
        <v>36454.3</v>
      </c>
      <c r="AG11" s="16" t="n">
        <v>36454.3</v>
      </c>
      <c r="AH11" s="16" t="n">
        <v>36454.3</v>
      </c>
      <c r="AI11" s="34">
        <f>SUM(AC11:AH11)</f>
        <v/>
      </c>
      <c r="AJ11" s="16">
        <f>SUM(AC11:AH11)+AI11</f>
        <v/>
      </c>
      <c r="AK11" s="11">
        <f>IF(N11&lt;&gt;0,(AB11-N11)/ABS(N11),0)</f>
        <v/>
      </c>
      <c r="AL11" s="11">
        <f>IF(AB11&lt;&gt;0,(AJ11-AB11)/ABS(AB11),0)</f>
        <v/>
      </c>
    </row>
    <row r="12" ht="13" customHeight="1">
      <c r="A12" s="15" t="inlineStr">
        <is>
          <t xml:space="preserve">    Nursery NI</t>
        </is>
      </c>
      <c r="B12" s="16" t="n">
        <v>2317.34</v>
      </c>
      <c r="C12" s="16" t="n">
        <v>2017.92</v>
      </c>
      <c r="D12" s="16" t="n">
        <v>1979.38</v>
      </c>
      <c r="E12" s="16" t="n">
        <v>2908.34</v>
      </c>
      <c r="F12" s="16" t="n">
        <v>3305.33</v>
      </c>
      <c r="G12" s="16" t="n">
        <v>2920.15</v>
      </c>
      <c r="H12" s="16" t="n">
        <v>3181.89</v>
      </c>
      <c r="I12" s="16" t="n">
        <v>2824.01</v>
      </c>
      <c r="J12" s="16" t="n">
        <v>2565.3</v>
      </c>
      <c r="K12" s="16" t="n">
        <v>2981.29</v>
      </c>
      <c r="L12" s="16" t="n">
        <v>2854.93</v>
      </c>
      <c r="M12" s="16" t="n">
        <v>3162.72</v>
      </c>
      <c r="N12" s="16">
        <f>SUM(B12:M12)</f>
        <v/>
      </c>
      <c r="O12" s="16" t="n">
        <v>3426.49</v>
      </c>
      <c r="P12" s="16" t="n">
        <v>3529.84</v>
      </c>
      <c r="Q12" s="16" t="n">
        <v>3556.72</v>
      </c>
      <c r="R12" s="16" t="n">
        <v>3836.75</v>
      </c>
      <c r="S12" s="16" t="n">
        <v>3836.73</v>
      </c>
      <c r="T12" s="16" t="n">
        <v>4158.21</v>
      </c>
      <c r="U12" s="16" t="n">
        <v>4331.47</v>
      </c>
      <c r="AA12" s="16">
        <f>SUM(O12:U12)</f>
        <v/>
      </c>
      <c r="AB12" s="16">
        <f>SUM(O12:Z12)</f>
        <v/>
      </c>
      <c r="AC12" s="16" t="n">
        <v>4331.47</v>
      </c>
      <c r="AD12" s="16" t="n">
        <v>4331.47</v>
      </c>
      <c r="AE12" s="16" t="n">
        <v>4331.47</v>
      </c>
      <c r="AF12" s="16" t="n">
        <v>4331.47</v>
      </c>
      <c r="AG12" s="16" t="n">
        <v>4331.47</v>
      </c>
      <c r="AH12" s="16" t="n">
        <v>4331.47</v>
      </c>
      <c r="AI12" s="34">
        <f>SUM(AC12:AH12)</f>
        <v/>
      </c>
      <c r="AJ12" s="16">
        <f>SUM(AC12:AH12)+AI12</f>
        <v/>
      </c>
      <c r="AK12" s="11">
        <f>IF(N12&lt;&gt;0,(AB12-N12)/ABS(N12),0)</f>
        <v/>
      </c>
      <c r="AL12" s="11">
        <f>IF(AB12&lt;&gt;0,(AJ12-AB12)/ABS(AB12),0)</f>
        <v/>
      </c>
    </row>
    <row r="13" ht="13" customHeight="1">
      <c r="A13" s="15" t="inlineStr">
        <is>
          <t xml:space="preserve">    Nursery Pension</t>
        </is>
      </c>
      <c r="B13" s="16" t="n">
        <v>544.37</v>
      </c>
      <c r="C13" s="16" t="n">
        <v>517.16</v>
      </c>
      <c r="D13" s="16" t="n">
        <v>508.79</v>
      </c>
      <c r="E13" s="16" t="n">
        <v>544.54</v>
      </c>
      <c r="F13" s="16" t="n">
        <v>503.06</v>
      </c>
      <c r="G13" s="16" t="n">
        <v>476.9</v>
      </c>
      <c r="H13" s="16" t="n">
        <v>596.13</v>
      </c>
      <c r="I13" s="16" t="n">
        <v>527.66</v>
      </c>
      <c r="J13" s="16" t="n">
        <v>475.92</v>
      </c>
      <c r="K13" s="16" t="n">
        <v>557.97</v>
      </c>
      <c r="L13" s="16" t="n">
        <v>531.24</v>
      </c>
      <c r="M13" s="16" t="n">
        <v>587.5599999999999</v>
      </c>
      <c r="N13" s="16">
        <f>SUM(B13:M13)</f>
        <v/>
      </c>
      <c r="O13" s="16" t="n">
        <v>612.9299999999999</v>
      </c>
      <c r="P13" s="16" t="n">
        <v>578.4400000000001</v>
      </c>
      <c r="Q13" s="16" t="n">
        <v>606.5700000000001</v>
      </c>
      <c r="R13" s="16" t="n">
        <v>659.52</v>
      </c>
      <c r="S13" s="16" t="n">
        <v>659.99</v>
      </c>
      <c r="T13" s="16" t="n">
        <v>662.76</v>
      </c>
      <c r="U13" s="16" t="n">
        <v>650.65</v>
      </c>
      <c r="AA13" s="16">
        <f>SUM(O13:U13)</f>
        <v/>
      </c>
      <c r="AB13" s="16">
        <f>SUM(O13:Z13)</f>
        <v/>
      </c>
      <c r="AC13" s="16" t="n">
        <v>650.65</v>
      </c>
      <c r="AD13" s="16" t="n">
        <v>650.65</v>
      </c>
      <c r="AE13" s="16" t="n">
        <v>650.65</v>
      </c>
      <c r="AF13" s="16" t="n">
        <v>650.65</v>
      </c>
      <c r="AG13" s="16" t="n">
        <v>650.65</v>
      </c>
      <c r="AH13" s="16" t="n">
        <v>650.65</v>
      </c>
      <c r="AI13" s="34">
        <f>SUM(AC13:AH13)</f>
        <v/>
      </c>
      <c r="AJ13" s="16">
        <f>SUM(AC13:AH13)+AI13</f>
        <v/>
      </c>
      <c r="AK13" s="11">
        <f>IF(N13&lt;&gt;0,(AB13-N13)/ABS(N13),0)</f>
        <v/>
      </c>
      <c r="AL13" s="11">
        <f>IF(AB13&lt;&gt;0,(AJ13-AB13)/ABS(AB13),0)</f>
        <v/>
      </c>
    </row>
    <row r="14" ht="13" customHeight="1">
      <c r="A14" s="15" t="inlineStr">
        <is>
          <t xml:space="preserve">    Uniform</t>
        </is>
      </c>
      <c r="B14" s="16" t="n">
        <v>0</v>
      </c>
      <c r="C14" s="16" t="n">
        <v>0</v>
      </c>
      <c r="D14" s="16" t="n">
        <v>47.28</v>
      </c>
      <c r="E14" s="16" t="n">
        <v>0</v>
      </c>
      <c r="F14" s="16" t="n">
        <v>0</v>
      </c>
      <c r="G14" s="16" t="n">
        <v>0</v>
      </c>
      <c r="H14" s="16" t="n">
        <v>91.14</v>
      </c>
      <c r="I14" s="16" t="n">
        <v>100.14</v>
      </c>
      <c r="J14" s="16" t="n">
        <v>0</v>
      </c>
      <c r="K14" s="16" t="n">
        <v>0</v>
      </c>
      <c r="L14" s="16" t="n">
        <v>39.54</v>
      </c>
      <c r="M14" s="16" t="n">
        <v>24.98</v>
      </c>
      <c r="N14" s="16">
        <f>SUM(B14:M14)</f>
        <v/>
      </c>
      <c r="O14" s="16" t="n">
        <v>0</v>
      </c>
      <c r="P14" s="16" t="n">
        <v>152.88</v>
      </c>
      <c r="Q14" s="16" t="n">
        <v>0</v>
      </c>
      <c r="R14" s="16" t="n">
        <v>119.88</v>
      </c>
      <c r="S14" s="16" t="n">
        <v>0</v>
      </c>
      <c r="T14" s="16" t="n">
        <v>51.24</v>
      </c>
      <c r="U14" s="16" t="n">
        <v>0</v>
      </c>
      <c r="AA14" s="16">
        <f>SUM(O14:U14)</f>
        <v/>
      </c>
      <c r="AB14" s="16">
        <f>SUM(O14:Z14)</f>
        <v/>
      </c>
      <c r="AC14" s="16" t="n">
        <v>73.35000000000001</v>
      </c>
      <c r="AD14" s="16" t="n">
        <v>73.35000000000001</v>
      </c>
      <c r="AE14" s="16" t="n">
        <v>73.35000000000001</v>
      </c>
      <c r="AF14" s="16" t="n">
        <v>73.35000000000001</v>
      </c>
      <c r="AG14" s="16" t="n">
        <v>73.35000000000001</v>
      </c>
      <c r="AH14" s="16" t="n">
        <v>73.35000000000001</v>
      </c>
      <c r="AI14" s="34">
        <f>SUM(AC14:AH14)</f>
        <v/>
      </c>
      <c r="AJ14" s="16">
        <f>SUM(AC14:AH14)+AI14</f>
        <v/>
      </c>
      <c r="AK14" s="11">
        <f>IF(N14&lt;&gt;0,(AB14-N14)/ABS(N14),0)</f>
        <v/>
      </c>
      <c r="AL14" s="11">
        <f>IF(AB14&lt;&gt;0,(AJ14-AB14)/ABS(AB14),0)</f>
        <v/>
      </c>
    </row>
    <row r="15" ht="13" customHeight="1">
      <c r="A15" s="15" t="inlineStr">
        <is>
          <t xml:space="preserve">    Training</t>
        </is>
      </c>
      <c r="B15" s="16" t="n">
        <v>0</v>
      </c>
      <c r="C15" s="16" t="n">
        <v>0</v>
      </c>
      <c r="D15" s="16" t="n">
        <v>0</v>
      </c>
      <c r="E15" s="16" t="n">
        <v>0</v>
      </c>
      <c r="F15" s="16" t="n">
        <v>0</v>
      </c>
      <c r="G15" s="16" t="n">
        <v>0</v>
      </c>
      <c r="H15" s="16" t="n">
        <v>162</v>
      </c>
      <c r="I15" s="16" t="n">
        <v>0</v>
      </c>
      <c r="J15" s="16" t="n">
        <v>180.76</v>
      </c>
      <c r="K15" s="16" t="n">
        <v>37.2</v>
      </c>
      <c r="L15" s="16" t="n">
        <v>0</v>
      </c>
      <c r="M15" s="16" t="n">
        <v>13</v>
      </c>
      <c r="N15" s="16">
        <f>SUM(B15:M15)</f>
        <v/>
      </c>
      <c r="O15" s="16" t="n">
        <v>13</v>
      </c>
      <c r="P15" s="16" t="n">
        <v>326</v>
      </c>
      <c r="Q15" s="16" t="n">
        <v>325.2</v>
      </c>
      <c r="R15" s="16" t="n">
        <v>72</v>
      </c>
      <c r="S15" s="16" t="n">
        <v>48</v>
      </c>
      <c r="T15" s="16" t="n">
        <v>0</v>
      </c>
      <c r="U15" s="16" t="n">
        <v>0</v>
      </c>
      <c r="AA15" s="16">
        <f>SUM(O15:U15)</f>
        <v/>
      </c>
      <c r="AB15" s="16">
        <f>SUM(O15:Z15)</f>
        <v/>
      </c>
      <c r="AC15" s="16" t="n">
        <v>100</v>
      </c>
      <c r="AD15" s="16" t="n">
        <v>100</v>
      </c>
      <c r="AE15" s="16" t="n">
        <v>100</v>
      </c>
      <c r="AF15" s="16" t="n">
        <v>100</v>
      </c>
      <c r="AG15" s="16" t="n">
        <v>100</v>
      </c>
      <c r="AH15" s="16" t="n">
        <v>100</v>
      </c>
      <c r="AI15" s="34">
        <f>SUM(AC15:AH15)</f>
        <v/>
      </c>
      <c r="AJ15" s="16">
        <f>SUM(AC15:AH15)+AI15</f>
        <v/>
      </c>
      <c r="AK15" s="11">
        <f>IF(N15&lt;&gt;0,(AB15-N15)/ABS(N15),0)</f>
        <v/>
      </c>
      <c r="AL15" s="11">
        <f>IF(AB15&lt;&gt;0,(AJ15-AB15)/ABS(AB15),0)</f>
        <v/>
      </c>
    </row>
    <row r="16" ht="13" customHeight="1">
      <c r="A16" s="15" t="inlineStr">
        <is>
          <t xml:space="preserve">    Staff Welfare</t>
        </is>
      </c>
      <c r="B16" s="16" t="n">
        <v>113.59</v>
      </c>
      <c r="C16" s="16" t="n">
        <v>168.36</v>
      </c>
      <c r="D16" s="16" t="n">
        <v>51.79</v>
      </c>
      <c r="E16" s="16" t="n">
        <v>150.6</v>
      </c>
      <c r="F16" s="16" t="n">
        <v>120.41</v>
      </c>
      <c r="G16" s="16" t="n">
        <v>113.1</v>
      </c>
      <c r="H16" s="16" t="n">
        <v>47.23</v>
      </c>
      <c r="I16" s="16" t="n">
        <v>145.53</v>
      </c>
      <c r="J16" s="16" t="n">
        <v>0</v>
      </c>
      <c r="K16" s="16" t="n">
        <v>110.87</v>
      </c>
      <c r="L16" s="16" t="n">
        <v>175.33</v>
      </c>
      <c r="M16" s="16" t="n">
        <v>89.36</v>
      </c>
      <c r="N16" s="16">
        <f>SUM(B16:M16)</f>
        <v/>
      </c>
      <c r="O16" s="16" t="n">
        <v>80.19</v>
      </c>
      <c r="P16" s="16" t="n">
        <v>40.29</v>
      </c>
      <c r="Q16" s="16" t="n">
        <v>48.98</v>
      </c>
      <c r="R16" s="16" t="n">
        <v>7</v>
      </c>
      <c r="S16" s="16" t="n">
        <v>141.26</v>
      </c>
      <c r="T16" s="16" t="n">
        <v>79.87</v>
      </c>
      <c r="U16" s="16" t="n">
        <v>7.39</v>
      </c>
      <c r="AA16" s="16">
        <f>SUM(O16:U16)</f>
        <v/>
      </c>
      <c r="AB16" s="16">
        <f>SUM(O16:Z16)</f>
        <v/>
      </c>
      <c r="AC16" s="16" t="n">
        <v>150</v>
      </c>
      <c r="AD16" s="16" t="n">
        <v>150</v>
      </c>
      <c r="AE16" s="16" t="n">
        <v>150</v>
      </c>
      <c r="AF16" s="16" t="n">
        <v>150</v>
      </c>
      <c r="AG16" s="16" t="n">
        <v>150</v>
      </c>
      <c r="AH16" s="16" t="n">
        <v>150</v>
      </c>
      <c r="AI16" s="34">
        <f>SUM(AC16:AH16)</f>
        <v/>
      </c>
      <c r="AJ16" s="16">
        <f>SUM(AC16:AH16)+AI16</f>
        <v/>
      </c>
      <c r="AK16" s="11">
        <f>IF(N16&lt;&gt;0,(AB16-N16)/ABS(N16),0)</f>
        <v/>
      </c>
      <c r="AL16" s="11">
        <f>IF(AB16&lt;&gt;0,(AJ16-AB16)/ABS(AB16),0)</f>
        <v/>
      </c>
    </row>
    <row r="17" ht="13" customHeight="1">
      <c r="A17" s="15" t="inlineStr">
        <is>
          <t xml:space="preserve">    Recruitment</t>
        </is>
      </c>
      <c r="B17" s="16" t="n">
        <v>0</v>
      </c>
      <c r="C17" s="16" t="n">
        <v>0</v>
      </c>
      <c r="D17" s="16" t="n">
        <v>0</v>
      </c>
      <c r="E17" s="16" t="n">
        <v>0</v>
      </c>
      <c r="F17" s="16" t="n">
        <v>0</v>
      </c>
      <c r="G17" s="16" t="n">
        <v>0</v>
      </c>
      <c r="H17" s="16" t="n">
        <v>0</v>
      </c>
      <c r="I17" s="16" t="n">
        <v>0</v>
      </c>
      <c r="J17" s="16" t="n">
        <v>0</v>
      </c>
      <c r="K17" s="16" t="n">
        <v>0</v>
      </c>
      <c r="L17" s="16" t="n">
        <v>0</v>
      </c>
      <c r="M17" s="16" t="n">
        <v>0</v>
      </c>
      <c r="N17" s="16">
        <f>SUM(B17:M17)</f>
        <v/>
      </c>
      <c r="O17" s="16" t="n">
        <v>0</v>
      </c>
      <c r="P17" s="16" t="n">
        <v>0</v>
      </c>
      <c r="Q17" s="16" t="n">
        <v>0</v>
      </c>
      <c r="R17" s="16" t="n">
        <v>0</v>
      </c>
      <c r="S17" s="16" t="n">
        <v>0</v>
      </c>
      <c r="T17" s="16" t="n">
        <v>0</v>
      </c>
      <c r="U17" s="16" t="n">
        <v>0</v>
      </c>
      <c r="V17" s="16" t="n">
        <v>0</v>
      </c>
      <c r="W17" s="16" t="n">
        <v>0</v>
      </c>
      <c r="X17" s="16" t="n">
        <v>0</v>
      </c>
      <c r="Y17" s="16" t="n">
        <v>0</v>
      </c>
      <c r="Z17" s="16" t="n">
        <v>0</v>
      </c>
      <c r="AA17" s="16">
        <f>SUM(O17:U17)</f>
        <v/>
      </c>
      <c r="AB17" s="16">
        <f>SUM(O17:Z17)</f>
        <v/>
      </c>
      <c r="AC17" s="16" t="n">
        <v>0</v>
      </c>
      <c r="AD17" s="16" t="n">
        <v>0</v>
      </c>
      <c r="AE17" s="16" t="n">
        <v>0</v>
      </c>
      <c r="AF17" s="16" t="n">
        <v>0</v>
      </c>
      <c r="AG17" s="16" t="n">
        <v>0</v>
      </c>
      <c r="AH17" s="16" t="n">
        <v>0</v>
      </c>
      <c r="AI17" s="34">
        <f>SUM(AC17:AH17)</f>
        <v/>
      </c>
      <c r="AJ17" s="16">
        <f>SUM(AC17:AH17)+AI17</f>
        <v/>
      </c>
      <c r="AK17" s="11">
        <f>IF(N17&lt;&gt;0,(AB17-N17)/ABS(N17),0)</f>
        <v/>
      </c>
      <c r="AL17" s="11">
        <f>IF(AB17&lt;&gt;0,(AJ17-AB17)/ABS(AB17),0)</f>
        <v/>
      </c>
    </row>
    <row r="18" ht="13" customHeight="1">
      <c r="A18" s="15" t="inlineStr">
        <is>
          <t xml:space="preserve">    Rewards &amp; Recognition</t>
        </is>
      </c>
      <c r="B18" s="16" t="n">
        <v>0</v>
      </c>
      <c r="C18" s="16" t="n">
        <v>0</v>
      </c>
      <c r="D18" s="16" t="n">
        <v>0</v>
      </c>
      <c r="E18" s="16" t="n">
        <v>0</v>
      </c>
      <c r="F18" s="16" t="n">
        <v>0</v>
      </c>
      <c r="G18" s="16" t="n">
        <v>0</v>
      </c>
      <c r="H18" s="16" t="n">
        <v>0</v>
      </c>
      <c r="I18" s="16" t="n">
        <v>0</v>
      </c>
      <c r="J18" s="16" t="n">
        <v>0</v>
      </c>
      <c r="K18" s="16" t="n">
        <v>51</v>
      </c>
      <c r="L18" s="16" t="n">
        <v>0</v>
      </c>
      <c r="M18" s="16" t="n">
        <v>0</v>
      </c>
      <c r="N18" s="16">
        <f>SUM(B18:M18)</f>
        <v/>
      </c>
      <c r="O18" s="16" t="n">
        <v>0</v>
      </c>
      <c r="P18" s="16" t="n">
        <v>0</v>
      </c>
      <c r="Q18" s="16" t="n">
        <v>0</v>
      </c>
      <c r="R18" s="16" t="n">
        <v>0</v>
      </c>
      <c r="S18" s="16" t="n">
        <v>0</v>
      </c>
      <c r="T18" s="16" t="n">
        <v>11.39</v>
      </c>
      <c r="U18" s="16" t="n">
        <v>77.97</v>
      </c>
      <c r="AA18" s="16">
        <f>SUM(O18:U18)</f>
        <v/>
      </c>
      <c r="AB18" s="16">
        <f>SUM(O18:Z18)</f>
        <v/>
      </c>
      <c r="AC18" s="16" t="n">
        <v>63</v>
      </c>
      <c r="AD18" s="16" t="n">
        <v>63</v>
      </c>
      <c r="AE18" s="16" t="n">
        <v>63</v>
      </c>
      <c r="AF18" s="16" t="n">
        <v>63</v>
      </c>
      <c r="AG18" s="16" t="n">
        <v>63</v>
      </c>
      <c r="AH18" s="16" t="n">
        <v>63</v>
      </c>
      <c r="AI18" s="34">
        <f>SUM(AC18:AH18)</f>
        <v/>
      </c>
      <c r="AJ18" s="16">
        <f>SUM(AC18:AH18)+AI18</f>
        <v/>
      </c>
      <c r="AK18" s="11">
        <f>IF(N18&lt;&gt;0,(AB18-N18)/ABS(N18),0)</f>
        <v/>
      </c>
      <c r="AL18" s="11">
        <f>IF(AB18&lt;&gt;0,(AJ18-AB18)/ABS(AB18),0)</f>
        <v/>
      </c>
    </row>
    <row r="19" ht="13" customHeight="1">
      <c r="A19" s="15" t="inlineStr">
        <is>
          <t xml:space="preserve">    Temps</t>
        </is>
      </c>
      <c r="B19" s="16" t="n">
        <v>0</v>
      </c>
      <c r="C19" s="16" t="n">
        <v>0</v>
      </c>
      <c r="D19" s="16" t="n">
        <v>0</v>
      </c>
      <c r="E19" s="16" t="n">
        <v>0</v>
      </c>
      <c r="F19" s="16" t="n">
        <v>0</v>
      </c>
      <c r="G19" s="16" t="n">
        <v>0</v>
      </c>
      <c r="H19" s="16" t="n">
        <v>0</v>
      </c>
      <c r="I19" s="16" t="n">
        <v>0</v>
      </c>
      <c r="J19" s="16" t="n">
        <v>0</v>
      </c>
      <c r="K19" s="16" t="n">
        <v>0</v>
      </c>
      <c r="L19" s="16" t="n">
        <v>0</v>
      </c>
      <c r="M19" s="16" t="n">
        <v>0</v>
      </c>
      <c r="N19" s="16">
        <f>SUM(B19:M19)</f>
        <v/>
      </c>
      <c r="O19" s="16" t="n">
        <v>0</v>
      </c>
      <c r="P19" s="16" t="n">
        <v>0</v>
      </c>
      <c r="Q19" s="16" t="n">
        <v>0</v>
      </c>
      <c r="R19" s="16" t="n">
        <v>0</v>
      </c>
      <c r="S19" s="16" t="n">
        <v>0</v>
      </c>
      <c r="T19" s="16" t="n">
        <v>0</v>
      </c>
      <c r="U19" s="16" t="n">
        <v>0</v>
      </c>
      <c r="V19" s="16" t="n">
        <v>0</v>
      </c>
      <c r="W19" s="16" t="n">
        <v>0</v>
      </c>
      <c r="X19" s="16" t="n">
        <v>0</v>
      </c>
      <c r="Y19" s="16" t="n">
        <v>0</v>
      </c>
      <c r="Z19" s="16" t="n">
        <v>0</v>
      </c>
      <c r="AA19" s="16">
        <f>SUM(O19:U19)</f>
        <v/>
      </c>
      <c r="AB19" s="16">
        <f>SUM(O19:Z19)</f>
        <v/>
      </c>
      <c r="AC19" s="16" t="n">
        <v>0</v>
      </c>
      <c r="AD19" s="16" t="n">
        <v>0</v>
      </c>
      <c r="AE19" s="16" t="n">
        <v>0</v>
      </c>
      <c r="AF19" s="16" t="n">
        <v>0</v>
      </c>
      <c r="AG19" s="16" t="n">
        <v>0</v>
      </c>
      <c r="AH19" s="16" t="n">
        <v>0</v>
      </c>
      <c r="AI19" s="34">
        <f>SUM(AC19:AH19)</f>
        <v/>
      </c>
      <c r="AJ19" s="16">
        <f>SUM(AC19:AH19)+AI19</f>
        <v/>
      </c>
      <c r="AK19" s="11">
        <f>IF(N19&lt;&gt;0,(AB19-N19)/ABS(N19),0)</f>
        <v/>
      </c>
      <c r="AL19" s="11">
        <f>IF(AB19&lt;&gt;0,(AJ19-AB19)/ABS(AB19),0)</f>
        <v/>
      </c>
    </row>
    <row r="20" ht="13" customHeight="1">
      <c r="A20" s="17" t="inlineStr">
        <is>
          <t>Total Personnel</t>
        </is>
      </c>
      <c r="B20" s="18">
        <f>B11+B12+B13+B14+B15+B16+B17+B18+B19</f>
        <v/>
      </c>
      <c r="C20" s="18">
        <f>C11+C12+C13+C14+C15+C16+C17+C18+C19</f>
        <v/>
      </c>
      <c r="D20" s="18">
        <f>D11+D12+D13+D14+D15+D16+D17+D18+D19</f>
        <v/>
      </c>
      <c r="E20" s="18">
        <f>E11+E12+E13+E14+E15+E16+E17+E18+E19</f>
        <v/>
      </c>
      <c r="F20" s="18">
        <f>F11+F12+F13+F14+F15+F16+F17+F18+F19</f>
        <v/>
      </c>
      <c r="G20" s="18">
        <f>G11+G12+G13+G14+G15+G16+G17+G18+G19</f>
        <v/>
      </c>
      <c r="H20" s="18">
        <f>H11+H12+H13+H14+H15+H16+H17+H18+H19</f>
        <v/>
      </c>
      <c r="I20" s="18">
        <f>I11+I12+I13+I14+I15+I16+I17+I18+I19</f>
        <v/>
      </c>
      <c r="J20" s="18">
        <f>J11+J12+J13+J14+J15+J16+J17+J18+J19</f>
        <v/>
      </c>
      <c r="K20" s="18">
        <f>K11+K12+K13+K14+K15+K16+K17+K18+K19</f>
        <v/>
      </c>
      <c r="L20" s="18">
        <f>L11+L12+L13+L14+L15+L16+L17+L18+L19</f>
        <v/>
      </c>
      <c r="M20" s="18">
        <f>M11+M12+M13+M14+M15+M16+M17+M18+M19</f>
        <v/>
      </c>
      <c r="N20" s="18">
        <f>N11+N12+N13+N14+N15+N16+N17+N18+N19</f>
        <v/>
      </c>
      <c r="O20" s="18">
        <f>O11+O12+O13+O14+O15+O16+O17+O18+O19</f>
        <v/>
      </c>
      <c r="P20" s="18">
        <f>P11+P12+P13+P14+P15+P16+P17+P18+P19</f>
        <v/>
      </c>
      <c r="Q20" s="18">
        <f>Q11+Q12+Q13+Q14+Q15+Q16+Q17+Q18+Q19</f>
        <v/>
      </c>
      <c r="R20" s="18">
        <f>R11+R12+R13+R14+R15+R16+R17+R18+R19</f>
        <v/>
      </c>
      <c r="S20" s="18">
        <f>S11+S12+S13+S14+S15+S16+S17+S18+S19</f>
        <v/>
      </c>
      <c r="T20" s="18">
        <f>T11+T12+T13+T14+T15+T16+T17+T18+T19</f>
        <v/>
      </c>
      <c r="U20" s="18">
        <f>U11+U12+U13+U14+U15+U16+U17+U18+U19</f>
        <v/>
      </c>
      <c r="V20" s="18">
        <f>V11+V12+V13+V14+V15+V16+V17+V18+V19</f>
        <v/>
      </c>
      <c r="W20" s="18">
        <f>W11+W12+W13+W14+W15+W16+W17+W18+W19</f>
        <v/>
      </c>
      <c r="X20" s="18">
        <f>X11+X12+X13+X14+X15+X16+X17+X18+X19</f>
        <v/>
      </c>
      <c r="Y20" s="18">
        <f>Y11+Y12+Y13+Y14+Y15+Y16+Y17+Y18+Y19</f>
        <v/>
      </c>
      <c r="Z20" s="18">
        <f>Z11+Z12+Z13+Z14+Z15+Z16+Z17+Z18+Z19</f>
        <v/>
      </c>
      <c r="AA20" s="18">
        <f>AA11+AA12+AA13+AA14+AA15+AA16+AA17+AA18+AA19</f>
        <v/>
      </c>
      <c r="AB20" s="18">
        <f>AB11+AB12+AB13+AB14+AB15+AB16+AB17+AB18+AB19</f>
        <v/>
      </c>
      <c r="AC20" s="18">
        <f>AC11+AC12+AC13+AC14+AC15+AC16+AC17+AC18+AC19</f>
        <v/>
      </c>
      <c r="AD20" s="18">
        <f>AD11+AD12+AD13+AD14+AD15+AD16+AD17+AD18+AD19</f>
        <v/>
      </c>
      <c r="AE20" s="18">
        <f>AE11+AE12+AE13+AE14+AE15+AE16+AE17+AE18+AE19</f>
        <v/>
      </c>
      <c r="AF20" s="18">
        <f>AF11+AF12+AF13+AF14+AF15+AF16+AF17+AF18+AF19</f>
        <v/>
      </c>
      <c r="AG20" s="18">
        <f>AG11+AG12+AG13+AG14+AG15+AG16+AG17+AG18+AG19</f>
        <v/>
      </c>
      <c r="AH20" s="18">
        <f>AH11+AH12+AH13+AH14+AH15+AH16+AH17+AH18+AH19</f>
        <v/>
      </c>
      <c r="AI20" s="18">
        <f>AI11+AI12+AI13+AI14+AI15+AI16+AI17+AI18+AI19</f>
        <v/>
      </c>
      <c r="AJ20" s="18">
        <f>AJ11+AJ12+AJ13+AJ14+AJ15+AJ16+AJ17+AJ18+AJ19</f>
        <v/>
      </c>
      <c r="AK20" s="11">
        <f>IF(N20&lt;&gt;0,(AB20-N20)/ABS(N20),0)</f>
        <v/>
      </c>
      <c r="AL20" s="11">
        <f>IF(AB20&lt;&gt;0,(AJ20-AB20)/ABS(AB20),0)</f>
        <v/>
      </c>
    </row>
    <row r="21" ht="13" customHeight="1">
      <c r="A21" s="19" t="inlineStr">
        <is>
          <t xml:space="preserve">    Sal:Rev</t>
        </is>
      </c>
      <c r="B21" s="20">
        <f>IF(B7&gt;0,B20/B7,0)</f>
        <v/>
      </c>
      <c r="C21" s="20">
        <f>IF(C7&gt;0,C20/C7,0)</f>
        <v/>
      </c>
      <c r="D21" s="20">
        <f>IF(D7&gt;0,D20/D7,0)</f>
        <v/>
      </c>
      <c r="E21" s="20">
        <f>IF(E7&gt;0,E20/E7,0)</f>
        <v/>
      </c>
      <c r="F21" s="20">
        <f>IF(F7&gt;0,F20/F7,0)</f>
        <v/>
      </c>
      <c r="G21" s="20">
        <f>IF(G7&gt;0,G20/G7,0)</f>
        <v/>
      </c>
      <c r="H21" s="20">
        <f>IF(H7&gt;0,H20/H7,0)</f>
        <v/>
      </c>
      <c r="I21" s="20">
        <f>IF(I7&gt;0,I20/I7,0)</f>
        <v/>
      </c>
      <c r="J21" s="20">
        <f>IF(J7&gt;0,J20/J7,0)</f>
        <v/>
      </c>
      <c r="K21" s="20">
        <f>IF(K7&gt;0,K20/K7,0)</f>
        <v/>
      </c>
      <c r="L21" s="20">
        <f>IF(L7&gt;0,L20/L7,0)</f>
        <v/>
      </c>
      <c r="M21" s="20">
        <f>IF(M7&gt;0,M20/M7,0)</f>
        <v/>
      </c>
      <c r="N21" s="20">
        <f>IF(N7&gt;0,N20/N7,0)</f>
        <v/>
      </c>
      <c r="O21" s="20">
        <f>IF(O7&gt;0,O20/O7,0)</f>
        <v/>
      </c>
      <c r="P21" s="20">
        <f>IF(P7&gt;0,P20/P7,0)</f>
        <v/>
      </c>
      <c r="Q21" s="20">
        <f>IF(Q7&gt;0,Q20/Q7,0)</f>
        <v/>
      </c>
      <c r="R21" s="20">
        <f>IF(R7&gt;0,R20/R7,0)</f>
        <v/>
      </c>
      <c r="S21" s="20">
        <f>IF(S7&gt;0,S20/S7,0)</f>
        <v/>
      </c>
      <c r="T21" s="20">
        <f>IF(T7&gt;0,T20/T7,0)</f>
        <v/>
      </c>
      <c r="U21" s="20">
        <f>IF(U7&gt;0,U20/U7,0)</f>
        <v/>
      </c>
      <c r="V21" s="20">
        <f>IF(V7&gt;0,V20/V7,0)</f>
        <v/>
      </c>
      <c r="W21" s="20">
        <f>IF(W7&gt;0,W20/W7,0)</f>
        <v/>
      </c>
      <c r="X21" s="20">
        <f>IF(X7&gt;0,X20/X7,0)</f>
        <v/>
      </c>
      <c r="Y21" s="20">
        <f>IF(Y7&gt;0,Y20/Y7,0)</f>
        <v/>
      </c>
      <c r="Z21" s="20">
        <f>IF(Z7&gt;0,Z20/Z7,0)</f>
        <v/>
      </c>
      <c r="AA21" s="20">
        <f>IF(AA7&gt;0,AA20/AA7,0)</f>
        <v/>
      </c>
      <c r="AB21" s="20">
        <f>IF(AB7&gt;0,AB20/AB7,0)</f>
        <v/>
      </c>
      <c r="AC21" s="20">
        <f>IF(AC7&gt;0,AC20/AC7,0)</f>
        <v/>
      </c>
      <c r="AD21" s="20">
        <f>IF(AD7&gt;0,AD20/AD7,0)</f>
        <v/>
      </c>
      <c r="AE21" s="20">
        <f>IF(AE7&gt;0,AE20/AE7,0)</f>
        <v/>
      </c>
      <c r="AF21" s="20">
        <f>IF(AF7&gt;0,AF20/AF7,0)</f>
        <v/>
      </c>
      <c r="AG21" s="20">
        <f>IF(AG7&gt;0,AG20/AG7,0)</f>
        <v/>
      </c>
      <c r="AH21" s="20">
        <f>IF(AH7&gt;0,AH20/AH7,0)</f>
        <v/>
      </c>
      <c r="AI21" s="20">
        <f>IF(AI7&gt;0,AI20/AI7,0)</f>
        <v/>
      </c>
      <c r="AJ21" s="20">
        <f>IF(AJ7&gt;0,AJ20/AJ7,0)</f>
        <v/>
      </c>
    </row>
    <row r="22" ht="5" customHeight="1"/>
    <row r="23" ht="13" customHeight="1">
      <c r="A23" s="14" t="inlineStr">
        <is>
          <t>Childcare</t>
        </is>
      </c>
    </row>
    <row r="24" ht="13" customHeight="1">
      <c r="A24" s="21" t="inlineStr">
        <is>
          <t xml:space="preserve">    Catering Costs</t>
        </is>
      </c>
      <c r="N24" s="22">
        <f>SUM(B24:M24)</f>
        <v/>
      </c>
      <c r="O24" s="22" t="n">
        <v>1155.49</v>
      </c>
      <c r="P24" s="22" t="n">
        <v>1469.05</v>
      </c>
      <c r="Q24" s="22" t="n">
        <v>1299.06</v>
      </c>
      <c r="R24" s="22" t="n">
        <v>1308.33</v>
      </c>
      <c r="S24" s="22" t="n">
        <v>1167.54</v>
      </c>
      <c r="T24" s="22" t="n">
        <v>1673.38</v>
      </c>
      <c r="U24" s="22" t="n">
        <v>1315.27</v>
      </c>
      <c r="V24" s="22" t="n">
        <v>1294.706088</v>
      </c>
      <c r="W24" s="22" t="n">
        <v>1654.7856</v>
      </c>
      <c r="X24" s="22" t="n">
        <v>1686.6096</v>
      </c>
      <c r="Y24" s="22" t="n">
        <v>1610.8872</v>
      </c>
      <c r="Z24" s="22" t="n">
        <v>1445.1528</v>
      </c>
      <c r="AA24" s="22">
        <f>SUM(O24:U24)</f>
        <v/>
      </c>
      <c r="AB24" s="22">
        <f>SUM(O24:Z24)</f>
        <v/>
      </c>
      <c r="AC24" s="22" t="n">
        <v>1607.54256</v>
      </c>
      <c r="AD24" s="22" t="n">
        <v>1487.47716</v>
      </c>
      <c r="AE24" s="22" t="n">
        <v>1782.604512</v>
      </c>
      <c r="AF24" s="22" t="n">
        <v>1515.088224</v>
      </c>
      <c r="AG24" s="22" t="n">
        <v>1549.901184</v>
      </c>
      <c r="AH24" s="22" t="n">
        <v>1592.02212</v>
      </c>
      <c r="AI24" s="34">
        <f>SUM(AC24:AH24)</f>
        <v/>
      </c>
      <c r="AJ24" s="22">
        <f>SUM(AC24:AH24)+AI24</f>
        <v/>
      </c>
      <c r="AK24" s="11">
        <f>IF(N24&lt;&gt;0,(AB24-N24)/ABS(N24),0)</f>
        <v/>
      </c>
      <c r="AL24" s="11">
        <f>IF(AB24&lt;&gt;0,(AJ24-AB24)/ABS(AB24),0)</f>
        <v/>
      </c>
    </row>
    <row r="25" ht="13" customHeight="1">
      <c r="A25" s="21" t="inlineStr">
        <is>
          <t xml:space="preserve">    Toys and Games</t>
        </is>
      </c>
      <c r="B25" s="22" t="n">
        <v>222.62</v>
      </c>
      <c r="C25" s="22" t="n">
        <v>59.73999999999999</v>
      </c>
      <c r="D25" s="22" t="n">
        <v>73.67999999999999</v>
      </c>
      <c r="E25" s="22" t="n">
        <v>488.16</v>
      </c>
      <c r="F25" s="22" t="n">
        <v>415.09</v>
      </c>
      <c r="G25" s="22" t="n">
        <v>429.36</v>
      </c>
      <c r="H25" s="22" t="n">
        <v>221.83</v>
      </c>
      <c r="I25" s="22" t="n">
        <v>213.52</v>
      </c>
      <c r="J25" s="22" t="n">
        <v>155</v>
      </c>
      <c r="K25" s="22" t="n">
        <v>76.69</v>
      </c>
      <c r="L25" s="22" t="n">
        <v>104.83</v>
      </c>
      <c r="M25" s="22" t="n">
        <v>51.49</v>
      </c>
      <c r="N25" s="22">
        <f>SUM(B25:M25)</f>
        <v/>
      </c>
      <c r="O25" s="22" t="n">
        <v>250.3</v>
      </c>
      <c r="P25" s="22" t="n">
        <v>182.73</v>
      </c>
      <c r="Q25" s="22" t="n">
        <v>119.59</v>
      </c>
      <c r="R25" s="22" t="n">
        <v>85.17</v>
      </c>
      <c r="S25" s="22" t="n">
        <v>109.19</v>
      </c>
      <c r="T25" s="22" t="n">
        <v>2384.14</v>
      </c>
      <c r="U25" s="22" t="n">
        <v>725.37</v>
      </c>
      <c r="AA25" s="22">
        <f>SUM(O25:U25)</f>
        <v/>
      </c>
      <c r="AB25" s="22">
        <f>SUM(O25:Z25)</f>
        <v/>
      </c>
      <c r="AC25" s="22" t="n">
        <v>50</v>
      </c>
      <c r="AD25" s="22" t="n">
        <v>50</v>
      </c>
      <c r="AE25" s="22" t="n">
        <v>50</v>
      </c>
      <c r="AF25" s="22" t="n">
        <v>50</v>
      </c>
      <c r="AG25" s="22" t="n">
        <v>50</v>
      </c>
      <c r="AH25" s="22" t="n">
        <v>50</v>
      </c>
      <c r="AI25" s="34">
        <f>SUM(AC25:AH25)</f>
        <v/>
      </c>
      <c r="AJ25" s="22">
        <f>SUM(AC25:AH25)+AI25</f>
        <v/>
      </c>
      <c r="AK25" s="11">
        <f>IF(N25&lt;&gt;0,(AB25-N25)/ABS(N25),0)</f>
        <v/>
      </c>
      <c r="AL25" s="11">
        <f>IF(AB25&lt;&gt;0,(AJ25-AB25)/ABS(AB25),0)</f>
        <v/>
      </c>
    </row>
    <row r="26" ht="13" customHeight="1">
      <c r="A26" s="21" t="inlineStr">
        <is>
          <t xml:space="preserve">    Art Materials</t>
        </is>
      </c>
      <c r="N26" s="22">
        <f>SUM(B26:M26)</f>
        <v/>
      </c>
      <c r="O26" s="22" t="n">
        <v>58.43</v>
      </c>
      <c r="P26" s="22" t="n">
        <v>156.27</v>
      </c>
      <c r="Q26" s="22" t="n">
        <v>14.3</v>
      </c>
      <c r="R26" s="22" t="n">
        <v>120.24</v>
      </c>
      <c r="S26" s="22" t="n">
        <v>106.68</v>
      </c>
      <c r="T26" s="22" t="n">
        <v>0</v>
      </c>
      <c r="U26" s="22" t="n">
        <v>114.74</v>
      </c>
      <c r="V26" s="22" t="n">
        <v>86.31373919999999</v>
      </c>
      <c r="W26" s="22" t="n">
        <v>110.31904</v>
      </c>
      <c r="X26" s="22" t="n">
        <v>112.44064</v>
      </c>
      <c r="Y26" s="22" t="n">
        <v>107.39248</v>
      </c>
      <c r="Z26" s="22" t="n">
        <v>96.34352</v>
      </c>
      <c r="AA26" s="22">
        <f>SUM(O26:U26)</f>
        <v/>
      </c>
      <c r="AB26" s="22">
        <f>SUM(O26:Z26)</f>
        <v/>
      </c>
      <c r="AC26" s="22" t="n">
        <v>107.169504</v>
      </c>
      <c r="AD26" s="22" t="n">
        <v>99.165144</v>
      </c>
      <c r="AE26" s="22" t="n">
        <v>118.8403008</v>
      </c>
      <c r="AF26" s="22" t="n">
        <v>101.0058816</v>
      </c>
      <c r="AG26" s="22" t="n">
        <v>103.3267456</v>
      </c>
      <c r="AH26" s="22" t="n">
        <v>106.134808</v>
      </c>
      <c r="AI26" s="34">
        <f>SUM(AC26:AH26)</f>
        <v/>
      </c>
      <c r="AJ26" s="22">
        <f>SUM(AC26:AH26)+AI26</f>
        <v/>
      </c>
      <c r="AK26" s="11">
        <f>IF(N26&lt;&gt;0,(AB26-N26)/ABS(N26),0)</f>
        <v/>
      </c>
      <c r="AL26" s="11">
        <f>IF(AB26&lt;&gt;0,(AJ26-AB26)/ABS(AB26),0)</f>
        <v/>
      </c>
    </row>
    <row r="27" ht="13" customHeight="1">
      <c r="A27" s="21" t="inlineStr">
        <is>
          <t xml:space="preserve">    Nursery Stationery</t>
        </is>
      </c>
      <c r="B27" s="22" t="n">
        <v>0</v>
      </c>
      <c r="C27" s="22" t="n">
        <v>0</v>
      </c>
      <c r="D27" s="22" t="n">
        <v>0</v>
      </c>
      <c r="E27" s="22" t="n">
        <v>0</v>
      </c>
      <c r="F27" s="22" t="n">
        <v>0</v>
      </c>
      <c r="G27" s="22" t="n">
        <v>0</v>
      </c>
      <c r="H27" s="22" t="n">
        <v>0</v>
      </c>
      <c r="I27" s="22" t="n">
        <v>0</v>
      </c>
      <c r="J27" s="22" t="n">
        <v>0</v>
      </c>
      <c r="K27" s="22" t="n">
        <v>0</v>
      </c>
      <c r="L27" s="22" t="n">
        <v>0</v>
      </c>
      <c r="M27" s="22" t="n">
        <v>0</v>
      </c>
      <c r="N27" s="22">
        <f>SUM(B27:M27)</f>
        <v/>
      </c>
      <c r="O27" s="22" t="n">
        <v>0</v>
      </c>
      <c r="P27" s="22" t="n">
        <v>0</v>
      </c>
      <c r="Q27" s="22" t="n">
        <v>0</v>
      </c>
      <c r="R27" s="22" t="n">
        <v>0</v>
      </c>
      <c r="S27" s="22" t="n">
        <v>0</v>
      </c>
      <c r="T27" s="22" t="n">
        <v>0</v>
      </c>
      <c r="U27" s="22" t="n">
        <v>0</v>
      </c>
      <c r="V27" s="22" t="n">
        <v>0</v>
      </c>
      <c r="W27" s="22" t="n">
        <v>0</v>
      </c>
      <c r="X27" s="22" t="n">
        <v>0</v>
      </c>
      <c r="Y27" s="22" t="n">
        <v>0</v>
      </c>
      <c r="Z27" s="22" t="n">
        <v>0</v>
      </c>
      <c r="AA27" s="22">
        <f>SUM(O27:U27)</f>
        <v/>
      </c>
      <c r="AB27" s="22">
        <f>SUM(O27:Z27)</f>
        <v/>
      </c>
      <c r="AC27" s="22" t="n">
        <v>100</v>
      </c>
      <c r="AD27" s="22" t="n">
        <v>100</v>
      </c>
      <c r="AE27" s="22" t="n">
        <v>100</v>
      </c>
      <c r="AF27" s="22" t="n">
        <v>100</v>
      </c>
      <c r="AG27" s="22" t="n">
        <v>100</v>
      </c>
      <c r="AH27" s="22" t="n">
        <v>100</v>
      </c>
      <c r="AI27" s="34">
        <f>SUM(AC27:AH27)</f>
        <v/>
      </c>
      <c r="AJ27" s="22">
        <f>SUM(AC27:AH27)+AI27</f>
        <v/>
      </c>
      <c r="AK27" s="11">
        <f>IF(N27&lt;&gt;0,(AB27-N27)/ABS(N27),0)</f>
        <v/>
      </c>
      <c r="AL27" s="11">
        <f>IF(AB27&lt;&gt;0,(AJ27-AB27)/ABS(AB27),0)</f>
        <v/>
      </c>
    </row>
    <row r="28" ht="13" customHeight="1">
      <c r="A28" s="21" t="inlineStr">
        <is>
          <t xml:space="preserve">    Nursery Equipment</t>
        </is>
      </c>
      <c r="B28" s="22" t="n">
        <v>0</v>
      </c>
      <c r="C28" s="22" t="n">
        <v>306.01</v>
      </c>
      <c r="D28" s="22" t="n">
        <v>335.76</v>
      </c>
      <c r="E28" s="22" t="n">
        <v>5.49</v>
      </c>
      <c r="F28" s="22" t="n">
        <v>344.88</v>
      </c>
      <c r="G28" s="22" t="n">
        <v>0</v>
      </c>
      <c r="H28" s="22" t="n">
        <v>159.56</v>
      </c>
      <c r="I28" s="22" t="n">
        <v>34.84999999999999</v>
      </c>
      <c r="J28" s="22" t="n">
        <v>146.99</v>
      </c>
      <c r="K28" s="22" t="n">
        <v>99.87</v>
      </c>
      <c r="L28" s="22" t="n">
        <v>14.99</v>
      </c>
      <c r="M28" s="22" t="n">
        <v>49.87</v>
      </c>
      <c r="N28" s="22">
        <f>SUM(B28:M28)</f>
        <v/>
      </c>
      <c r="O28" s="22" t="n">
        <v>6.98</v>
      </c>
      <c r="P28" s="22" t="n">
        <v>29.99</v>
      </c>
      <c r="Q28" s="22" t="n">
        <v>39.57</v>
      </c>
      <c r="R28" s="22" t="n">
        <v>0</v>
      </c>
      <c r="S28" s="22" t="n">
        <v>0</v>
      </c>
      <c r="T28" s="22" t="n">
        <v>74.03</v>
      </c>
      <c r="U28" s="22" t="n">
        <v>5.87</v>
      </c>
      <c r="AA28" s="22">
        <f>SUM(O28:U28)</f>
        <v/>
      </c>
      <c r="AB28" s="22">
        <f>SUM(O28:Z28)</f>
        <v/>
      </c>
      <c r="AC28" s="22" t="n">
        <v>50</v>
      </c>
      <c r="AD28" s="22" t="n">
        <v>50</v>
      </c>
      <c r="AE28" s="22" t="n">
        <v>50</v>
      </c>
      <c r="AF28" s="22" t="n">
        <v>50</v>
      </c>
      <c r="AG28" s="22" t="n">
        <v>50</v>
      </c>
      <c r="AH28" s="22" t="n">
        <v>50</v>
      </c>
      <c r="AI28" s="34">
        <f>SUM(AC28:AH28)</f>
        <v/>
      </c>
      <c r="AJ28" s="22">
        <f>SUM(AC28:AH28)+AI28</f>
        <v/>
      </c>
      <c r="AK28" s="11">
        <f>IF(N28&lt;&gt;0,(AB28-N28)/ABS(N28),0)</f>
        <v/>
      </c>
      <c r="AL28" s="11">
        <f>IF(AB28&lt;&gt;0,(AJ28-AB28)/ABS(AB28),0)</f>
        <v/>
      </c>
    </row>
    <row r="29" ht="13" customHeight="1">
      <c r="A29" s="21" t="inlineStr">
        <is>
          <t xml:space="preserve">    Nursery Consumables</t>
        </is>
      </c>
      <c r="N29" s="22">
        <f>SUM(B29:M29)</f>
        <v/>
      </c>
      <c r="O29" s="22" t="n">
        <v>88.5</v>
      </c>
      <c r="P29" s="22" t="n">
        <v>326.58</v>
      </c>
      <c r="Q29" s="22" t="n">
        <v>346.91</v>
      </c>
      <c r="R29" s="22" t="n">
        <v>286.34</v>
      </c>
      <c r="S29" s="22" t="n">
        <v>443.89</v>
      </c>
      <c r="T29" s="22" t="n">
        <v>296.29</v>
      </c>
      <c r="U29" s="22" t="n">
        <v>171.34</v>
      </c>
      <c r="V29" s="22" t="n">
        <v>215.784348</v>
      </c>
      <c r="W29" s="22" t="n">
        <v>275.7976</v>
      </c>
      <c r="X29" s="22" t="n">
        <v>281.1016</v>
      </c>
      <c r="Y29" s="22" t="n">
        <v>268.4812000000001</v>
      </c>
      <c r="Z29" s="22" t="n">
        <v>240.8588</v>
      </c>
      <c r="AA29" s="22">
        <f>SUM(O29:U29)</f>
        <v/>
      </c>
      <c r="AB29" s="22">
        <f>SUM(O29:Z29)</f>
        <v/>
      </c>
      <c r="AC29" s="22" t="n">
        <v>267.9237600000001</v>
      </c>
      <c r="AD29" s="22" t="n">
        <v>247.9128600000001</v>
      </c>
      <c r="AE29" s="22" t="n">
        <v>297.1007520000001</v>
      </c>
      <c r="AF29" s="22" t="n">
        <v>252.514704</v>
      </c>
      <c r="AG29" s="22" t="n">
        <v>258.316864</v>
      </c>
      <c r="AH29" s="22" t="n">
        <v>265.3370200000001</v>
      </c>
      <c r="AI29" s="34">
        <f>SUM(AC29:AH29)</f>
        <v/>
      </c>
      <c r="AJ29" s="22">
        <f>SUM(AC29:AH29)+AI29</f>
        <v/>
      </c>
      <c r="AK29" s="11">
        <f>IF(N29&lt;&gt;0,(AB29-N29)/ABS(N29),0)</f>
        <v/>
      </c>
      <c r="AL29" s="11">
        <f>IF(AB29&lt;&gt;0,(AJ29-AB29)/ABS(AB29),0)</f>
        <v/>
      </c>
    </row>
    <row r="30" ht="13" customHeight="1">
      <c r="A30" s="23" t="inlineStr">
        <is>
          <t>Total Childcare Costs</t>
        </is>
      </c>
      <c r="B30" s="24">
        <f>B24+B25+B26+B27+B28+B29</f>
        <v/>
      </c>
      <c r="C30" s="24">
        <f>C24+C25+C26+C27+C28+C29</f>
        <v/>
      </c>
      <c r="D30" s="24">
        <f>D24+D25+D26+D27+D28+D29</f>
        <v/>
      </c>
      <c r="E30" s="24">
        <f>E24+E25+E26+E27+E28+E29</f>
        <v/>
      </c>
      <c r="F30" s="24">
        <f>F24+F25+F26+F27+F28+F29</f>
        <v/>
      </c>
      <c r="G30" s="24">
        <f>G24+G25+G26+G27+G28+G29</f>
        <v/>
      </c>
      <c r="H30" s="24">
        <f>H24+H25+H26+H27+H28+H29</f>
        <v/>
      </c>
      <c r="I30" s="24">
        <f>I24+I25+I26+I27+I28+I29</f>
        <v/>
      </c>
      <c r="J30" s="24">
        <f>J24+J25+J26+J27+J28+J29</f>
        <v/>
      </c>
      <c r="K30" s="24">
        <f>K24+K25+K26+K27+K28+K29</f>
        <v/>
      </c>
      <c r="L30" s="24">
        <f>L24+L25+L26+L27+L28+L29</f>
        <v/>
      </c>
      <c r="M30" s="24">
        <f>M24+M25+M26+M27+M28+M29</f>
        <v/>
      </c>
      <c r="N30" s="24">
        <f>N24+N25+N26+N27+N28+N29</f>
        <v/>
      </c>
      <c r="O30" s="24">
        <f>O24+O25+O26+O27+O28+O29</f>
        <v/>
      </c>
      <c r="P30" s="24">
        <f>P24+P25+P26+P27+P28+P29</f>
        <v/>
      </c>
      <c r="Q30" s="24">
        <f>Q24+Q25+Q26+Q27+Q28+Q29</f>
        <v/>
      </c>
      <c r="R30" s="24">
        <f>R24+R25+R26+R27+R28+R29</f>
        <v/>
      </c>
      <c r="S30" s="24">
        <f>S24+S25+S26+S27+S28+S29</f>
        <v/>
      </c>
      <c r="T30" s="24">
        <f>T24+T25+T26+T27+T28+T29</f>
        <v/>
      </c>
      <c r="U30" s="24">
        <f>U24+U25+U26+U27+U28+U29</f>
        <v/>
      </c>
      <c r="V30" s="24">
        <f>V24+V25+V26+V27+V28+V29</f>
        <v/>
      </c>
      <c r="W30" s="24">
        <f>W24+W25+W26+W27+W28+W29</f>
        <v/>
      </c>
      <c r="X30" s="24">
        <f>X24+X25+X26+X27+X28+X29</f>
        <v/>
      </c>
      <c r="Y30" s="24">
        <f>Y24+Y25+Y26+Y27+Y28+Y29</f>
        <v/>
      </c>
      <c r="Z30" s="24">
        <f>Z24+Z25+Z26+Z27+Z28+Z29</f>
        <v/>
      </c>
      <c r="AA30" s="24">
        <f>AA24+AA25+AA26+AA27+AA28+AA29</f>
        <v/>
      </c>
      <c r="AB30" s="24">
        <f>AB24+AB25+AB26+AB27+AB28+AB29</f>
        <v/>
      </c>
      <c r="AC30" s="24">
        <f>AC24+AC25+AC26+AC27+AC28+AC29</f>
        <v/>
      </c>
      <c r="AD30" s="24">
        <f>AD24+AD25+AD26+AD27+AD28+AD29</f>
        <v/>
      </c>
      <c r="AE30" s="24">
        <f>AE24+AE25+AE26+AE27+AE28+AE29</f>
        <v/>
      </c>
      <c r="AF30" s="24">
        <f>AF24+AF25+AF26+AF27+AF28+AF29</f>
        <v/>
      </c>
      <c r="AG30" s="24">
        <f>AG24+AG25+AG26+AG27+AG28+AG29</f>
        <v/>
      </c>
      <c r="AH30" s="24">
        <f>AH24+AH25+AH26+AH27+AH28+AH29</f>
        <v/>
      </c>
      <c r="AI30" s="24">
        <f>AI24+AI25+AI26+AI27+AI28+AI29</f>
        <v/>
      </c>
      <c r="AJ30" s="24">
        <f>AJ24+AJ25+AJ26+AJ27+AJ28+AJ29</f>
        <v/>
      </c>
      <c r="AK30" s="11">
        <f>IF(N30&lt;&gt;0,(AB30-N30)/ABS(N30),0)</f>
        <v/>
      </c>
      <c r="AL30" s="11">
        <f>IF(AB30&lt;&gt;0,(AJ30-AB30)/ABS(AB30),0)</f>
        <v/>
      </c>
    </row>
    <row r="31" ht="5" customHeight="1"/>
    <row r="32" ht="13" customHeight="1">
      <c r="A32" s="14" t="inlineStr">
        <is>
          <t>Premises &amp; Admin</t>
        </is>
      </c>
    </row>
    <row r="33" ht="13" customHeight="1">
      <c r="A33" s="25" t="inlineStr">
        <is>
          <t xml:space="preserve">    Rent</t>
        </is>
      </c>
      <c r="B33" s="26" t="n">
        <v>0</v>
      </c>
      <c r="C33" s="26" t="n">
        <v>0</v>
      </c>
      <c r="D33" s="26" t="n">
        <v>0</v>
      </c>
      <c r="E33" s="26" t="n">
        <v>0</v>
      </c>
      <c r="F33" s="26" t="n">
        <v>0</v>
      </c>
      <c r="G33" s="26" t="n">
        <v>0</v>
      </c>
      <c r="H33" s="26" t="n">
        <v>0</v>
      </c>
      <c r="I33" s="26" t="n">
        <v>0</v>
      </c>
      <c r="J33" s="26" t="n">
        <v>0</v>
      </c>
      <c r="K33" s="26" t="n">
        <v>0</v>
      </c>
      <c r="L33" s="26" t="n">
        <v>0</v>
      </c>
      <c r="M33" s="26" t="n">
        <v>0</v>
      </c>
      <c r="N33" s="26">
        <f>SUM(B33:M33)</f>
        <v/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  <c r="V33" s="26" t="n">
        <v>0</v>
      </c>
      <c r="W33" s="26" t="n">
        <v>0</v>
      </c>
      <c r="X33" s="26" t="n">
        <v>0</v>
      </c>
      <c r="Y33" s="26" t="n">
        <v>0</v>
      </c>
      <c r="Z33" s="26" t="n">
        <v>0</v>
      </c>
      <c r="AA33" s="26">
        <f>SUM(O33:U33)</f>
        <v/>
      </c>
      <c r="AB33" s="26">
        <f>SUM(O33:Z33)</f>
        <v/>
      </c>
      <c r="AC33" s="26" t="n">
        <v>0</v>
      </c>
      <c r="AD33" s="26" t="n">
        <v>0</v>
      </c>
      <c r="AE33" s="26" t="n">
        <v>0</v>
      </c>
      <c r="AF33" s="26" t="n">
        <v>0</v>
      </c>
      <c r="AG33" s="26" t="n">
        <v>0</v>
      </c>
      <c r="AH33" s="26" t="n">
        <v>0</v>
      </c>
      <c r="AI33" s="34">
        <f>SUM(AC33:AH33)</f>
        <v/>
      </c>
      <c r="AJ33" s="26">
        <f>SUM(AC33:AH33)+AI33</f>
        <v/>
      </c>
      <c r="AK33" s="11">
        <f>IF(N33&lt;&gt;0,(AB33-N33)/ABS(N33),0)</f>
        <v/>
      </c>
      <c r="AL33" s="11">
        <f>IF(AB33&lt;&gt;0,(AJ33-AB33)/ABS(AB33),0)</f>
        <v/>
      </c>
    </row>
    <row r="34" ht="13" customHeight="1">
      <c r="A34" s="25" t="inlineStr">
        <is>
          <t xml:space="preserve">    Business Rates</t>
        </is>
      </c>
      <c r="B34" s="26" t="n">
        <v>1263.58</v>
      </c>
      <c r="C34" s="26" t="n">
        <v>1263.58</v>
      </c>
      <c r="D34" s="26" t="n">
        <v>1300.46</v>
      </c>
      <c r="E34" s="26" t="n">
        <v>1263.58</v>
      </c>
      <c r="F34" s="26" t="n">
        <v>1263.59</v>
      </c>
      <c r="G34" s="26" t="n">
        <v>1263.58</v>
      </c>
      <c r="H34" s="26" t="n">
        <v>1263.58</v>
      </c>
      <c r="I34" s="26" t="n">
        <v>1263.58</v>
      </c>
      <c r="J34" s="26" t="n">
        <v>1263.58</v>
      </c>
      <c r="K34" s="26" t="n">
        <v>1263.58</v>
      </c>
      <c r="L34" s="26" t="n">
        <v>1263.58</v>
      </c>
      <c r="M34" s="26" t="n">
        <v>1263.58</v>
      </c>
      <c r="N34" s="26">
        <f>SUM(B34:M34)</f>
        <v/>
      </c>
      <c r="O34" s="26" t="n">
        <v>1263.61</v>
      </c>
      <c r="P34" s="26" t="n">
        <v>1263.59</v>
      </c>
      <c r="Q34" s="26" t="n">
        <v>1226.7</v>
      </c>
      <c r="R34" s="26" t="n">
        <v>1502.59</v>
      </c>
      <c r="S34" s="26" t="n">
        <v>1502.59</v>
      </c>
      <c r="T34" s="26" t="n">
        <v>1502.59</v>
      </c>
      <c r="U34" s="26" t="n">
        <v>1502.59</v>
      </c>
      <c r="AA34" s="26">
        <f>SUM(O34:U34)</f>
        <v/>
      </c>
      <c r="AB34" s="26">
        <f>SUM(O34:Z34)</f>
        <v/>
      </c>
      <c r="AC34" s="26" t="n">
        <v>1503</v>
      </c>
      <c r="AD34" s="26" t="n">
        <v>1503</v>
      </c>
      <c r="AE34" s="26" t="n">
        <v>1503</v>
      </c>
      <c r="AF34" s="26" t="n">
        <v>1503</v>
      </c>
      <c r="AG34" s="26" t="n">
        <v>1503</v>
      </c>
      <c r="AH34" s="26" t="n">
        <v>1503</v>
      </c>
      <c r="AI34" s="34">
        <f>SUM(AC34:AH34)</f>
        <v/>
      </c>
      <c r="AJ34" s="26">
        <f>SUM(AC34:AH34)+AI34</f>
        <v/>
      </c>
      <c r="AK34" s="11">
        <f>IF(N34&lt;&gt;0,(AB34-N34)/ABS(N34),0)</f>
        <v/>
      </c>
      <c r="AL34" s="11">
        <f>IF(AB34&lt;&gt;0,(AJ34-AB34)/ABS(AB34),0)</f>
        <v/>
      </c>
    </row>
    <row r="35" ht="13" customHeight="1">
      <c r="A35" s="25" t="inlineStr">
        <is>
          <t xml:space="preserve">    Utilities</t>
        </is>
      </c>
      <c r="B35" s="26" t="n">
        <v>1548.48</v>
      </c>
      <c r="C35" s="26" t="n">
        <v>1795.97</v>
      </c>
      <c r="D35" s="26" t="n">
        <v>1775.8</v>
      </c>
      <c r="E35" s="26" t="n">
        <v>1821.43</v>
      </c>
      <c r="F35" s="26" t="n">
        <v>994.7900000000001</v>
      </c>
      <c r="G35" s="26" t="n">
        <v>965.26</v>
      </c>
      <c r="H35" s="26" t="n">
        <v>867.74</v>
      </c>
      <c r="I35" s="26" t="n">
        <v>930.28</v>
      </c>
      <c r="J35" s="26" t="n">
        <v>882.15</v>
      </c>
      <c r="K35" s="26" t="n">
        <v>955.24</v>
      </c>
      <c r="L35" s="26" t="n">
        <v>1003.91</v>
      </c>
      <c r="M35" s="26" t="n">
        <v>347.26</v>
      </c>
      <c r="N35" s="26">
        <f>SUM(B35:M35)</f>
        <v/>
      </c>
      <c r="O35" s="26" t="n">
        <v>575.26</v>
      </c>
      <c r="P35" s="26" t="n">
        <v>953.1100000000001</v>
      </c>
      <c r="Q35" s="26" t="n">
        <v>662.26</v>
      </c>
      <c r="R35" s="26" t="n">
        <v>865.9299999999999</v>
      </c>
      <c r="S35" s="26" t="n">
        <v>733.6800000000001</v>
      </c>
      <c r="T35" s="26" t="n">
        <v>1252</v>
      </c>
      <c r="U35" s="26" t="n">
        <v>0</v>
      </c>
      <c r="AA35" s="26">
        <f>SUM(O35:U35)</f>
        <v/>
      </c>
      <c r="AB35" s="26">
        <f>SUM(O35:Z35)</f>
        <v/>
      </c>
      <c r="AC35" s="26" t="n">
        <v>840</v>
      </c>
      <c r="AD35" s="26" t="n">
        <v>840</v>
      </c>
      <c r="AE35" s="26" t="n">
        <v>840</v>
      </c>
      <c r="AF35" s="26" t="n">
        <v>840</v>
      </c>
      <c r="AG35" s="26" t="n">
        <v>840</v>
      </c>
      <c r="AH35" s="26" t="n">
        <v>840</v>
      </c>
      <c r="AI35" s="34">
        <f>SUM(AC35:AH35)</f>
        <v/>
      </c>
      <c r="AJ35" s="26">
        <f>SUM(AC35:AH35)+AI35</f>
        <v/>
      </c>
      <c r="AK35" s="11">
        <f>IF(N35&lt;&gt;0,(AB35-N35)/ABS(N35),0)</f>
        <v/>
      </c>
      <c r="AL35" s="11">
        <f>IF(AB35&lt;&gt;0,(AJ35-AB35)/ABS(AB35),0)</f>
        <v/>
      </c>
    </row>
    <row r="36" ht="13" customHeight="1">
      <c r="A36" s="25" t="inlineStr">
        <is>
          <t xml:space="preserve">    Repairs &amp; Maintenance</t>
        </is>
      </c>
      <c r="B36" s="26" t="n">
        <v>524.33</v>
      </c>
      <c r="C36" s="26" t="n">
        <v>390.5599999999999</v>
      </c>
      <c r="D36" s="26" t="n">
        <v>512.22</v>
      </c>
      <c r="E36" s="26" t="n">
        <v>57.92</v>
      </c>
      <c r="F36" s="26" t="n">
        <v>489.11</v>
      </c>
      <c r="G36" s="26" t="n">
        <v>201.13</v>
      </c>
      <c r="H36" s="26" t="n">
        <v>134.13</v>
      </c>
      <c r="I36" s="26" t="n">
        <v>373.59</v>
      </c>
      <c r="J36" s="26" t="n">
        <v>106.35</v>
      </c>
      <c r="K36" s="26" t="n">
        <v>161.51</v>
      </c>
      <c r="L36" s="26" t="n">
        <v>300.59</v>
      </c>
      <c r="M36" s="26" t="n">
        <v>430.6</v>
      </c>
      <c r="N36" s="26">
        <f>SUM(B36:M36)</f>
        <v/>
      </c>
      <c r="O36" s="26" t="n">
        <v>84.8</v>
      </c>
      <c r="P36" s="26" t="n">
        <v>338.51</v>
      </c>
      <c r="Q36" s="26" t="n">
        <v>38.8</v>
      </c>
      <c r="R36" s="26" t="n">
        <v>60.25</v>
      </c>
      <c r="S36" s="26" t="n">
        <v>38.8</v>
      </c>
      <c r="T36" s="26" t="n">
        <v>38.8</v>
      </c>
      <c r="U36" s="26" t="n">
        <v>423.74</v>
      </c>
      <c r="AA36" s="26">
        <f>SUM(O36:U36)</f>
        <v/>
      </c>
      <c r="AB36" s="26">
        <f>SUM(O36:Z36)</f>
        <v/>
      </c>
      <c r="AC36" s="26" t="n">
        <v>0</v>
      </c>
      <c r="AD36" s="26" t="n">
        <v>0</v>
      </c>
      <c r="AE36" s="26" t="n">
        <v>0</v>
      </c>
      <c r="AF36" s="26" t="n">
        <v>0</v>
      </c>
      <c r="AG36" s="26" t="n">
        <v>0</v>
      </c>
      <c r="AH36" s="26" t="n">
        <v>0</v>
      </c>
      <c r="AI36" s="34">
        <f>SUM(AC36:AH36)</f>
        <v/>
      </c>
      <c r="AJ36" s="26">
        <f>SUM(AC36:AH36)+AI36</f>
        <v/>
      </c>
      <c r="AK36" s="11">
        <f>IF(N36&lt;&gt;0,(AB36-N36)/ABS(N36),0)</f>
        <v/>
      </c>
      <c r="AL36" s="11">
        <f>IF(AB36&lt;&gt;0,(AJ36-AB36)/ABS(AB36),0)</f>
        <v/>
      </c>
    </row>
    <row r="37" ht="13" customHeight="1">
      <c r="A37" s="25" t="inlineStr">
        <is>
          <t xml:space="preserve">    Cleaning</t>
        </is>
      </c>
      <c r="B37" s="26" t="n">
        <v>396.5600000000001</v>
      </c>
      <c r="C37" s="26" t="n">
        <v>271</v>
      </c>
      <c r="D37" s="26" t="n">
        <v>270.02</v>
      </c>
      <c r="E37" s="26" t="n">
        <v>362.36</v>
      </c>
      <c r="F37" s="26" t="n">
        <v>392.06</v>
      </c>
      <c r="G37" s="26" t="n">
        <v>280.72</v>
      </c>
      <c r="H37" s="26" t="n">
        <v>264.16</v>
      </c>
      <c r="I37" s="26" t="n">
        <v>300.25</v>
      </c>
      <c r="J37" s="26" t="n">
        <v>193.25</v>
      </c>
      <c r="K37" s="26" t="n">
        <v>369.08</v>
      </c>
      <c r="L37" s="26" t="n">
        <v>339.99</v>
      </c>
      <c r="M37" s="26" t="n">
        <v>119.65</v>
      </c>
      <c r="N37" s="26">
        <f>SUM(B37:M37)</f>
        <v/>
      </c>
      <c r="O37" s="26" t="n">
        <v>283.96</v>
      </c>
      <c r="P37" s="26" t="n">
        <v>153.09</v>
      </c>
      <c r="Q37" s="26" t="n">
        <v>338.52</v>
      </c>
      <c r="R37" s="26" t="n">
        <v>221.29</v>
      </c>
      <c r="S37" s="26" t="n">
        <v>202.63</v>
      </c>
      <c r="T37" s="26" t="n">
        <v>251.9</v>
      </c>
      <c r="U37" s="26" t="n">
        <v>296.34</v>
      </c>
      <c r="AA37" s="26">
        <f>SUM(O37:U37)</f>
        <v/>
      </c>
      <c r="AB37" s="26">
        <f>SUM(O37:Z37)</f>
        <v/>
      </c>
      <c r="AC37" s="26" t="n">
        <v>242</v>
      </c>
      <c r="AD37" s="26" t="n">
        <v>242</v>
      </c>
      <c r="AE37" s="26" t="n">
        <v>242</v>
      </c>
      <c r="AF37" s="26" t="n">
        <v>242</v>
      </c>
      <c r="AG37" s="26" t="n">
        <v>242</v>
      </c>
      <c r="AH37" s="26" t="n">
        <v>242</v>
      </c>
      <c r="AI37" s="34">
        <f>SUM(AC37:AH37)</f>
        <v/>
      </c>
      <c r="AJ37" s="26">
        <f>SUM(AC37:AH37)+AI37</f>
        <v/>
      </c>
      <c r="AK37" s="11">
        <f>IF(N37&lt;&gt;0,(AB37-N37)/ABS(N37),0)</f>
        <v/>
      </c>
      <c r="AL37" s="11">
        <f>IF(AB37&lt;&gt;0,(AJ37-AB37)/ABS(AB37),0)</f>
        <v/>
      </c>
    </row>
    <row r="38" ht="13" customHeight="1">
      <c r="A38" s="25" t="inlineStr">
        <is>
          <t xml:space="preserve">    Waste Disposal</t>
        </is>
      </c>
      <c r="B38" s="26" t="n">
        <v>308.93</v>
      </c>
      <c r="C38" s="26" t="n">
        <v>362.03</v>
      </c>
      <c r="D38" s="26" t="n">
        <v>281.93</v>
      </c>
      <c r="E38" s="26" t="n">
        <v>329.99</v>
      </c>
      <c r="F38" s="26" t="n">
        <v>314.02</v>
      </c>
      <c r="G38" s="26" t="n">
        <v>314.02</v>
      </c>
      <c r="H38" s="26" t="n">
        <v>389.84</v>
      </c>
      <c r="I38" s="26" t="n">
        <v>314.02</v>
      </c>
      <c r="J38" s="26" t="n">
        <v>540.8200000000001</v>
      </c>
      <c r="K38" s="26" t="n">
        <v>341.02</v>
      </c>
      <c r="L38" s="26" t="n">
        <v>314.02</v>
      </c>
      <c r="M38" s="26" t="n">
        <v>361.42</v>
      </c>
      <c r="N38" s="26">
        <f>SUM(B38:M38)</f>
        <v/>
      </c>
      <c r="O38" s="26" t="n">
        <v>169.69</v>
      </c>
      <c r="P38" s="26" t="n">
        <v>344.25</v>
      </c>
      <c r="Q38" s="26" t="n">
        <v>355.64</v>
      </c>
      <c r="R38" s="26" t="n">
        <v>190.59</v>
      </c>
      <c r="S38" s="26" t="n">
        <v>537.84</v>
      </c>
      <c r="T38" s="26" t="n">
        <v>192.13</v>
      </c>
      <c r="U38" s="26" t="n">
        <v>640</v>
      </c>
      <c r="AA38" s="26">
        <f>SUM(O38:U38)</f>
        <v/>
      </c>
      <c r="AB38" s="26">
        <f>SUM(O38:Z38)</f>
        <v/>
      </c>
      <c r="AC38" s="26" t="n">
        <v>298</v>
      </c>
      <c r="AD38" s="26" t="n">
        <v>298</v>
      </c>
      <c r="AE38" s="26" t="n">
        <v>298</v>
      </c>
      <c r="AF38" s="26" t="n">
        <v>298</v>
      </c>
      <c r="AG38" s="26" t="n">
        <v>298</v>
      </c>
      <c r="AH38" s="26" t="n">
        <v>298</v>
      </c>
      <c r="AI38" s="34">
        <f>SUM(AC38:AH38)</f>
        <v/>
      </c>
      <c r="AJ38" s="26">
        <f>SUM(AC38:AH38)+AI38</f>
        <v/>
      </c>
      <c r="AK38" s="11">
        <f>IF(N38&lt;&gt;0,(AB38-N38)/ABS(N38),0)</f>
        <v/>
      </c>
      <c r="AL38" s="11">
        <f>IF(AB38&lt;&gt;0,(AJ38-AB38)/ABS(AB38),0)</f>
        <v/>
      </c>
    </row>
    <row r="39" ht="13" customHeight="1">
      <c r="A39" s="25" t="inlineStr">
        <is>
          <t xml:space="preserve">    Postage/Printing/Stationery</t>
        </is>
      </c>
      <c r="B39" s="26" t="n">
        <v>557.6900000000001</v>
      </c>
      <c r="C39" s="26" t="n">
        <v>106.55</v>
      </c>
      <c r="D39" s="26" t="n">
        <v>240.41</v>
      </c>
      <c r="E39" s="26" t="n">
        <v>125.88</v>
      </c>
      <c r="F39" s="26" t="n">
        <v>167.31</v>
      </c>
      <c r="G39" s="26" t="n">
        <v>183.93</v>
      </c>
      <c r="H39" s="26" t="n">
        <v>95.75999999999999</v>
      </c>
      <c r="I39" s="26" t="n">
        <v>90.22</v>
      </c>
      <c r="J39" s="26" t="n">
        <v>53.93000000000001</v>
      </c>
      <c r="K39" s="26" t="n">
        <v>168.56</v>
      </c>
      <c r="L39" s="26" t="n">
        <v>112.62</v>
      </c>
      <c r="M39" s="26" t="n">
        <v>144.07</v>
      </c>
      <c r="N39" s="26">
        <f>SUM(B39:M39)</f>
        <v/>
      </c>
      <c r="O39" s="26" t="n">
        <v>42.06</v>
      </c>
      <c r="P39" s="26" t="n">
        <v>19.49</v>
      </c>
      <c r="Q39" s="26" t="n">
        <v>296.73</v>
      </c>
      <c r="R39" s="26" t="n">
        <v>95.23999999999999</v>
      </c>
      <c r="S39" s="26" t="n">
        <v>79.67</v>
      </c>
      <c r="T39" s="26" t="n">
        <v>89.72</v>
      </c>
      <c r="U39" s="26" t="n">
        <v>126.27</v>
      </c>
      <c r="AA39" s="26">
        <f>SUM(O39:U39)</f>
        <v/>
      </c>
      <c r="AB39" s="26">
        <f>SUM(O39:Z39)</f>
        <v/>
      </c>
      <c r="AC39" s="26" t="n">
        <v>0</v>
      </c>
      <c r="AD39" s="26" t="n">
        <v>0</v>
      </c>
      <c r="AE39" s="26" t="n">
        <v>0</v>
      </c>
      <c r="AF39" s="26" t="n">
        <v>0</v>
      </c>
      <c r="AG39" s="26" t="n">
        <v>0</v>
      </c>
      <c r="AH39" s="26" t="n">
        <v>0</v>
      </c>
      <c r="AI39" s="34">
        <f>SUM(AC39:AH39)</f>
        <v/>
      </c>
      <c r="AJ39" s="26">
        <f>SUM(AC39:AH39)+AI39</f>
        <v/>
      </c>
      <c r="AK39" s="11">
        <f>IF(N39&lt;&gt;0,(AB39-N39)/ABS(N39),0)</f>
        <v/>
      </c>
      <c r="AL39" s="11">
        <f>IF(AB39&lt;&gt;0,(AJ39-AB39)/ABS(AB39),0)</f>
        <v/>
      </c>
    </row>
    <row r="40" ht="13" customHeight="1">
      <c r="A40" s="25" t="inlineStr">
        <is>
          <t xml:space="preserve">    Telephone</t>
        </is>
      </c>
      <c r="B40" s="26" t="n">
        <v>0</v>
      </c>
      <c r="C40" s="26" t="n">
        <v>0</v>
      </c>
      <c r="D40" s="26" t="n">
        <v>0</v>
      </c>
      <c r="E40" s="26" t="n">
        <v>0</v>
      </c>
      <c r="F40" s="26" t="n">
        <v>0</v>
      </c>
      <c r="G40" s="26" t="n">
        <v>0</v>
      </c>
      <c r="H40" s="26" t="n">
        <v>0</v>
      </c>
      <c r="I40" s="26" t="n">
        <v>0</v>
      </c>
      <c r="J40" s="26" t="n">
        <v>0</v>
      </c>
      <c r="K40" s="26" t="n">
        <v>0</v>
      </c>
      <c r="L40" s="26" t="n">
        <v>0</v>
      </c>
      <c r="M40" s="26" t="n">
        <v>0</v>
      </c>
      <c r="N40" s="26">
        <f>SUM(B40:M40)</f>
        <v/>
      </c>
      <c r="O40" s="26" t="n">
        <v>54.7</v>
      </c>
      <c r="P40" s="26" t="n">
        <v>23.94</v>
      </c>
      <c r="Q40" s="26" t="n">
        <v>66.09999999999999</v>
      </c>
      <c r="R40" s="26" t="n">
        <v>71.94</v>
      </c>
      <c r="S40" s="26" t="n">
        <v>19.94</v>
      </c>
      <c r="T40" s="26" t="n">
        <v>81.72</v>
      </c>
      <c r="U40" s="26" t="n">
        <v>0</v>
      </c>
      <c r="AA40" s="26">
        <f>SUM(O40:U40)</f>
        <v/>
      </c>
      <c r="AB40" s="26">
        <f>SUM(O40:Z40)</f>
        <v/>
      </c>
      <c r="AC40" s="26" t="n">
        <v>0</v>
      </c>
      <c r="AD40" s="26" t="n">
        <v>0</v>
      </c>
      <c r="AE40" s="26" t="n">
        <v>0</v>
      </c>
      <c r="AF40" s="26" t="n">
        <v>0</v>
      </c>
      <c r="AG40" s="26" t="n">
        <v>0</v>
      </c>
      <c r="AH40" s="26" t="n">
        <v>0</v>
      </c>
      <c r="AI40" s="34">
        <f>SUM(AC40:AH40)</f>
        <v/>
      </c>
      <c r="AJ40" s="26">
        <f>SUM(AC40:AH40)+AI40</f>
        <v/>
      </c>
      <c r="AK40" s="11">
        <f>IF(N40&lt;&gt;0,(AB40-N40)/ABS(N40),0)</f>
        <v/>
      </c>
      <c r="AL40" s="11">
        <f>IF(AB40&lt;&gt;0,(AJ40-AB40)/ABS(AB40),0)</f>
        <v/>
      </c>
    </row>
    <row r="41" ht="13" customHeight="1">
      <c r="A41" s="25" t="inlineStr">
        <is>
          <t xml:space="preserve">    Marketing</t>
        </is>
      </c>
      <c r="B41" s="26" t="n">
        <v>0</v>
      </c>
      <c r="C41" s="26" t="n">
        <v>0</v>
      </c>
      <c r="D41" s="26" t="n">
        <v>0</v>
      </c>
      <c r="E41" s="26" t="n">
        <v>0</v>
      </c>
      <c r="F41" s="26" t="n">
        <v>0</v>
      </c>
      <c r="G41" s="26" t="n">
        <v>0</v>
      </c>
      <c r="H41" s="26" t="n">
        <v>0</v>
      </c>
      <c r="I41" s="26" t="n">
        <v>0</v>
      </c>
      <c r="J41" s="26" t="n">
        <v>57</v>
      </c>
      <c r="K41" s="26" t="n">
        <v>324.79</v>
      </c>
      <c r="L41" s="26" t="n">
        <v>0</v>
      </c>
      <c r="M41" s="26" t="n">
        <v>0</v>
      </c>
      <c r="N41" s="26">
        <f>SUM(B41:M41)</f>
        <v/>
      </c>
      <c r="O41" s="26" t="n">
        <v>0</v>
      </c>
      <c r="P41" s="26" t="n">
        <v>0</v>
      </c>
      <c r="Q41" s="26" t="n">
        <v>0</v>
      </c>
      <c r="R41" s="26" t="n">
        <v>0</v>
      </c>
      <c r="S41" s="26" t="n">
        <v>0</v>
      </c>
      <c r="T41" s="26" t="n">
        <v>0</v>
      </c>
      <c r="U41" s="26" t="n">
        <v>0</v>
      </c>
      <c r="V41" s="26" t="n">
        <v>0</v>
      </c>
      <c r="W41" s="26" t="n">
        <v>0</v>
      </c>
      <c r="X41" s="26" t="n">
        <v>0</v>
      </c>
      <c r="Y41" s="26" t="n">
        <v>0</v>
      </c>
      <c r="Z41" s="26" t="n">
        <v>0</v>
      </c>
      <c r="AA41" s="26">
        <f>SUM(O41:U41)</f>
        <v/>
      </c>
      <c r="AB41" s="26">
        <f>SUM(O41:Z41)</f>
        <v/>
      </c>
      <c r="AC41" s="26" t="n">
        <v>100</v>
      </c>
      <c r="AD41" s="26" t="n">
        <v>100</v>
      </c>
      <c r="AE41" s="26" t="n">
        <v>100</v>
      </c>
      <c r="AF41" s="26" t="n">
        <v>100</v>
      </c>
      <c r="AG41" s="26" t="n">
        <v>100</v>
      </c>
      <c r="AH41" s="26" t="n">
        <v>100</v>
      </c>
      <c r="AI41" s="34">
        <f>SUM(AC41:AH41)</f>
        <v/>
      </c>
      <c r="AJ41" s="26">
        <f>SUM(AC41:AH41)+AI41</f>
        <v/>
      </c>
      <c r="AK41" s="11">
        <f>IF(N41&lt;&gt;0,(AB41-N41)/ABS(N41),0)</f>
        <v/>
      </c>
      <c r="AL41" s="11">
        <f>IF(AB41&lt;&gt;0,(AJ41-AB41)/ABS(AB41),0)</f>
        <v/>
      </c>
    </row>
    <row r="42" ht="13" customHeight="1">
      <c r="A42" s="27" t="inlineStr">
        <is>
          <t>Total Premises &amp; Admin</t>
        </is>
      </c>
      <c r="B42" s="28">
        <f>B33+B34+B35+B36+B37+B38+B39+B40+B41</f>
        <v/>
      </c>
      <c r="C42" s="28">
        <f>C33+C34+C35+C36+C37+C38+C39+C40+C41</f>
        <v/>
      </c>
      <c r="D42" s="28">
        <f>D33+D34+D35+D36+D37+D38+D39+D40+D41</f>
        <v/>
      </c>
      <c r="E42" s="28">
        <f>E33+E34+E35+E36+E37+E38+E39+E40+E41</f>
        <v/>
      </c>
      <c r="F42" s="28">
        <f>F33+F34+F35+F36+F37+F38+F39+F40+F41</f>
        <v/>
      </c>
      <c r="G42" s="28">
        <f>G33+G34+G35+G36+G37+G38+G39+G40+G41</f>
        <v/>
      </c>
      <c r="H42" s="28">
        <f>H33+H34+H35+H36+H37+H38+H39+H40+H41</f>
        <v/>
      </c>
      <c r="I42" s="28">
        <f>I33+I34+I35+I36+I37+I38+I39+I40+I41</f>
        <v/>
      </c>
      <c r="J42" s="28">
        <f>J33+J34+J35+J36+J37+J38+J39+J40+J41</f>
        <v/>
      </c>
      <c r="K42" s="28">
        <f>K33+K34+K35+K36+K37+K38+K39+K40+K41</f>
        <v/>
      </c>
      <c r="L42" s="28">
        <f>L33+L34+L35+L36+L37+L38+L39+L40+L41</f>
        <v/>
      </c>
      <c r="M42" s="28">
        <f>M33+M34+M35+M36+M37+M38+M39+M40+M41</f>
        <v/>
      </c>
      <c r="N42" s="28">
        <f>N33+N34+N35+N36+N37+N38+N39+N40+N41</f>
        <v/>
      </c>
      <c r="O42" s="28">
        <f>O33+O34+O35+O36+O37+O38+O39+O40+O41</f>
        <v/>
      </c>
      <c r="P42" s="28">
        <f>P33+P34+P35+P36+P37+P38+P39+P40+P41</f>
        <v/>
      </c>
      <c r="Q42" s="28">
        <f>Q33+Q34+Q35+Q36+Q37+Q38+Q39+Q40+Q41</f>
        <v/>
      </c>
      <c r="R42" s="28">
        <f>R33+R34+R35+R36+R37+R38+R39+R40+R41</f>
        <v/>
      </c>
      <c r="S42" s="28">
        <f>S33+S34+S35+S36+S37+S38+S39+S40+S41</f>
        <v/>
      </c>
      <c r="T42" s="28">
        <f>T33+T34+T35+T36+T37+T38+T39+T40+T41</f>
        <v/>
      </c>
      <c r="U42" s="28">
        <f>U33+U34+U35+U36+U37+U38+U39+U40+U41</f>
        <v/>
      </c>
      <c r="V42" s="28">
        <f>V33+V34+V35+V36+V37+V38+V39+V40+V41</f>
        <v/>
      </c>
      <c r="W42" s="28">
        <f>W33+W34+W35+W36+W37+W38+W39+W40+W41</f>
        <v/>
      </c>
      <c r="X42" s="28">
        <f>X33+X34+X35+X36+X37+X38+X39+X40+X41</f>
        <v/>
      </c>
      <c r="Y42" s="28">
        <f>Y33+Y34+Y35+Y36+Y37+Y38+Y39+Y40+Y41</f>
        <v/>
      </c>
      <c r="Z42" s="28">
        <f>Z33+Z34+Z35+Z36+Z37+Z38+Z39+Z40+Z41</f>
        <v/>
      </c>
      <c r="AA42" s="28">
        <f>AA33+AA34+AA35+AA36+AA37+AA38+AA39+AA40+AA41</f>
        <v/>
      </c>
      <c r="AB42" s="28">
        <f>AB33+AB34+AB35+AB36+AB37+AB38+AB39+AB40+AB41</f>
        <v/>
      </c>
      <c r="AC42" s="28">
        <f>AC33+AC34+AC35+AC36+AC37+AC38+AC39+AC40+AC41</f>
        <v/>
      </c>
      <c r="AD42" s="28">
        <f>AD33+AD34+AD35+AD36+AD37+AD38+AD39+AD40+AD41</f>
        <v/>
      </c>
      <c r="AE42" s="28">
        <f>AE33+AE34+AE35+AE36+AE37+AE38+AE39+AE40+AE41</f>
        <v/>
      </c>
      <c r="AF42" s="28">
        <f>AF33+AF34+AF35+AF36+AF37+AF38+AF39+AF40+AF41</f>
        <v/>
      </c>
      <c r="AG42" s="28">
        <f>AG33+AG34+AG35+AG36+AG37+AG38+AG39+AG40+AG41</f>
        <v/>
      </c>
      <c r="AH42" s="28">
        <f>AH33+AH34+AH35+AH36+AH37+AH38+AH39+AH40+AH41</f>
        <v/>
      </c>
      <c r="AI42" s="28">
        <f>AI33+AI34+AI35+AI36+AI37+AI38+AI39+AI40+AI41</f>
        <v/>
      </c>
      <c r="AJ42" s="28">
        <f>AJ33+AJ34+AJ35+AJ36+AJ37+AJ38+AJ39+AJ40+AJ41</f>
        <v/>
      </c>
      <c r="AK42" s="11">
        <f>IF(N42&lt;&gt;0,(AB42-N42)/ABS(N42),0)</f>
        <v/>
      </c>
      <c r="AL42" s="11">
        <f>IF(AB42&lt;&gt;0,(AJ42-AB42)/ABS(AB42),0)</f>
        <v/>
      </c>
    </row>
    <row r="43" ht="5" customHeight="1"/>
    <row r="44" ht="13" customHeight="1">
      <c r="A44" s="29" t="inlineStr">
        <is>
          <t>Total Direct Costs</t>
        </is>
      </c>
      <c r="AK44" s="11">
        <f>IF(N44&lt;&gt;0,(AB44-N44)/ABS(N44),0)</f>
        <v/>
      </c>
      <c r="AL44" s="11">
        <f>IF(AB44&lt;&gt;0,(AJ44-AB44)/ABS(AB44),0)</f>
        <v/>
      </c>
    </row>
    <row r="45" ht="5" customHeight="1"/>
    <row r="46" ht="15" customHeight="1">
      <c r="A46" s="30" t="inlineStr">
        <is>
          <t>CONTRIBUTION</t>
        </is>
      </c>
      <c r="B46" s="31">
        <f>B7-B44</f>
        <v/>
      </c>
      <c r="C46" s="31">
        <f>C7-C44</f>
        <v/>
      </c>
      <c r="D46" s="31">
        <f>D7-D44</f>
        <v/>
      </c>
      <c r="E46" s="31">
        <f>E7-E44</f>
        <v/>
      </c>
      <c r="F46" s="31">
        <f>F7-F44</f>
        <v/>
      </c>
      <c r="G46" s="31">
        <f>G7-G44</f>
        <v/>
      </c>
      <c r="H46" s="31">
        <f>H7-H44</f>
        <v/>
      </c>
      <c r="I46" s="31">
        <f>I7-I44</f>
        <v/>
      </c>
      <c r="J46" s="31">
        <f>J7-J44</f>
        <v/>
      </c>
      <c r="K46" s="31">
        <f>K7-K44</f>
        <v/>
      </c>
      <c r="L46" s="31">
        <f>L7-L44</f>
        <v/>
      </c>
      <c r="M46" s="31">
        <f>M7-M44</f>
        <v/>
      </c>
      <c r="N46" s="31">
        <f>N7-N44</f>
        <v/>
      </c>
      <c r="O46" s="31">
        <f>O7-O44</f>
        <v/>
      </c>
      <c r="P46" s="31">
        <f>P7-P44</f>
        <v/>
      </c>
      <c r="Q46" s="31">
        <f>Q7-Q44</f>
        <v/>
      </c>
      <c r="R46" s="31">
        <f>R7-R44</f>
        <v/>
      </c>
      <c r="S46" s="31">
        <f>S7-S44</f>
        <v/>
      </c>
      <c r="T46" s="31">
        <f>T7-T44</f>
        <v/>
      </c>
      <c r="U46" s="31">
        <f>U7-U44</f>
        <v/>
      </c>
      <c r="V46" s="31">
        <f>V7-V44</f>
        <v/>
      </c>
      <c r="W46" s="31">
        <f>W7-W44</f>
        <v/>
      </c>
      <c r="X46" s="31">
        <f>X7-X44</f>
        <v/>
      </c>
      <c r="Y46" s="31">
        <f>Y7-Y44</f>
        <v/>
      </c>
      <c r="Z46" s="31">
        <f>Z7-Z44</f>
        <v/>
      </c>
      <c r="AA46" s="31">
        <f>AA7-AA44</f>
        <v/>
      </c>
      <c r="AB46" s="31">
        <f>AB7-AB44</f>
        <v/>
      </c>
      <c r="AC46" s="31">
        <f>AC7-AC44</f>
        <v/>
      </c>
      <c r="AD46" s="31">
        <f>AD7-AD44</f>
        <v/>
      </c>
      <c r="AE46" s="31">
        <f>AE7-AE44</f>
        <v/>
      </c>
      <c r="AF46" s="31">
        <f>AF7-AF44</f>
        <v/>
      </c>
      <c r="AG46" s="31">
        <f>AG7-AG44</f>
        <v/>
      </c>
      <c r="AH46" s="31">
        <f>AH7-AH44</f>
        <v/>
      </c>
      <c r="AI46" s="31">
        <f>AI7-AI44</f>
        <v/>
      </c>
      <c r="AJ46" s="31">
        <f>AJ7-AJ44</f>
        <v/>
      </c>
      <c r="AK46" s="11">
        <f>IF(N46&lt;&gt;0,(AB46-N46)/ABS(N46),0)</f>
        <v/>
      </c>
      <c r="AL46" s="11">
        <f>IF(AB46&lt;&gt;0,(AJ46-AB46)/ABS(AB46),0)</f>
        <v/>
      </c>
    </row>
  </sheetData>
  <mergeCells count="8">
    <mergeCell ref="A10:AL10"/>
    <mergeCell ref="B1:N1"/>
    <mergeCell ref="A23:AL23"/>
    <mergeCell ref="A32:AL32"/>
    <mergeCell ref="AC1:AJ1"/>
    <mergeCell ref="A9:AL9"/>
    <mergeCell ref="A3:AL3"/>
    <mergeCell ref="O1:AB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L4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9.5" customWidth="1" min="27" max="27"/>
    <col width="9.5" customWidth="1" min="28" max="28"/>
    <col width="9.5" customWidth="1" min="29" max="29"/>
    <col width="9.5" customWidth="1" min="30" max="30"/>
    <col width="9.5" customWidth="1" min="31" max="31"/>
    <col width="9.5" customWidth="1" min="32" max="32"/>
    <col width="9.5" customWidth="1" min="33" max="33"/>
    <col width="9.5" customWidth="1" min="34" max="34"/>
    <col width="9.5" customWidth="1" min="35" max="35"/>
    <col width="11" customWidth="1" min="36" max="36"/>
    <col width="10" customWidth="1" min="37" max="37"/>
    <col width="10" customWidth="1" min="38" max="38"/>
  </cols>
  <sheetData>
    <row r="1" ht="18" customHeight="1">
      <c r="A1" s="1" t="inlineStr">
        <is>
          <t>Stepping Stones</t>
        </is>
      </c>
      <c r="B1" s="2" t="inlineStr">
        <is>
          <t>Actuals 2025</t>
        </is>
      </c>
      <c r="O1" s="2" t="inlineStr">
        <is>
          <t>2026 Actual / Forecast</t>
        </is>
      </c>
      <c r="AC1" s="32" t="inlineStr">
        <is>
          <t>2027 Plan</t>
        </is>
      </c>
      <c r="AK1" s="3" t="inlineStr">
        <is>
          <t>YoY</t>
        </is>
      </c>
      <c r="AL1" s="3" t="inlineStr">
        <is>
          <t>YoY</t>
        </is>
      </c>
    </row>
    <row r="2" ht="22" customHeight="1">
      <c r="B2" s="4" t="inlineStr">
        <is>
          <t>Jan</t>
        </is>
      </c>
      <c r="C2" s="4" t="inlineStr">
        <is>
          <t>Feb</t>
        </is>
      </c>
      <c r="D2" s="4" t="inlineStr">
        <is>
          <t>Mar</t>
        </is>
      </c>
      <c r="E2" s="4" t="inlineStr">
        <is>
          <t>Apr</t>
        </is>
      </c>
      <c r="F2" s="4" t="inlineStr">
        <is>
          <t>May</t>
        </is>
      </c>
      <c r="G2" s="4" t="inlineStr">
        <is>
          <t>Jun</t>
        </is>
      </c>
      <c r="H2" s="4" t="inlineStr">
        <is>
          <t>Jul</t>
        </is>
      </c>
      <c r="I2" s="4" t="inlineStr">
        <is>
          <t>Aug</t>
        </is>
      </c>
      <c r="J2" s="4" t="inlineStr">
        <is>
          <t>Sep</t>
        </is>
      </c>
      <c r="K2" s="4" t="inlineStr">
        <is>
          <t>Oct</t>
        </is>
      </c>
      <c r="L2" s="4" t="inlineStr">
        <is>
          <t>Nov</t>
        </is>
      </c>
      <c r="M2" s="4" t="inlineStr">
        <is>
          <t>Dec</t>
        </is>
      </c>
      <c r="N2" s="5" t="inlineStr">
        <is>
          <t>FY2025
Total</t>
        </is>
      </c>
      <c r="O2" s="4" t="inlineStr">
        <is>
          <t>Jan</t>
        </is>
      </c>
      <c r="P2" s="4" t="inlineStr">
        <is>
          <t>Feb</t>
        </is>
      </c>
      <c r="Q2" s="4" t="inlineStr">
        <is>
          <t>Mar</t>
        </is>
      </c>
      <c r="R2" s="4" t="inlineStr">
        <is>
          <t>Apr</t>
        </is>
      </c>
      <c r="S2" s="4" t="inlineStr">
        <is>
          <t>May</t>
        </is>
      </c>
      <c r="T2" s="4" t="inlineStr">
        <is>
          <t>Jun</t>
        </is>
      </c>
      <c r="U2" s="4" t="inlineStr">
        <is>
          <t>Jul</t>
        </is>
      </c>
      <c r="V2" s="4" t="inlineStr">
        <is>
          <t>Aug</t>
        </is>
      </c>
      <c r="W2" s="4" t="inlineStr">
        <is>
          <t>Sep</t>
        </is>
      </c>
      <c r="X2" s="4" t="inlineStr">
        <is>
          <t>Oct</t>
        </is>
      </c>
      <c r="Y2" s="4" t="inlineStr">
        <is>
          <t>Nov</t>
        </is>
      </c>
      <c r="Z2" s="4" t="inlineStr">
        <is>
          <t>Dec</t>
        </is>
      </c>
      <c r="AA2" s="4" t="inlineStr">
        <is>
          <t>YTD</t>
        </is>
      </c>
      <c r="AB2" s="5" t="inlineStr">
        <is>
          <t>FY2026
Outlook</t>
        </is>
      </c>
      <c r="AC2" s="4" t="inlineStr">
        <is>
          <t>Jan</t>
        </is>
      </c>
      <c r="AD2" s="4" t="inlineStr">
        <is>
          <t>Feb</t>
        </is>
      </c>
      <c r="AE2" s="4" t="inlineStr">
        <is>
          <t>Mar</t>
        </is>
      </c>
      <c r="AF2" s="4" t="inlineStr">
        <is>
          <t>Apr</t>
        </is>
      </c>
      <c r="AG2" s="4" t="inlineStr">
        <is>
          <t>May</t>
        </is>
      </c>
      <c r="AH2" s="4" t="inlineStr">
        <is>
          <t>Jun</t>
        </is>
      </c>
      <c r="AI2" s="33" t="inlineStr">
        <is>
          <t>Jul-Dec
Plan</t>
        </is>
      </c>
      <c r="AJ2" s="4" t="inlineStr">
        <is>
          <t>FY2027</t>
        </is>
      </c>
      <c r="AK2" s="6" t="inlineStr">
        <is>
          <t>25→26
%</t>
        </is>
      </c>
      <c r="AL2" s="6" t="inlineStr">
        <is>
          <t>26→27
%</t>
        </is>
      </c>
    </row>
    <row r="3" ht="15" customHeight="1">
      <c r="A3" s="7" t="inlineStr">
        <is>
          <t>INCOME</t>
        </is>
      </c>
    </row>
    <row r="4" ht="13" customHeight="1">
      <c r="A4" s="8" t="inlineStr">
        <is>
          <t xml:space="preserve">    Fee Income Regular</t>
        </is>
      </c>
      <c r="B4" s="9" t="n">
        <v>47272.73</v>
      </c>
      <c r="C4" s="9" t="n">
        <v>41439.07</v>
      </c>
      <c r="D4" s="9" t="n">
        <v>47933.15</v>
      </c>
      <c r="E4" s="9" t="n">
        <v>50993.37</v>
      </c>
      <c r="F4" s="9" t="n">
        <v>45605.89</v>
      </c>
      <c r="G4" s="9" t="n">
        <v>43338.36</v>
      </c>
      <c r="H4" s="9" t="n">
        <v>49651.73</v>
      </c>
      <c r="I4" s="9" t="n">
        <v>45155.16</v>
      </c>
      <c r="J4" s="9" t="n">
        <v>35763.55</v>
      </c>
      <c r="K4" s="9" t="n">
        <v>37137.94</v>
      </c>
      <c r="L4" s="9" t="n">
        <v>34126.29</v>
      </c>
      <c r="M4" s="9" t="n">
        <v>43136.03</v>
      </c>
      <c r="N4" s="9">
        <f>SUM(B4:M4)</f>
        <v/>
      </c>
      <c r="O4" s="9" t="n">
        <v>39923</v>
      </c>
      <c r="P4" s="9" t="n">
        <v>37444.52</v>
      </c>
      <c r="Q4" s="9" t="n">
        <v>38993.25999999999</v>
      </c>
      <c r="R4" s="9" t="n">
        <v>44955.40999999999</v>
      </c>
      <c r="S4" s="9" t="n">
        <v>36870.75999999999</v>
      </c>
      <c r="T4" s="9" t="n">
        <v>38820.41</v>
      </c>
      <c r="U4" s="9" t="n">
        <v>49058.80000000001</v>
      </c>
      <c r="AA4" s="9">
        <f>SUM(O4:U4)</f>
        <v/>
      </c>
      <c r="AB4" s="9">
        <f>SUM(O4:Z4)</f>
        <v/>
      </c>
      <c r="AC4" s="9" t="n">
        <v>42836.88</v>
      </c>
      <c r="AD4" s="9" t="n">
        <v>32424.51</v>
      </c>
      <c r="AE4" s="9" t="n">
        <v>55090.04</v>
      </c>
      <c r="AF4" s="9" t="n">
        <v>42857.01</v>
      </c>
      <c r="AG4" s="9" t="n">
        <v>43360.87</v>
      </c>
      <c r="AH4" s="9" t="n">
        <v>39588.43</v>
      </c>
      <c r="AI4" s="34">
        <f>SUM(AC4:AH4)</f>
        <v/>
      </c>
      <c r="AJ4" s="9">
        <f>SUM(AC4:AH4)+AI4</f>
        <v/>
      </c>
      <c r="AK4" s="11">
        <f>IF(N4&lt;&gt;0,(AB4-N4)/ABS(N4),0)</f>
        <v/>
      </c>
      <c r="AL4" s="11">
        <f>IF(AB4&lt;&gt;0,(AJ4-AB4)/ABS(AB4),0)</f>
        <v/>
      </c>
    </row>
    <row r="5" ht="13" customHeight="1">
      <c r="A5" s="8" t="inlineStr">
        <is>
          <t xml:space="preserve">    EEEF Embedded</t>
        </is>
      </c>
      <c r="B5" s="9" t="n">
        <v>13845.22</v>
      </c>
      <c r="C5" s="9" t="n">
        <v>13845.22</v>
      </c>
      <c r="D5" s="9" t="n">
        <v>14298.7</v>
      </c>
      <c r="E5" s="9" t="n">
        <v>12728.52</v>
      </c>
      <c r="F5" s="9" t="n">
        <v>12728.52</v>
      </c>
      <c r="G5" s="9" t="n">
        <v>12728.53</v>
      </c>
      <c r="H5" s="9" t="n">
        <v>23643.93</v>
      </c>
      <c r="I5" s="9" t="n">
        <v>0</v>
      </c>
      <c r="J5" s="9" t="n">
        <v>11531.5</v>
      </c>
      <c r="K5" s="9" t="n">
        <v>11531.5</v>
      </c>
      <c r="L5" s="9" t="n">
        <v>26935.88999999999</v>
      </c>
      <c r="M5" s="9" t="n">
        <v>27141.4</v>
      </c>
      <c r="N5" s="9">
        <f>SUM(B5:M5)</f>
        <v/>
      </c>
      <c r="O5" s="9" t="n">
        <v>19933.58</v>
      </c>
      <c r="P5" s="9" t="n">
        <v>19933.58</v>
      </c>
      <c r="Q5" s="9" t="n">
        <v>31311.67</v>
      </c>
      <c r="R5" s="9" t="n">
        <v>17938.48</v>
      </c>
      <c r="S5" s="9" t="n">
        <v>17938.48</v>
      </c>
      <c r="T5" s="9" t="n">
        <v>32496.22</v>
      </c>
      <c r="U5" s="9" t="n">
        <v>22791.06</v>
      </c>
      <c r="AA5" s="9">
        <f>SUM(O5:U5)</f>
        <v/>
      </c>
      <c r="AB5" s="9">
        <f>SUM(O5:Z5)</f>
        <v/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34">
        <f>SUM(AC5:AH5)</f>
        <v/>
      </c>
      <c r="AJ5" s="9">
        <f>SUM(AC5:AH5)+AI5</f>
        <v/>
      </c>
      <c r="AK5" s="11">
        <f>IF(N5&lt;&gt;0,(AB5-N5)/ABS(N5),0)</f>
        <v/>
      </c>
      <c r="AL5" s="11">
        <f>IF(AB5&lt;&gt;0,(AJ5-AB5)/ABS(AB5),0)</f>
        <v/>
      </c>
    </row>
    <row r="6" ht="13" customHeight="1">
      <c r="A6" s="8" t="inlineStr">
        <is>
          <t xml:space="preserve">    Other Income</t>
        </is>
      </c>
      <c r="B6" s="9" t="n">
        <v>0</v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2971.91</v>
      </c>
      <c r="J6" s="9" t="n">
        <v>0</v>
      </c>
      <c r="K6" s="9" t="n">
        <v>0</v>
      </c>
      <c r="L6" s="9" t="n">
        <v>0</v>
      </c>
      <c r="M6" s="9" t="n">
        <v>0</v>
      </c>
      <c r="N6" s="9">
        <f>SUM(B6:M6)</f>
        <v/>
      </c>
      <c r="O6" s="9" t="n">
        <v>0</v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0</v>
      </c>
      <c r="W6" s="9" t="n">
        <v>0</v>
      </c>
      <c r="X6" s="9" t="n">
        <v>0</v>
      </c>
      <c r="Y6" s="9" t="n">
        <v>0</v>
      </c>
      <c r="Z6" s="9" t="n">
        <v>0</v>
      </c>
      <c r="AA6" s="9">
        <f>SUM(O6:U6)</f>
        <v/>
      </c>
      <c r="AB6" s="9">
        <f>SUM(O6:Z6)</f>
        <v/>
      </c>
      <c r="AC6" s="9" t="n">
        <v>0</v>
      </c>
      <c r="AD6" s="9" t="n">
        <v>0</v>
      </c>
      <c r="AE6" s="9" t="n">
        <v>0</v>
      </c>
      <c r="AF6" s="9" t="n">
        <v>0</v>
      </c>
      <c r="AG6" s="9" t="n">
        <v>0</v>
      </c>
      <c r="AH6" s="9" t="n">
        <v>0</v>
      </c>
      <c r="AI6" s="34">
        <f>SUM(AC6:AH6)</f>
        <v/>
      </c>
      <c r="AJ6" s="9">
        <f>SUM(AC6:AH6)+AI6</f>
        <v/>
      </c>
      <c r="AK6" s="11">
        <f>IF(N6&lt;&gt;0,(AB6-N6)/ABS(N6),0)</f>
        <v/>
      </c>
      <c r="AL6" s="11">
        <f>IF(AB6&lt;&gt;0,(AJ6-AB6)/ABS(AB6),0)</f>
        <v/>
      </c>
    </row>
    <row r="7" ht="13" customHeight="1">
      <c r="A7" s="12" t="inlineStr">
        <is>
          <t>Total Income</t>
        </is>
      </c>
      <c r="B7" s="13">
        <f>B4+B5+B6</f>
        <v/>
      </c>
      <c r="C7" s="13">
        <f>C4+C5+C6</f>
        <v/>
      </c>
      <c r="D7" s="13">
        <f>D4+D5+D6</f>
        <v/>
      </c>
      <c r="E7" s="13">
        <f>E4+E5+E6</f>
        <v/>
      </c>
      <c r="F7" s="13">
        <f>F4+F5+F6</f>
        <v/>
      </c>
      <c r="G7" s="13">
        <f>G4+G5+G6</f>
        <v/>
      </c>
      <c r="H7" s="13">
        <f>H4+H5+H6</f>
        <v/>
      </c>
      <c r="I7" s="13">
        <f>I4+I5+I6</f>
        <v/>
      </c>
      <c r="J7" s="13">
        <f>J4+J5+J6</f>
        <v/>
      </c>
      <c r="K7" s="13">
        <f>K4+K5+K6</f>
        <v/>
      </c>
      <c r="L7" s="13">
        <f>L4+L5+L6</f>
        <v/>
      </c>
      <c r="M7" s="13">
        <f>M4+M5+M6</f>
        <v/>
      </c>
      <c r="N7" s="13">
        <f>N4+N5+N6</f>
        <v/>
      </c>
      <c r="O7" s="13">
        <f>O4+O5+O6</f>
        <v/>
      </c>
      <c r="P7" s="13">
        <f>P4+P5+P6</f>
        <v/>
      </c>
      <c r="Q7" s="13">
        <f>Q4+Q5+Q6</f>
        <v/>
      </c>
      <c r="R7" s="13">
        <f>R4+R5+R6</f>
        <v/>
      </c>
      <c r="S7" s="13">
        <f>S4+S5+S6</f>
        <v/>
      </c>
      <c r="T7" s="13">
        <f>T4+T5+T6</f>
        <v/>
      </c>
      <c r="U7" s="13">
        <f>U4+U5+U6</f>
        <v/>
      </c>
      <c r="V7" s="13">
        <f>V4+V5+V6</f>
        <v/>
      </c>
      <c r="W7" s="13">
        <f>W4+W5+W6</f>
        <v/>
      </c>
      <c r="X7" s="13">
        <f>X4+X5+X6</f>
        <v/>
      </c>
      <c r="Y7" s="13">
        <f>Y4+Y5+Y6</f>
        <v/>
      </c>
      <c r="Z7" s="13">
        <f>Z4+Z5+Z6</f>
        <v/>
      </c>
      <c r="AA7" s="13">
        <f>AA4+AA5+AA6</f>
        <v/>
      </c>
      <c r="AB7" s="13">
        <f>AB4+AB5+AB6</f>
        <v/>
      </c>
      <c r="AC7" s="13">
        <f>AC4+AC5+AC6</f>
        <v/>
      </c>
      <c r="AD7" s="13">
        <f>AD4+AD5+AD6</f>
        <v/>
      </c>
      <c r="AE7" s="13">
        <f>AE4+AE5+AE6</f>
        <v/>
      </c>
      <c r="AF7" s="13">
        <f>AF4+AF5+AF6</f>
        <v/>
      </c>
      <c r="AG7" s="13">
        <f>AG4+AG5+AG6</f>
        <v/>
      </c>
      <c r="AH7" s="13">
        <f>AH4+AH5+AH6</f>
        <v/>
      </c>
      <c r="AI7" s="13">
        <f>AI4+AI5+AI6</f>
        <v/>
      </c>
      <c r="AJ7" s="13">
        <f>AJ4+AJ5+AJ6</f>
        <v/>
      </c>
      <c r="AK7" s="11">
        <f>IF(N7&lt;&gt;0,(AB7-N7)/ABS(N7),0)</f>
        <v/>
      </c>
      <c r="AL7" s="11">
        <f>IF(AB7&lt;&gt;0,(AJ7-AB7)/ABS(AB7),0)</f>
        <v/>
      </c>
    </row>
    <row r="8" ht="5" customHeight="1"/>
    <row r="9" ht="15" customHeight="1">
      <c r="A9" s="7" t="inlineStr">
        <is>
          <t>DIRECT COSTS</t>
        </is>
      </c>
    </row>
    <row r="10" ht="13" customHeight="1">
      <c r="A10" s="14" t="inlineStr">
        <is>
          <t>Personnel</t>
        </is>
      </c>
    </row>
    <row r="11" ht="13" customHeight="1">
      <c r="A11" s="15" t="inlineStr">
        <is>
          <t xml:space="preserve">    Nursery Salaries</t>
        </is>
      </c>
      <c r="B11" s="16" t="n">
        <v>21607.1</v>
      </c>
      <c r="C11" s="16" t="n">
        <v>18599.12</v>
      </c>
      <c r="D11" s="16" t="n">
        <v>18828.61</v>
      </c>
      <c r="E11" s="16" t="n">
        <v>30196.38</v>
      </c>
      <c r="F11" s="16" t="n">
        <v>21271.92</v>
      </c>
      <c r="G11" s="16" t="n">
        <v>21185.22</v>
      </c>
      <c r="H11" s="16" t="n">
        <v>20748.59</v>
      </c>
      <c r="I11" s="16" t="n">
        <v>15728.54</v>
      </c>
      <c r="J11" s="16" t="n">
        <v>13769.68</v>
      </c>
      <c r="K11" s="16" t="n">
        <v>21655.25</v>
      </c>
      <c r="L11" s="16" t="n">
        <v>23068.26</v>
      </c>
      <c r="M11" s="16" t="n">
        <v>25028.67</v>
      </c>
      <c r="N11" s="16">
        <f>SUM(B11:M11)</f>
        <v/>
      </c>
      <c r="O11" s="16" t="n">
        <v>26176.86</v>
      </c>
      <c r="P11" s="16" t="n">
        <v>22930.94</v>
      </c>
      <c r="Q11" s="16" t="n">
        <v>24582.34</v>
      </c>
      <c r="R11" s="16" t="n">
        <v>27353.04</v>
      </c>
      <c r="S11" s="16" t="n">
        <v>25209.56</v>
      </c>
      <c r="T11" s="16" t="n">
        <v>23332.22</v>
      </c>
      <c r="U11" s="16" t="n">
        <v>23764.36</v>
      </c>
      <c r="AA11" s="16">
        <f>SUM(O11:U11)</f>
        <v/>
      </c>
      <c r="AB11" s="16">
        <f>SUM(O11:Z11)</f>
        <v/>
      </c>
      <c r="AC11" s="16" t="n">
        <v>23764.36</v>
      </c>
      <c r="AD11" s="16" t="n">
        <v>23764.36</v>
      </c>
      <c r="AE11" s="16" t="n">
        <v>23764.36</v>
      </c>
      <c r="AF11" s="16" t="n">
        <v>23764.36</v>
      </c>
      <c r="AG11" s="16" t="n">
        <v>23764.36</v>
      </c>
      <c r="AH11" s="16" t="n">
        <v>23764.36</v>
      </c>
      <c r="AI11" s="34">
        <f>SUM(AC11:AH11)</f>
        <v/>
      </c>
      <c r="AJ11" s="16">
        <f>SUM(AC11:AH11)+AI11</f>
        <v/>
      </c>
      <c r="AK11" s="11">
        <f>IF(N11&lt;&gt;0,(AB11-N11)/ABS(N11),0)</f>
        <v/>
      </c>
      <c r="AL11" s="11">
        <f>IF(AB11&lt;&gt;0,(AJ11-AB11)/ABS(AB11),0)</f>
        <v/>
      </c>
    </row>
    <row r="12" ht="13" customHeight="1">
      <c r="A12" s="15" t="inlineStr">
        <is>
          <t xml:space="preserve">    Nursery NI</t>
        </is>
      </c>
      <c r="B12" s="16" t="n">
        <v>1518.87</v>
      </c>
      <c r="C12" s="16" t="n">
        <v>1465.4</v>
      </c>
      <c r="D12" s="16" t="n">
        <v>1387.39</v>
      </c>
      <c r="E12" s="16" t="n">
        <v>3382.54</v>
      </c>
      <c r="F12" s="16" t="n">
        <v>2202.22</v>
      </c>
      <c r="G12" s="16" t="n">
        <v>2183.99</v>
      </c>
      <c r="H12" s="16" t="n">
        <v>2079.75</v>
      </c>
      <c r="I12" s="16" t="n">
        <v>1659.35</v>
      </c>
      <c r="J12" s="16" t="n">
        <v>1486.66</v>
      </c>
      <c r="K12" s="16" t="n">
        <v>2384.28</v>
      </c>
      <c r="L12" s="16" t="n">
        <v>2508.07</v>
      </c>
      <c r="M12" s="16" t="n">
        <v>2817.56</v>
      </c>
      <c r="N12" s="16">
        <f>SUM(B12:M12)</f>
        <v/>
      </c>
      <c r="O12" s="16" t="n">
        <v>3017.58</v>
      </c>
      <c r="P12" s="16" t="n">
        <v>2430.94</v>
      </c>
      <c r="Q12" s="16" t="n">
        <v>2706.76</v>
      </c>
      <c r="R12" s="16" t="n">
        <v>3088.37</v>
      </c>
      <c r="S12" s="16" t="n">
        <v>2683.21</v>
      </c>
      <c r="T12" s="16" t="n">
        <v>2439.34</v>
      </c>
      <c r="U12" s="16" t="n">
        <v>2504.85</v>
      </c>
      <c r="AA12" s="16">
        <f>SUM(O12:U12)</f>
        <v/>
      </c>
      <c r="AB12" s="16">
        <f>SUM(O12:Z12)</f>
        <v/>
      </c>
      <c r="AC12" s="16" t="n">
        <v>2504.85</v>
      </c>
      <c r="AD12" s="16" t="n">
        <v>2504.85</v>
      </c>
      <c r="AE12" s="16" t="n">
        <v>2504.85</v>
      </c>
      <c r="AF12" s="16" t="n">
        <v>2504.85</v>
      </c>
      <c r="AG12" s="16" t="n">
        <v>2504.85</v>
      </c>
      <c r="AH12" s="16" t="n">
        <v>2504.85</v>
      </c>
      <c r="AI12" s="34">
        <f>SUM(AC12:AH12)</f>
        <v/>
      </c>
      <c r="AJ12" s="16">
        <f>SUM(AC12:AH12)+AI12</f>
        <v/>
      </c>
      <c r="AK12" s="11">
        <f>IF(N12&lt;&gt;0,(AB12-N12)/ABS(N12),0)</f>
        <v/>
      </c>
      <c r="AL12" s="11">
        <f>IF(AB12&lt;&gt;0,(AJ12-AB12)/ABS(AB12),0)</f>
        <v/>
      </c>
    </row>
    <row r="13" ht="13" customHeight="1">
      <c r="A13" s="15" t="inlineStr">
        <is>
          <t xml:space="preserve">    Nursery Pension</t>
        </is>
      </c>
      <c r="B13" s="16" t="n">
        <v>380.15</v>
      </c>
      <c r="C13" s="16" t="n">
        <v>368.53</v>
      </c>
      <c r="D13" s="16" t="n">
        <v>351.56</v>
      </c>
      <c r="E13" s="16" t="n">
        <v>312.94</v>
      </c>
      <c r="F13" s="16" t="n">
        <v>271.31</v>
      </c>
      <c r="G13" s="16" t="n">
        <v>268.31</v>
      </c>
      <c r="H13" s="16" t="n">
        <v>299.41</v>
      </c>
      <c r="I13" s="16" t="n">
        <v>266.04</v>
      </c>
      <c r="J13" s="16" t="n">
        <v>278.77</v>
      </c>
      <c r="K13" s="16" t="n">
        <v>424.36</v>
      </c>
      <c r="L13" s="16" t="n">
        <v>387.08</v>
      </c>
      <c r="M13" s="16" t="n">
        <v>532.5699999999999</v>
      </c>
      <c r="N13" s="16">
        <f>SUM(B13:M13)</f>
        <v/>
      </c>
      <c r="O13" s="16" t="n">
        <v>572.58</v>
      </c>
      <c r="P13" s="16" t="n">
        <v>409.34</v>
      </c>
      <c r="Q13" s="16" t="n">
        <v>367.99</v>
      </c>
      <c r="R13" s="16" t="n">
        <v>468.86</v>
      </c>
      <c r="S13" s="16" t="n">
        <v>505.71</v>
      </c>
      <c r="T13" s="16" t="n">
        <v>456.92</v>
      </c>
      <c r="U13" s="16" t="n">
        <v>417</v>
      </c>
      <c r="AA13" s="16">
        <f>SUM(O13:U13)</f>
        <v/>
      </c>
      <c r="AB13" s="16">
        <f>SUM(O13:Z13)</f>
        <v/>
      </c>
      <c r="AC13" s="16" t="n">
        <v>417</v>
      </c>
      <c r="AD13" s="16" t="n">
        <v>417</v>
      </c>
      <c r="AE13" s="16" t="n">
        <v>417</v>
      </c>
      <c r="AF13" s="16" t="n">
        <v>417</v>
      </c>
      <c r="AG13" s="16" t="n">
        <v>417</v>
      </c>
      <c r="AH13" s="16" t="n">
        <v>417</v>
      </c>
      <c r="AI13" s="34">
        <f>SUM(AC13:AH13)</f>
        <v/>
      </c>
      <c r="AJ13" s="16">
        <f>SUM(AC13:AH13)+AI13</f>
        <v/>
      </c>
      <c r="AK13" s="11">
        <f>IF(N13&lt;&gt;0,(AB13-N13)/ABS(N13),0)</f>
        <v/>
      </c>
      <c r="AL13" s="11">
        <f>IF(AB13&lt;&gt;0,(AJ13-AB13)/ABS(AB13),0)</f>
        <v/>
      </c>
    </row>
    <row r="14" ht="13" customHeight="1">
      <c r="A14" s="15" t="inlineStr">
        <is>
          <t xml:space="preserve">    Uniform</t>
        </is>
      </c>
      <c r="B14" s="16" t="n">
        <v>186.12</v>
      </c>
      <c r="C14" s="16" t="n">
        <v>0</v>
      </c>
      <c r="D14" s="16" t="n">
        <v>0</v>
      </c>
      <c r="E14" s="16" t="n">
        <v>67.02</v>
      </c>
      <c r="F14" s="16" t="n">
        <v>0</v>
      </c>
      <c r="G14" s="16" t="n">
        <v>0</v>
      </c>
      <c r="H14" s="16" t="n">
        <v>72.54000000000001</v>
      </c>
      <c r="I14" s="16" t="n">
        <v>0</v>
      </c>
      <c r="J14" s="16" t="n">
        <v>120</v>
      </c>
      <c r="K14" s="16" t="n">
        <v>0</v>
      </c>
      <c r="L14" s="16" t="n">
        <v>128.76</v>
      </c>
      <c r="M14" s="16" t="n">
        <v>0</v>
      </c>
      <c r="N14" s="16">
        <f>SUM(B14:M14)</f>
        <v/>
      </c>
      <c r="O14" s="16" t="n">
        <v>0</v>
      </c>
      <c r="P14" s="16" t="n">
        <v>0</v>
      </c>
      <c r="Q14" s="16" t="n">
        <v>141.3</v>
      </c>
      <c r="R14" s="16" t="n">
        <v>122.4</v>
      </c>
      <c r="S14" s="16" t="n">
        <v>22.72</v>
      </c>
      <c r="T14" s="16" t="n">
        <v>173.22</v>
      </c>
      <c r="U14" s="16" t="n">
        <v>0</v>
      </c>
      <c r="AA14" s="16">
        <f>SUM(O14:U14)</f>
        <v/>
      </c>
      <c r="AB14" s="16">
        <f>SUM(O14:Z14)</f>
        <v/>
      </c>
      <c r="AC14" s="16" t="n">
        <v>60</v>
      </c>
      <c r="AD14" s="16" t="n">
        <v>60</v>
      </c>
      <c r="AE14" s="16" t="n">
        <v>60</v>
      </c>
      <c r="AF14" s="16" t="n">
        <v>60</v>
      </c>
      <c r="AG14" s="16" t="n">
        <v>60</v>
      </c>
      <c r="AH14" s="16" t="n">
        <v>60</v>
      </c>
      <c r="AI14" s="34">
        <f>SUM(AC14:AH14)</f>
        <v/>
      </c>
      <c r="AJ14" s="16">
        <f>SUM(AC14:AH14)+AI14</f>
        <v/>
      </c>
      <c r="AK14" s="11">
        <f>IF(N14&lt;&gt;0,(AB14-N14)/ABS(N14),0)</f>
        <v/>
      </c>
      <c r="AL14" s="11">
        <f>IF(AB14&lt;&gt;0,(AJ14-AB14)/ABS(AB14),0)</f>
        <v/>
      </c>
    </row>
    <row r="15" ht="13" customHeight="1">
      <c r="A15" s="15" t="inlineStr">
        <is>
          <t xml:space="preserve">    Training</t>
        </is>
      </c>
      <c r="B15" s="16" t="n">
        <v>0</v>
      </c>
      <c r="C15" s="16" t="n">
        <v>0</v>
      </c>
      <c r="D15" s="16" t="n">
        <v>0</v>
      </c>
      <c r="E15" s="16" t="n">
        <v>139.2</v>
      </c>
      <c r="F15" s="16" t="n">
        <v>48</v>
      </c>
      <c r="G15" s="16" t="n">
        <v>164.4</v>
      </c>
      <c r="H15" s="16" t="n">
        <v>0</v>
      </c>
      <c r="I15" s="16" t="n">
        <v>115.2</v>
      </c>
      <c r="J15" s="16" t="n">
        <v>0</v>
      </c>
      <c r="K15" s="16" t="n">
        <v>0</v>
      </c>
      <c r="L15" s="16" t="n">
        <v>403.2</v>
      </c>
      <c r="M15" s="16" t="n">
        <v>0</v>
      </c>
      <c r="N15" s="16">
        <f>SUM(B15:M15)</f>
        <v/>
      </c>
      <c r="O15" s="16" t="n">
        <v>192</v>
      </c>
      <c r="P15" s="16" t="n">
        <v>0</v>
      </c>
      <c r="Q15" s="16" t="n">
        <v>0</v>
      </c>
      <c r="R15" s="16" t="n">
        <v>0</v>
      </c>
      <c r="S15" s="16" t="n">
        <v>0</v>
      </c>
      <c r="T15" s="16" t="n">
        <v>0</v>
      </c>
      <c r="U15" s="16" t="n">
        <v>0</v>
      </c>
      <c r="AA15" s="16">
        <f>SUM(O15:U15)</f>
        <v/>
      </c>
      <c r="AB15" s="16">
        <f>SUM(O15:Z15)</f>
        <v/>
      </c>
      <c r="AC15" s="16" t="n">
        <v>100</v>
      </c>
      <c r="AD15" s="16" t="n">
        <v>100</v>
      </c>
      <c r="AE15" s="16" t="n">
        <v>100</v>
      </c>
      <c r="AF15" s="16" t="n">
        <v>100</v>
      </c>
      <c r="AG15" s="16" t="n">
        <v>100</v>
      </c>
      <c r="AH15" s="16" t="n">
        <v>100</v>
      </c>
      <c r="AI15" s="34">
        <f>SUM(AC15:AH15)</f>
        <v/>
      </c>
      <c r="AJ15" s="16">
        <f>SUM(AC15:AH15)+AI15</f>
        <v/>
      </c>
      <c r="AK15" s="11">
        <f>IF(N15&lt;&gt;0,(AB15-N15)/ABS(N15),0)</f>
        <v/>
      </c>
      <c r="AL15" s="11">
        <f>IF(AB15&lt;&gt;0,(AJ15-AB15)/ABS(AB15),0)</f>
        <v/>
      </c>
    </row>
    <row r="16" ht="13" customHeight="1">
      <c r="A16" s="15" t="inlineStr">
        <is>
          <t xml:space="preserve">    Staff Welfare</t>
        </is>
      </c>
      <c r="B16" s="16" t="n">
        <v>106.99</v>
      </c>
      <c r="C16" s="16" t="n">
        <v>173.03</v>
      </c>
      <c r="D16" s="16" t="n">
        <v>86.29000000000001</v>
      </c>
      <c r="E16" s="16" t="n">
        <v>113.6</v>
      </c>
      <c r="F16" s="16" t="n">
        <v>155.62</v>
      </c>
      <c r="G16" s="16" t="n">
        <v>91.43000000000001</v>
      </c>
      <c r="H16" s="16" t="n">
        <v>58.88</v>
      </c>
      <c r="I16" s="16" t="n">
        <v>85.14</v>
      </c>
      <c r="J16" s="16" t="n">
        <v>67.09999999999999</v>
      </c>
      <c r="K16" s="16" t="n">
        <v>62.73</v>
      </c>
      <c r="L16" s="16" t="n">
        <v>40.9</v>
      </c>
      <c r="M16" s="16" t="n">
        <v>86.56</v>
      </c>
      <c r="N16" s="16">
        <f>SUM(B16:M16)</f>
        <v/>
      </c>
      <c r="O16" s="16" t="n">
        <v>0</v>
      </c>
      <c r="P16" s="16" t="n">
        <v>48.03</v>
      </c>
      <c r="Q16" s="16" t="n">
        <v>55.61</v>
      </c>
      <c r="R16" s="16" t="n">
        <v>14</v>
      </c>
      <c r="S16" s="16" t="n">
        <v>69.87</v>
      </c>
      <c r="T16" s="16" t="n">
        <v>106.05</v>
      </c>
      <c r="U16" s="16" t="n">
        <v>207.57</v>
      </c>
      <c r="AA16" s="16">
        <f>SUM(O16:U16)</f>
        <v/>
      </c>
      <c r="AB16" s="16">
        <f>SUM(O16:Z16)</f>
        <v/>
      </c>
      <c r="AC16" s="16" t="n">
        <v>120</v>
      </c>
      <c r="AD16" s="16" t="n">
        <v>120</v>
      </c>
      <c r="AE16" s="16" t="n">
        <v>120</v>
      </c>
      <c r="AF16" s="16" t="n">
        <v>120</v>
      </c>
      <c r="AG16" s="16" t="n">
        <v>120</v>
      </c>
      <c r="AH16" s="16" t="n">
        <v>120</v>
      </c>
      <c r="AI16" s="34">
        <f>SUM(AC16:AH16)</f>
        <v/>
      </c>
      <c r="AJ16" s="16">
        <f>SUM(AC16:AH16)+AI16</f>
        <v/>
      </c>
      <c r="AK16" s="11">
        <f>IF(N16&lt;&gt;0,(AB16-N16)/ABS(N16),0)</f>
        <v/>
      </c>
      <c r="AL16" s="11">
        <f>IF(AB16&lt;&gt;0,(AJ16-AB16)/ABS(AB16),0)</f>
        <v/>
      </c>
    </row>
    <row r="17" ht="13" customHeight="1">
      <c r="A17" s="15" t="inlineStr">
        <is>
          <t xml:space="preserve">    Recruitment</t>
        </is>
      </c>
      <c r="B17" s="16" t="n">
        <v>0</v>
      </c>
      <c r="C17" s="16" t="n">
        <v>0</v>
      </c>
      <c r="D17" s="16" t="n">
        <v>0</v>
      </c>
      <c r="E17" s="16" t="n">
        <v>4169.88</v>
      </c>
      <c r="F17" s="16" t="n">
        <v>0</v>
      </c>
      <c r="G17" s="16" t="n">
        <v>0</v>
      </c>
      <c r="H17" s="16" t="n">
        <v>0</v>
      </c>
      <c r="I17" s="16" t="n">
        <v>0</v>
      </c>
      <c r="J17" s="16" t="n">
        <v>0</v>
      </c>
      <c r="K17" s="16" t="n">
        <v>0</v>
      </c>
      <c r="L17" s="16" t="n">
        <v>0</v>
      </c>
      <c r="M17" s="16" t="n">
        <v>0</v>
      </c>
      <c r="N17" s="16">
        <f>SUM(B17:M17)</f>
        <v/>
      </c>
      <c r="O17" s="16" t="n">
        <v>0</v>
      </c>
      <c r="P17" s="16" t="n">
        <v>4800</v>
      </c>
      <c r="Q17" s="16" t="n">
        <v>0</v>
      </c>
      <c r="R17" s="16" t="n">
        <v>0</v>
      </c>
      <c r="S17" s="16" t="n">
        <v>0</v>
      </c>
      <c r="T17" s="16" t="n">
        <v>0</v>
      </c>
      <c r="U17" s="16" t="n">
        <v>0</v>
      </c>
      <c r="AA17" s="16">
        <f>SUM(O17:U17)</f>
        <v/>
      </c>
      <c r="AB17" s="16">
        <f>SUM(O17:Z17)</f>
        <v/>
      </c>
      <c r="AC17" s="16" t="n">
        <v>0</v>
      </c>
      <c r="AD17" s="16" t="n">
        <v>0</v>
      </c>
      <c r="AE17" s="16" t="n">
        <v>0</v>
      </c>
      <c r="AF17" s="16" t="n">
        <v>0</v>
      </c>
      <c r="AG17" s="16" t="n">
        <v>0</v>
      </c>
      <c r="AH17" s="16" t="n">
        <v>0</v>
      </c>
      <c r="AI17" s="34">
        <f>SUM(AC17:AH17)</f>
        <v/>
      </c>
      <c r="AJ17" s="16">
        <f>SUM(AC17:AH17)+AI17</f>
        <v/>
      </c>
      <c r="AK17" s="11">
        <f>IF(N17&lt;&gt;0,(AB17-N17)/ABS(N17),0)</f>
        <v/>
      </c>
      <c r="AL17" s="11">
        <f>IF(AB17&lt;&gt;0,(AJ17-AB17)/ABS(AB17),0)</f>
        <v/>
      </c>
    </row>
    <row r="18" ht="13" customHeight="1">
      <c r="A18" s="15" t="inlineStr">
        <is>
          <t xml:space="preserve">    Rewards &amp; Recognition</t>
        </is>
      </c>
      <c r="B18" s="16" t="n">
        <v>0</v>
      </c>
      <c r="C18" s="16" t="n">
        <v>0</v>
      </c>
      <c r="D18" s="16" t="n">
        <v>0</v>
      </c>
      <c r="E18" s="16" t="n">
        <v>0</v>
      </c>
      <c r="F18" s="16" t="n">
        <v>0</v>
      </c>
      <c r="G18" s="16" t="n">
        <v>0</v>
      </c>
      <c r="H18" s="16" t="n">
        <v>26.99</v>
      </c>
      <c r="I18" s="16" t="n">
        <v>0</v>
      </c>
      <c r="J18" s="16" t="n">
        <v>64.36</v>
      </c>
      <c r="K18" s="16" t="n">
        <v>0</v>
      </c>
      <c r="L18" s="16" t="n">
        <v>0</v>
      </c>
      <c r="M18" s="16" t="n">
        <v>0</v>
      </c>
      <c r="N18" s="16">
        <f>SUM(B18:M18)</f>
        <v/>
      </c>
      <c r="O18" s="16" t="n">
        <v>0</v>
      </c>
      <c r="P18" s="16" t="n">
        <v>0</v>
      </c>
      <c r="Q18" s="16" t="n">
        <v>0</v>
      </c>
      <c r="R18" s="16" t="n">
        <v>0</v>
      </c>
      <c r="S18" s="16" t="n">
        <v>0</v>
      </c>
      <c r="T18" s="16" t="n">
        <v>0</v>
      </c>
      <c r="U18" s="16" t="n">
        <v>0</v>
      </c>
      <c r="V18" s="16" t="n">
        <v>0</v>
      </c>
      <c r="W18" s="16" t="n">
        <v>0</v>
      </c>
      <c r="X18" s="16" t="n">
        <v>0</v>
      </c>
      <c r="Y18" s="16" t="n">
        <v>0</v>
      </c>
      <c r="Z18" s="16" t="n">
        <v>0</v>
      </c>
      <c r="AA18" s="16">
        <f>SUM(O18:U18)</f>
        <v/>
      </c>
      <c r="AB18" s="16">
        <f>SUM(O18:Z18)</f>
        <v/>
      </c>
      <c r="AC18" s="16" t="n">
        <v>50</v>
      </c>
      <c r="AD18" s="16" t="n">
        <v>50</v>
      </c>
      <c r="AE18" s="16" t="n">
        <v>50</v>
      </c>
      <c r="AF18" s="16" t="n">
        <v>50</v>
      </c>
      <c r="AG18" s="16" t="n">
        <v>50</v>
      </c>
      <c r="AH18" s="16" t="n">
        <v>50</v>
      </c>
      <c r="AI18" s="34">
        <f>SUM(AC18:AH18)</f>
        <v/>
      </c>
      <c r="AJ18" s="16">
        <f>SUM(AC18:AH18)+AI18</f>
        <v/>
      </c>
      <c r="AK18" s="11">
        <f>IF(N18&lt;&gt;0,(AB18-N18)/ABS(N18),0)</f>
        <v/>
      </c>
      <c r="AL18" s="11">
        <f>IF(AB18&lt;&gt;0,(AJ18-AB18)/ABS(AB18),0)</f>
        <v/>
      </c>
    </row>
    <row r="19" ht="13" customHeight="1">
      <c r="A19" s="15" t="inlineStr">
        <is>
          <t xml:space="preserve">    Temps</t>
        </is>
      </c>
      <c r="B19" s="16" t="n">
        <v>0</v>
      </c>
      <c r="C19" s="16" t="n">
        <v>0</v>
      </c>
      <c r="D19" s="16" t="n">
        <v>0</v>
      </c>
      <c r="E19" s="16" t="n">
        <v>0</v>
      </c>
      <c r="F19" s="16" t="n">
        <v>0</v>
      </c>
      <c r="G19" s="16" t="n">
        <v>0</v>
      </c>
      <c r="H19" s="16" t="n">
        <v>0</v>
      </c>
      <c r="I19" s="16" t="n">
        <v>0</v>
      </c>
      <c r="J19" s="16" t="n">
        <v>0</v>
      </c>
      <c r="K19" s="16" t="n">
        <v>0</v>
      </c>
      <c r="L19" s="16" t="n">
        <v>0</v>
      </c>
      <c r="M19" s="16" t="n">
        <v>0</v>
      </c>
      <c r="N19" s="16">
        <f>SUM(B19:M19)</f>
        <v/>
      </c>
      <c r="O19" s="16" t="n">
        <v>0</v>
      </c>
      <c r="P19" s="16" t="n">
        <v>0</v>
      </c>
      <c r="Q19" s="16" t="n">
        <v>0</v>
      </c>
      <c r="R19" s="16" t="n">
        <v>0</v>
      </c>
      <c r="S19" s="16" t="n">
        <v>0</v>
      </c>
      <c r="T19" s="16" t="n">
        <v>0</v>
      </c>
      <c r="U19" s="16" t="n">
        <v>0</v>
      </c>
      <c r="V19" s="16" t="n">
        <v>0</v>
      </c>
      <c r="W19" s="16" t="n">
        <v>0</v>
      </c>
      <c r="X19" s="16" t="n">
        <v>0</v>
      </c>
      <c r="Y19" s="16" t="n">
        <v>0</v>
      </c>
      <c r="Z19" s="16" t="n">
        <v>0</v>
      </c>
      <c r="AA19" s="16">
        <f>SUM(O19:U19)</f>
        <v/>
      </c>
      <c r="AB19" s="16">
        <f>SUM(O19:Z19)</f>
        <v/>
      </c>
      <c r="AC19" s="16" t="n">
        <v>0</v>
      </c>
      <c r="AD19" s="16" t="n">
        <v>0</v>
      </c>
      <c r="AE19" s="16" t="n">
        <v>0</v>
      </c>
      <c r="AF19" s="16" t="n">
        <v>0</v>
      </c>
      <c r="AG19" s="16" t="n">
        <v>0</v>
      </c>
      <c r="AH19" s="16" t="n">
        <v>0</v>
      </c>
      <c r="AI19" s="34">
        <f>SUM(AC19:AH19)</f>
        <v/>
      </c>
      <c r="AJ19" s="16">
        <f>SUM(AC19:AH19)+AI19</f>
        <v/>
      </c>
      <c r="AK19" s="11">
        <f>IF(N19&lt;&gt;0,(AB19-N19)/ABS(N19),0)</f>
        <v/>
      </c>
      <c r="AL19" s="11">
        <f>IF(AB19&lt;&gt;0,(AJ19-AB19)/ABS(AB19),0)</f>
        <v/>
      </c>
    </row>
    <row r="20" ht="13" customHeight="1">
      <c r="A20" s="17" t="inlineStr">
        <is>
          <t>Total Personnel</t>
        </is>
      </c>
      <c r="B20" s="18">
        <f>B11+B12+B13+B14+B15+B16+B17+B18+B19</f>
        <v/>
      </c>
      <c r="C20" s="18">
        <f>C11+C12+C13+C14+C15+C16+C17+C18+C19</f>
        <v/>
      </c>
      <c r="D20" s="18">
        <f>D11+D12+D13+D14+D15+D16+D17+D18+D19</f>
        <v/>
      </c>
      <c r="E20" s="18">
        <f>E11+E12+E13+E14+E15+E16+E17+E18+E19</f>
        <v/>
      </c>
      <c r="F20" s="18">
        <f>F11+F12+F13+F14+F15+F16+F17+F18+F19</f>
        <v/>
      </c>
      <c r="G20" s="18">
        <f>G11+G12+G13+G14+G15+G16+G17+G18+G19</f>
        <v/>
      </c>
      <c r="H20" s="18">
        <f>H11+H12+H13+H14+H15+H16+H17+H18+H19</f>
        <v/>
      </c>
      <c r="I20" s="18">
        <f>I11+I12+I13+I14+I15+I16+I17+I18+I19</f>
        <v/>
      </c>
      <c r="J20" s="18">
        <f>J11+J12+J13+J14+J15+J16+J17+J18+J19</f>
        <v/>
      </c>
      <c r="K20" s="18">
        <f>K11+K12+K13+K14+K15+K16+K17+K18+K19</f>
        <v/>
      </c>
      <c r="L20" s="18">
        <f>L11+L12+L13+L14+L15+L16+L17+L18+L19</f>
        <v/>
      </c>
      <c r="M20" s="18">
        <f>M11+M12+M13+M14+M15+M16+M17+M18+M19</f>
        <v/>
      </c>
      <c r="N20" s="18">
        <f>N11+N12+N13+N14+N15+N16+N17+N18+N19</f>
        <v/>
      </c>
      <c r="O20" s="18">
        <f>O11+O12+O13+O14+O15+O16+O17+O18+O19</f>
        <v/>
      </c>
      <c r="P20" s="18">
        <f>P11+P12+P13+P14+P15+P16+P17+P18+P19</f>
        <v/>
      </c>
      <c r="Q20" s="18">
        <f>Q11+Q12+Q13+Q14+Q15+Q16+Q17+Q18+Q19</f>
        <v/>
      </c>
      <c r="R20" s="18">
        <f>R11+R12+R13+R14+R15+R16+R17+R18+R19</f>
        <v/>
      </c>
      <c r="S20" s="18">
        <f>S11+S12+S13+S14+S15+S16+S17+S18+S19</f>
        <v/>
      </c>
      <c r="T20" s="18">
        <f>T11+T12+T13+T14+T15+T16+T17+T18+T19</f>
        <v/>
      </c>
      <c r="U20" s="18">
        <f>U11+U12+U13+U14+U15+U16+U17+U18+U19</f>
        <v/>
      </c>
      <c r="V20" s="18">
        <f>V11+V12+V13+V14+V15+V16+V17+V18+V19</f>
        <v/>
      </c>
      <c r="W20" s="18">
        <f>W11+W12+W13+W14+W15+W16+W17+W18+W19</f>
        <v/>
      </c>
      <c r="X20" s="18">
        <f>X11+X12+X13+X14+X15+X16+X17+X18+X19</f>
        <v/>
      </c>
      <c r="Y20" s="18">
        <f>Y11+Y12+Y13+Y14+Y15+Y16+Y17+Y18+Y19</f>
        <v/>
      </c>
      <c r="Z20" s="18">
        <f>Z11+Z12+Z13+Z14+Z15+Z16+Z17+Z18+Z19</f>
        <v/>
      </c>
      <c r="AA20" s="18">
        <f>AA11+AA12+AA13+AA14+AA15+AA16+AA17+AA18+AA19</f>
        <v/>
      </c>
      <c r="AB20" s="18">
        <f>AB11+AB12+AB13+AB14+AB15+AB16+AB17+AB18+AB19</f>
        <v/>
      </c>
      <c r="AC20" s="18">
        <f>AC11+AC12+AC13+AC14+AC15+AC16+AC17+AC18+AC19</f>
        <v/>
      </c>
      <c r="AD20" s="18">
        <f>AD11+AD12+AD13+AD14+AD15+AD16+AD17+AD18+AD19</f>
        <v/>
      </c>
      <c r="AE20" s="18">
        <f>AE11+AE12+AE13+AE14+AE15+AE16+AE17+AE18+AE19</f>
        <v/>
      </c>
      <c r="AF20" s="18">
        <f>AF11+AF12+AF13+AF14+AF15+AF16+AF17+AF18+AF19</f>
        <v/>
      </c>
      <c r="AG20" s="18">
        <f>AG11+AG12+AG13+AG14+AG15+AG16+AG17+AG18+AG19</f>
        <v/>
      </c>
      <c r="AH20" s="18">
        <f>AH11+AH12+AH13+AH14+AH15+AH16+AH17+AH18+AH19</f>
        <v/>
      </c>
      <c r="AI20" s="18">
        <f>AI11+AI12+AI13+AI14+AI15+AI16+AI17+AI18+AI19</f>
        <v/>
      </c>
      <c r="AJ20" s="18">
        <f>AJ11+AJ12+AJ13+AJ14+AJ15+AJ16+AJ17+AJ18+AJ19</f>
        <v/>
      </c>
      <c r="AK20" s="11">
        <f>IF(N20&lt;&gt;0,(AB20-N20)/ABS(N20),0)</f>
        <v/>
      </c>
      <c r="AL20" s="11">
        <f>IF(AB20&lt;&gt;0,(AJ20-AB20)/ABS(AB20),0)</f>
        <v/>
      </c>
    </row>
    <row r="21" ht="13" customHeight="1">
      <c r="A21" s="19" t="inlineStr">
        <is>
          <t xml:space="preserve">    Sal:Rev</t>
        </is>
      </c>
      <c r="B21" s="20">
        <f>IF(B7&gt;0,B20/B7,0)</f>
        <v/>
      </c>
      <c r="C21" s="20">
        <f>IF(C7&gt;0,C20/C7,0)</f>
        <v/>
      </c>
      <c r="D21" s="20">
        <f>IF(D7&gt;0,D20/D7,0)</f>
        <v/>
      </c>
      <c r="E21" s="20">
        <f>IF(E7&gt;0,E20/E7,0)</f>
        <v/>
      </c>
      <c r="F21" s="20">
        <f>IF(F7&gt;0,F20/F7,0)</f>
        <v/>
      </c>
      <c r="G21" s="20">
        <f>IF(G7&gt;0,G20/G7,0)</f>
        <v/>
      </c>
      <c r="H21" s="20">
        <f>IF(H7&gt;0,H20/H7,0)</f>
        <v/>
      </c>
      <c r="I21" s="20">
        <f>IF(I7&gt;0,I20/I7,0)</f>
        <v/>
      </c>
      <c r="J21" s="20">
        <f>IF(J7&gt;0,J20/J7,0)</f>
        <v/>
      </c>
      <c r="K21" s="20">
        <f>IF(K7&gt;0,K20/K7,0)</f>
        <v/>
      </c>
      <c r="L21" s="20">
        <f>IF(L7&gt;0,L20/L7,0)</f>
        <v/>
      </c>
      <c r="M21" s="20">
        <f>IF(M7&gt;0,M20/M7,0)</f>
        <v/>
      </c>
      <c r="N21" s="20">
        <f>IF(N7&gt;0,N20/N7,0)</f>
        <v/>
      </c>
      <c r="O21" s="20">
        <f>IF(O7&gt;0,O20/O7,0)</f>
        <v/>
      </c>
      <c r="P21" s="20">
        <f>IF(P7&gt;0,P20/P7,0)</f>
        <v/>
      </c>
      <c r="Q21" s="20">
        <f>IF(Q7&gt;0,Q20/Q7,0)</f>
        <v/>
      </c>
      <c r="R21" s="20">
        <f>IF(R7&gt;0,R20/R7,0)</f>
        <v/>
      </c>
      <c r="S21" s="20">
        <f>IF(S7&gt;0,S20/S7,0)</f>
        <v/>
      </c>
      <c r="T21" s="20">
        <f>IF(T7&gt;0,T20/T7,0)</f>
        <v/>
      </c>
      <c r="U21" s="20">
        <f>IF(U7&gt;0,U20/U7,0)</f>
        <v/>
      </c>
      <c r="V21" s="20">
        <f>IF(V7&gt;0,V20/V7,0)</f>
        <v/>
      </c>
      <c r="W21" s="20">
        <f>IF(W7&gt;0,W20/W7,0)</f>
        <v/>
      </c>
      <c r="X21" s="20">
        <f>IF(X7&gt;0,X20/X7,0)</f>
        <v/>
      </c>
      <c r="Y21" s="20">
        <f>IF(Y7&gt;0,Y20/Y7,0)</f>
        <v/>
      </c>
      <c r="Z21" s="20">
        <f>IF(Z7&gt;0,Z20/Z7,0)</f>
        <v/>
      </c>
      <c r="AA21" s="20">
        <f>IF(AA7&gt;0,AA20/AA7,0)</f>
        <v/>
      </c>
      <c r="AB21" s="20">
        <f>IF(AB7&gt;0,AB20/AB7,0)</f>
        <v/>
      </c>
      <c r="AC21" s="20">
        <f>IF(AC7&gt;0,AC20/AC7,0)</f>
        <v/>
      </c>
      <c r="AD21" s="20">
        <f>IF(AD7&gt;0,AD20/AD7,0)</f>
        <v/>
      </c>
      <c r="AE21" s="20">
        <f>IF(AE7&gt;0,AE20/AE7,0)</f>
        <v/>
      </c>
      <c r="AF21" s="20">
        <f>IF(AF7&gt;0,AF20/AF7,0)</f>
        <v/>
      </c>
      <c r="AG21" s="20">
        <f>IF(AG7&gt;0,AG20/AG7,0)</f>
        <v/>
      </c>
      <c r="AH21" s="20">
        <f>IF(AH7&gt;0,AH20/AH7,0)</f>
        <v/>
      </c>
      <c r="AI21" s="20">
        <f>IF(AI7&gt;0,AI20/AI7,0)</f>
        <v/>
      </c>
      <c r="AJ21" s="20">
        <f>IF(AJ7&gt;0,AJ20/AJ7,0)</f>
        <v/>
      </c>
    </row>
    <row r="22" ht="5" customHeight="1"/>
    <row r="23" ht="13" customHeight="1">
      <c r="A23" s="14" t="inlineStr">
        <is>
          <t>Childcare</t>
        </is>
      </c>
    </row>
    <row r="24" ht="13" customHeight="1">
      <c r="A24" s="21" t="inlineStr">
        <is>
          <t xml:space="preserve">    Catering Costs</t>
        </is>
      </c>
      <c r="N24" s="22">
        <f>SUM(B24:M24)</f>
        <v/>
      </c>
      <c r="O24" s="22" t="n">
        <v>1337.26</v>
      </c>
      <c r="P24" s="22" t="n">
        <v>1507.1</v>
      </c>
      <c r="Q24" s="22" t="n">
        <v>1365.06</v>
      </c>
      <c r="R24" s="22" t="n">
        <v>1339.28</v>
      </c>
      <c r="S24" s="22" t="n">
        <v>1425.53</v>
      </c>
      <c r="T24" s="22" t="n">
        <v>996.95</v>
      </c>
      <c r="U24" s="22" t="n">
        <v>1250.27</v>
      </c>
      <c r="V24" s="22" t="n">
        <v>1354.568592</v>
      </c>
      <c r="W24" s="22" t="n">
        <v>1389.648</v>
      </c>
      <c r="X24" s="22" t="n">
        <v>1405.092</v>
      </c>
      <c r="Y24" s="22" t="n">
        <v>1386.684</v>
      </c>
      <c r="Z24" s="22" t="n">
        <v>1297.7952</v>
      </c>
      <c r="AA24" s="22">
        <f>SUM(O24:U24)</f>
        <v/>
      </c>
      <c r="AB24" s="22">
        <f>SUM(O24:Z24)</f>
        <v/>
      </c>
      <c r="AC24" s="22" t="n">
        <v>1336.510656</v>
      </c>
      <c r="AD24" s="22" t="n">
        <v>1011.644712</v>
      </c>
      <c r="AE24" s="22" t="n">
        <v>1718.809248</v>
      </c>
      <c r="AF24" s="22" t="n">
        <v>1337.138712</v>
      </c>
      <c r="AG24" s="22" t="n">
        <v>1352.859144</v>
      </c>
      <c r="AH24" s="22" t="n">
        <v>1235.159016</v>
      </c>
      <c r="AI24" s="34">
        <f>SUM(AC24:AH24)</f>
        <v/>
      </c>
      <c r="AJ24" s="22">
        <f>SUM(AC24:AH24)+AI24</f>
        <v/>
      </c>
      <c r="AK24" s="11">
        <f>IF(N24&lt;&gt;0,(AB24-N24)/ABS(N24),0)</f>
        <v/>
      </c>
      <c r="AL24" s="11">
        <f>IF(AB24&lt;&gt;0,(AJ24-AB24)/ABS(AB24),0)</f>
        <v/>
      </c>
    </row>
    <row r="25" ht="13" customHeight="1">
      <c r="A25" s="21" t="inlineStr">
        <is>
          <t xml:space="preserve">    Toys and Games</t>
        </is>
      </c>
      <c r="B25" s="22" t="n">
        <v>152.72</v>
      </c>
      <c r="C25" s="22" t="n">
        <v>57.08</v>
      </c>
      <c r="D25" s="22" t="n">
        <v>79.77</v>
      </c>
      <c r="E25" s="22" t="n">
        <v>114.39</v>
      </c>
      <c r="F25" s="22" t="n">
        <v>137.45</v>
      </c>
      <c r="G25" s="22" t="n">
        <v>30.35</v>
      </c>
      <c r="H25" s="22" t="n">
        <v>123.05</v>
      </c>
      <c r="I25" s="22" t="n">
        <v>2545.39</v>
      </c>
      <c r="J25" s="22" t="n">
        <v>573.58</v>
      </c>
      <c r="K25" s="22" t="n">
        <v>36.85</v>
      </c>
      <c r="L25" s="22" t="n">
        <v>46.98</v>
      </c>
      <c r="M25" s="22" t="n">
        <v>8</v>
      </c>
      <c r="N25" s="22">
        <f>SUM(B25:M25)</f>
        <v/>
      </c>
      <c r="O25" s="22" t="n">
        <v>0</v>
      </c>
      <c r="P25" s="22" t="n">
        <v>293.33</v>
      </c>
      <c r="Q25" s="22" t="n">
        <v>97.14999999999998</v>
      </c>
      <c r="R25" s="22" t="n">
        <v>12</v>
      </c>
      <c r="S25" s="22" t="n">
        <v>565.0000000000001</v>
      </c>
      <c r="T25" s="22" t="n">
        <v>118.01</v>
      </c>
      <c r="U25" s="22" t="n">
        <v>151.37</v>
      </c>
      <c r="AA25" s="22">
        <f>SUM(O25:U25)</f>
        <v/>
      </c>
      <c r="AB25" s="22">
        <f>SUM(O25:Z25)</f>
        <v/>
      </c>
      <c r="AC25" s="22" t="n">
        <v>50</v>
      </c>
      <c r="AD25" s="22" t="n">
        <v>50</v>
      </c>
      <c r="AE25" s="22" t="n">
        <v>50</v>
      </c>
      <c r="AF25" s="22" t="n">
        <v>50</v>
      </c>
      <c r="AG25" s="22" t="n">
        <v>50</v>
      </c>
      <c r="AH25" s="22" t="n">
        <v>50</v>
      </c>
      <c r="AI25" s="34">
        <f>SUM(AC25:AH25)</f>
        <v/>
      </c>
      <c r="AJ25" s="22">
        <f>SUM(AC25:AH25)+AI25</f>
        <v/>
      </c>
      <c r="AK25" s="11">
        <f>IF(N25&lt;&gt;0,(AB25-N25)/ABS(N25),0)</f>
        <v/>
      </c>
      <c r="AL25" s="11">
        <f>IF(AB25&lt;&gt;0,(AJ25-AB25)/ABS(AB25),0)</f>
        <v/>
      </c>
    </row>
    <row r="26" ht="13" customHeight="1">
      <c r="A26" s="21" t="inlineStr">
        <is>
          <t xml:space="preserve">    Art Materials</t>
        </is>
      </c>
      <c r="N26" s="22">
        <f>SUM(B26:M26)</f>
        <v/>
      </c>
      <c r="O26" s="22" t="n">
        <v>48.71</v>
      </c>
      <c r="P26" s="22" t="n">
        <v>0</v>
      </c>
      <c r="Q26" s="22" t="n">
        <v>163.03</v>
      </c>
      <c r="R26" s="22" t="n">
        <v>7.82</v>
      </c>
      <c r="S26" s="22" t="n">
        <v>42.65000000000001</v>
      </c>
      <c r="T26" s="22" t="n">
        <v>9.970000000000001</v>
      </c>
      <c r="U26" s="22" t="n">
        <v>111.26</v>
      </c>
      <c r="V26" s="22" t="n">
        <v>90.3045728</v>
      </c>
      <c r="W26" s="22" t="n">
        <v>92.64319999999999</v>
      </c>
      <c r="X26" s="22" t="n">
        <v>93.6728</v>
      </c>
      <c r="Y26" s="22" t="n">
        <v>92.4456</v>
      </c>
      <c r="Z26" s="22" t="n">
        <v>86.51967999999999</v>
      </c>
      <c r="AA26" s="22">
        <f>SUM(O26:U26)</f>
        <v/>
      </c>
      <c r="AB26" s="22">
        <f>SUM(O26:Z26)</f>
        <v/>
      </c>
      <c r="AC26" s="22" t="n">
        <v>89.10071039999998</v>
      </c>
      <c r="AD26" s="22" t="n">
        <v>67.44298079999999</v>
      </c>
      <c r="AE26" s="22" t="n">
        <v>114.5872832</v>
      </c>
      <c r="AF26" s="22" t="n">
        <v>89.14258079999999</v>
      </c>
      <c r="AG26" s="22" t="n">
        <v>90.1906096</v>
      </c>
      <c r="AH26" s="22" t="n">
        <v>82.34393439999999</v>
      </c>
      <c r="AI26" s="34">
        <f>SUM(AC26:AH26)</f>
        <v/>
      </c>
      <c r="AJ26" s="22">
        <f>SUM(AC26:AH26)+AI26</f>
        <v/>
      </c>
      <c r="AK26" s="11">
        <f>IF(N26&lt;&gt;0,(AB26-N26)/ABS(N26),0)</f>
        <v/>
      </c>
      <c r="AL26" s="11">
        <f>IF(AB26&lt;&gt;0,(AJ26-AB26)/ABS(AB26),0)</f>
        <v/>
      </c>
    </row>
    <row r="27" ht="13" customHeight="1">
      <c r="A27" s="21" t="inlineStr">
        <is>
          <t xml:space="preserve">    Nursery Stationery</t>
        </is>
      </c>
      <c r="B27" s="22" t="n">
        <v>72.27000000000001</v>
      </c>
      <c r="C27" s="22" t="n">
        <v>90.23999999999999</v>
      </c>
      <c r="D27" s="22" t="n">
        <v>3.95</v>
      </c>
      <c r="E27" s="22" t="n">
        <v>20.61</v>
      </c>
      <c r="F27" s="22" t="n">
        <v>6.64</v>
      </c>
      <c r="G27" s="22" t="n">
        <v>17.43</v>
      </c>
      <c r="H27" s="22" t="n">
        <v>25.88</v>
      </c>
      <c r="I27" s="22" t="n">
        <v>0</v>
      </c>
      <c r="J27" s="22" t="n">
        <v>0</v>
      </c>
      <c r="K27" s="22" t="n">
        <v>25.42</v>
      </c>
      <c r="L27" s="22" t="n">
        <v>28.11</v>
      </c>
      <c r="M27" s="22" t="n">
        <v>0</v>
      </c>
      <c r="N27" s="22">
        <f>SUM(B27:M27)</f>
        <v/>
      </c>
      <c r="O27" s="22" t="n">
        <v>73.53</v>
      </c>
      <c r="P27" s="22" t="n">
        <v>31.81</v>
      </c>
      <c r="Q27" s="22" t="n">
        <v>74.47</v>
      </c>
      <c r="R27" s="22" t="n">
        <v>80.08</v>
      </c>
      <c r="S27" s="22" t="n">
        <v>4.74</v>
      </c>
      <c r="T27" s="22" t="n">
        <v>23.07</v>
      </c>
      <c r="U27" s="22" t="n">
        <v>31.2</v>
      </c>
      <c r="AA27" s="22">
        <f>SUM(O27:U27)</f>
        <v/>
      </c>
      <c r="AB27" s="22">
        <f>SUM(O27:Z27)</f>
        <v/>
      </c>
      <c r="AC27" s="22" t="n">
        <v>50</v>
      </c>
      <c r="AD27" s="22" t="n">
        <v>50</v>
      </c>
      <c r="AE27" s="22" t="n">
        <v>50</v>
      </c>
      <c r="AF27" s="22" t="n">
        <v>50</v>
      </c>
      <c r="AG27" s="22" t="n">
        <v>50</v>
      </c>
      <c r="AH27" s="22" t="n">
        <v>50</v>
      </c>
      <c r="AI27" s="34">
        <f>SUM(AC27:AH27)</f>
        <v/>
      </c>
      <c r="AJ27" s="22">
        <f>SUM(AC27:AH27)+AI27</f>
        <v/>
      </c>
      <c r="AK27" s="11">
        <f>IF(N27&lt;&gt;0,(AB27-N27)/ABS(N27),0)</f>
        <v/>
      </c>
      <c r="AL27" s="11">
        <f>IF(AB27&lt;&gt;0,(AJ27-AB27)/ABS(AB27),0)</f>
        <v/>
      </c>
    </row>
    <row r="28" ht="13" customHeight="1">
      <c r="A28" s="21" t="inlineStr">
        <is>
          <t xml:space="preserve">    Nursery Equipment</t>
        </is>
      </c>
      <c r="B28" s="22" t="n">
        <v>61.07999999999999</v>
      </c>
      <c r="C28" s="22" t="n">
        <v>408.14</v>
      </c>
      <c r="D28" s="22" t="n">
        <v>0</v>
      </c>
      <c r="E28" s="22" t="n">
        <v>0</v>
      </c>
      <c r="F28" s="22" t="n">
        <v>0</v>
      </c>
      <c r="G28" s="22" t="n">
        <v>137.33</v>
      </c>
      <c r="H28" s="22" t="n">
        <v>0</v>
      </c>
      <c r="I28" s="22" t="n">
        <v>0</v>
      </c>
      <c r="J28" s="22" t="n">
        <v>15.49</v>
      </c>
      <c r="K28" s="22" t="n">
        <v>136.52</v>
      </c>
      <c r="L28" s="22" t="n">
        <v>87.22</v>
      </c>
      <c r="M28" s="22" t="n">
        <v>0</v>
      </c>
      <c r="N28" s="22">
        <f>SUM(B28:M28)</f>
        <v/>
      </c>
      <c r="O28" s="22" t="n">
        <v>39.37</v>
      </c>
      <c r="P28" s="22" t="n">
        <v>15.58</v>
      </c>
      <c r="Q28" s="22" t="n">
        <v>115.35</v>
      </c>
      <c r="R28" s="22" t="n">
        <v>0</v>
      </c>
      <c r="S28" s="22" t="n">
        <v>256.93</v>
      </c>
      <c r="T28" s="22" t="n">
        <v>4.99</v>
      </c>
      <c r="U28" s="22" t="n">
        <v>30.91</v>
      </c>
      <c r="AA28" s="22">
        <f>SUM(O28:U28)</f>
        <v/>
      </c>
      <c r="AB28" s="22">
        <f>SUM(O28:Z28)</f>
        <v/>
      </c>
      <c r="AC28" s="22" t="n">
        <v>50</v>
      </c>
      <c r="AD28" s="22" t="n">
        <v>50</v>
      </c>
      <c r="AE28" s="22" t="n">
        <v>50</v>
      </c>
      <c r="AF28" s="22" t="n">
        <v>50</v>
      </c>
      <c r="AG28" s="22" t="n">
        <v>50</v>
      </c>
      <c r="AH28" s="22" t="n">
        <v>50</v>
      </c>
      <c r="AI28" s="34">
        <f>SUM(AC28:AH28)</f>
        <v/>
      </c>
      <c r="AJ28" s="22">
        <f>SUM(AC28:AH28)+AI28</f>
        <v/>
      </c>
      <c r="AK28" s="11">
        <f>IF(N28&lt;&gt;0,(AB28-N28)/ABS(N28),0)</f>
        <v/>
      </c>
      <c r="AL28" s="11">
        <f>IF(AB28&lt;&gt;0,(AJ28-AB28)/ABS(AB28),0)</f>
        <v/>
      </c>
    </row>
    <row r="29" ht="13" customHeight="1">
      <c r="A29" s="21" t="inlineStr">
        <is>
          <t xml:space="preserve">    Nursery Consumables</t>
        </is>
      </c>
      <c r="N29" s="22">
        <f>SUM(B29:M29)</f>
        <v/>
      </c>
      <c r="O29" s="22" t="n">
        <v>315.38</v>
      </c>
      <c r="P29" s="22" t="n">
        <v>186.04</v>
      </c>
      <c r="Q29" s="22" t="n">
        <v>197.48</v>
      </c>
      <c r="R29" s="22" t="n">
        <v>394.81</v>
      </c>
      <c r="S29" s="22" t="n">
        <v>172.38</v>
      </c>
      <c r="T29" s="22" t="n">
        <v>292.55</v>
      </c>
      <c r="U29" s="22" t="n">
        <v>349.65</v>
      </c>
      <c r="V29" s="22" t="n">
        <v>180.6091456000001</v>
      </c>
      <c r="W29" s="22" t="n">
        <v>185.2864000000001</v>
      </c>
      <c r="X29" s="22" t="n">
        <v>187.3456000000001</v>
      </c>
      <c r="Y29" s="22" t="n">
        <v>184.8912000000001</v>
      </c>
      <c r="Z29" s="22" t="n">
        <v>173.03936</v>
      </c>
      <c r="AA29" s="22">
        <f>SUM(O29:U29)</f>
        <v/>
      </c>
      <c r="AB29" s="22">
        <f>SUM(O29:Z29)</f>
        <v/>
      </c>
      <c r="AC29" s="22" t="n">
        <v>178.2014208000001</v>
      </c>
      <c r="AD29" s="22" t="n">
        <v>134.8859616</v>
      </c>
      <c r="AE29" s="22" t="n">
        <v>229.1745664000001</v>
      </c>
      <c r="AF29" s="22" t="n">
        <v>178.2851616000001</v>
      </c>
      <c r="AG29" s="22" t="n">
        <v>180.3812192000001</v>
      </c>
      <c r="AH29" s="22" t="n">
        <v>164.6878688</v>
      </c>
      <c r="AI29" s="34">
        <f>SUM(AC29:AH29)</f>
        <v/>
      </c>
      <c r="AJ29" s="22">
        <f>SUM(AC29:AH29)+AI29</f>
        <v/>
      </c>
      <c r="AK29" s="11">
        <f>IF(N29&lt;&gt;0,(AB29-N29)/ABS(N29),0)</f>
        <v/>
      </c>
      <c r="AL29" s="11">
        <f>IF(AB29&lt;&gt;0,(AJ29-AB29)/ABS(AB29),0)</f>
        <v/>
      </c>
    </row>
    <row r="30" ht="13" customHeight="1">
      <c r="A30" s="23" t="inlineStr">
        <is>
          <t>Total Childcare Costs</t>
        </is>
      </c>
      <c r="B30" s="24">
        <f>B24+B25+B26+B27+B28+B29</f>
        <v/>
      </c>
      <c r="C30" s="24">
        <f>C24+C25+C26+C27+C28+C29</f>
        <v/>
      </c>
      <c r="D30" s="24">
        <f>D24+D25+D26+D27+D28+D29</f>
        <v/>
      </c>
      <c r="E30" s="24">
        <f>E24+E25+E26+E27+E28+E29</f>
        <v/>
      </c>
      <c r="F30" s="24">
        <f>F24+F25+F26+F27+F28+F29</f>
        <v/>
      </c>
      <c r="G30" s="24">
        <f>G24+G25+G26+G27+G28+G29</f>
        <v/>
      </c>
      <c r="H30" s="24">
        <f>H24+H25+H26+H27+H28+H29</f>
        <v/>
      </c>
      <c r="I30" s="24">
        <f>I24+I25+I26+I27+I28+I29</f>
        <v/>
      </c>
      <c r="J30" s="24">
        <f>J24+J25+J26+J27+J28+J29</f>
        <v/>
      </c>
      <c r="K30" s="24">
        <f>K24+K25+K26+K27+K28+K29</f>
        <v/>
      </c>
      <c r="L30" s="24">
        <f>L24+L25+L26+L27+L28+L29</f>
        <v/>
      </c>
      <c r="M30" s="24">
        <f>M24+M25+M26+M27+M28+M29</f>
        <v/>
      </c>
      <c r="N30" s="24">
        <f>N24+N25+N26+N27+N28+N29</f>
        <v/>
      </c>
      <c r="O30" s="24">
        <f>O24+O25+O26+O27+O28+O29</f>
        <v/>
      </c>
      <c r="P30" s="24">
        <f>P24+P25+P26+P27+P28+P29</f>
        <v/>
      </c>
      <c r="Q30" s="24">
        <f>Q24+Q25+Q26+Q27+Q28+Q29</f>
        <v/>
      </c>
      <c r="R30" s="24">
        <f>R24+R25+R26+R27+R28+R29</f>
        <v/>
      </c>
      <c r="S30" s="24">
        <f>S24+S25+S26+S27+S28+S29</f>
        <v/>
      </c>
      <c r="T30" s="24">
        <f>T24+T25+T26+T27+T28+T29</f>
        <v/>
      </c>
      <c r="U30" s="24">
        <f>U24+U25+U26+U27+U28+U29</f>
        <v/>
      </c>
      <c r="V30" s="24">
        <f>V24+V25+V26+V27+V28+V29</f>
        <v/>
      </c>
      <c r="W30" s="24">
        <f>W24+W25+W26+W27+W28+W29</f>
        <v/>
      </c>
      <c r="X30" s="24">
        <f>X24+X25+X26+X27+X28+X29</f>
        <v/>
      </c>
      <c r="Y30" s="24">
        <f>Y24+Y25+Y26+Y27+Y28+Y29</f>
        <v/>
      </c>
      <c r="Z30" s="24">
        <f>Z24+Z25+Z26+Z27+Z28+Z29</f>
        <v/>
      </c>
      <c r="AA30" s="24">
        <f>AA24+AA25+AA26+AA27+AA28+AA29</f>
        <v/>
      </c>
      <c r="AB30" s="24">
        <f>AB24+AB25+AB26+AB27+AB28+AB29</f>
        <v/>
      </c>
      <c r="AC30" s="24">
        <f>AC24+AC25+AC26+AC27+AC28+AC29</f>
        <v/>
      </c>
      <c r="AD30" s="24">
        <f>AD24+AD25+AD26+AD27+AD28+AD29</f>
        <v/>
      </c>
      <c r="AE30" s="24">
        <f>AE24+AE25+AE26+AE27+AE28+AE29</f>
        <v/>
      </c>
      <c r="AF30" s="24">
        <f>AF24+AF25+AF26+AF27+AF28+AF29</f>
        <v/>
      </c>
      <c r="AG30" s="24">
        <f>AG24+AG25+AG26+AG27+AG28+AG29</f>
        <v/>
      </c>
      <c r="AH30" s="24">
        <f>AH24+AH25+AH26+AH27+AH28+AH29</f>
        <v/>
      </c>
      <c r="AI30" s="24">
        <f>AI24+AI25+AI26+AI27+AI28+AI29</f>
        <v/>
      </c>
      <c r="AJ30" s="24">
        <f>AJ24+AJ25+AJ26+AJ27+AJ28+AJ29</f>
        <v/>
      </c>
      <c r="AK30" s="11">
        <f>IF(N30&lt;&gt;0,(AB30-N30)/ABS(N30),0)</f>
        <v/>
      </c>
      <c r="AL30" s="11">
        <f>IF(AB30&lt;&gt;0,(AJ30-AB30)/ABS(AB30),0)</f>
        <v/>
      </c>
    </row>
    <row r="31" ht="5" customHeight="1"/>
    <row r="32" ht="13" customHeight="1">
      <c r="A32" s="14" t="inlineStr">
        <is>
          <t>Premises &amp; Admin</t>
        </is>
      </c>
    </row>
    <row r="33" ht="13" customHeight="1">
      <c r="A33" s="25" t="inlineStr">
        <is>
          <t xml:space="preserve">    Rent</t>
        </is>
      </c>
      <c r="B33" s="26" t="n">
        <v>0</v>
      </c>
      <c r="C33" s="26" t="n">
        <v>0</v>
      </c>
      <c r="D33" s="26" t="n">
        <v>0</v>
      </c>
      <c r="E33" s="26" t="n">
        <v>0</v>
      </c>
      <c r="F33" s="26" t="n">
        <v>0</v>
      </c>
      <c r="G33" s="26" t="n">
        <v>0</v>
      </c>
      <c r="H33" s="26" t="n">
        <v>0</v>
      </c>
      <c r="I33" s="26" t="n">
        <v>0</v>
      </c>
      <c r="J33" s="26" t="n">
        <v>0</v>
      </c>
      <c r="K33" s="26" t="n">
        <v>0</v>
      </c>
      <c r="L33" s="26" t="n">
        <v>0</v>
      </c>
      <c r="M33" s="26" t="n">
        <v>0</v>
      </c>
      <c r="N33" s="26">
        <f>SUM(B33:M33)</f>
        <v/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  <c r="V33" s="26" t="n">
        <v>0</v>
      </c>
      <c r="W33" s="26" t="n">
        <v>0</v>
      </c>
      <c r="X33" s="26" t="n">
        <v>0</v>
      </c>
      <c r="Y33" s="26" t="n">
        <v>0</v>
      </c>
      <c r="Z33" s="26" t="n">
        <v>0</v>
      </c>
      <c r="AA33" s="26">
        <f>SUM(O33:U33)</f>
        <v/>
      </c>
      <c r="AB33" s="26">
        <f>SUM(O33:Z33)</f>
        <v/>
      </c>
      <c r="AC33" s="26" t="n">
        <v>0</v>
      </c>
      <c r="AD33" s="26" t="n">
        <v>0</v>
      </c>
      <c r="AE33" s="26" t="n">
        <v>0</v>
      </c>
      <c r="AF33" s="26" t="n">
        <v>0</v>
      </c>
      <c r="AG33" s="26" t="n">
        <v>0</v>
      </c>
      <c r="AH33" s="26" t="n">
        <v>0</v>
      </c>
      <c r="AI33" s="34">
        <f>SUM(AC33:AH33)</f>
        <v/>
      </c>
      <c r="AJ33" s="26">
        <f>SUM(AC33:AH33)+AI33</f>
        <v/>
      </c>
      <c r="AK33" s="11">
        <f>IF(N33&lt;&gt;0,(AB33-N33)/ABS(N33),0)</f>
        <v/>
      </c>
      <c r="AL33" s="11">
        <f>IF(AB33&lt;&gt;0,(AJ33-AB33)/ABS(AB33),0)</f>
        <v/>
      </c>
    </row>
    <row r="34" ht="13" customHeight="1">
      <c r="A34" s="25" t="inlineStr">
        <is>
          <t xml:space="preserve">    Business Rates</t>
        </is>
      </c>
      <c r="B34" s="26" t="n">
        <v>1382.65</v>
      </c>
      <c r="C34" s="26" t="n">
        <v>1382.65</v>
      </c>
      <c r="D34" s="26" t="n">
        <v>1382.65</v>
      </c>
      <c r="E34" s="26" t="n">
        <v>1382.65</v>
      </c>
      <c r="F34" s="26" t="n">
        <v>1382.65</v>
      </c>
      <c r="G34" s="26" t="n">
        <v>1382.65</v>
      </c>
      <c r="H34" s="26" t="n">
        <v>1382.65</v>
      </c>
      <c r="I34" s="26" t="n">
        <v>1382.65</v>
      </c>
      <c r="J34" s="26" t="n">
        <v>1382.65</v>
      </c>
      <c r="K34" s="26" t="n">
        <v>1382.65</v>
      </c>
      <c r="L34" s="26" t="n">
        <v>1382.65</v>
      </c>
      <c r="M34" s="26" t="n">
        <v>1382.65</v>
      </c>
      <c r="N34" s="26">
        <f>SUM(B34:M34)</f>
        <v/>
      </c>
      <c r="O34" s="26" t="n">
        <v>1382.64</v>
      </c>
      <c r="P34" s="26" t="n">
        <v>1382.63</v>
      </c>
      <c r="Q34" s="26" t="n">
        <v>1382.63</v>
      </c>
      <c r="R34" s="26" t="n">
        <v>1500.96</v>
      </c>
      <c r="S34" s="26" t="n">
        <v>1500.96</v>
      </c>
      <c r="T34" s="26" t="n">
        <v>1500.96</v>
      </c>
      <c r="U34" s="26" t="n">
        <v>1500.96</v>
      </c>
      <c r="AA34" s="26">
        <f>SUM(O34:U34)</f>
        <v/>
      </c>
      <c r="AB34" s="26">
        <f>SUM(O34:Z34)</f>
        <v/>
      </c>
      <c r="AC34" s="26" t="n">
        <v>1500.96</v>
      </c>
      <c r="AD34" s="26" t="n">
        <v>1500.96</v>
      </c>
      <c r="AE34" s="26" t="n">
        <v>1500.96</v>
      </c>
      <c r="AF34" s="26" t="n">
        <v>1500.96</v>
      </c>
      <c r="AG34" s="26" t="n">
        <v>1500.96</v>
      </c>
      <c r="AH34" s="26" t="n">
        <v>1500.96</v>
      </c>
      <c r="AI34" s="34">
        <f>SUM(AC34:AH34)</f>
        <v/>
      </c>
      <c r="AJ34" s="26">
        <f>SUM(AC34:AH34)+AI34</f>
        <v/>
      </c>
      <c r="AK34" s="11">
        <f>IF(N34&lt;&gt;0,(AB34-N34)/ABS(N34),0)</f>
        <v/>
      </c>
      <c r="AL34" s="11">
        <f>IF(AB34&lt;&gt;0,(AJ34-AB34)/ABS(AB34),0)</f>
        <v/>
      </c>
    </row>
    <row r="35" ht="13" customHeight="1">
      <c r="A35" s="25" t="inlineStr">
        <is>
          <t xml:space="preserve">    Utilities</t>
        </is>
      </c>
      <c r="B35" s="26" t="n">
        <v>1570.08</v>
      </c>
      <c r="C35" s="26" t="n">
        <v>515.15</v>
      </c>
      <c r="D35" s="26" t="n">
        <v>1396.8</v>
      </c>
      <c r="E35" s="26" t="n">
        <v>1226.21</v>
      </c>
      <c r="F35" s="26" t="n">
        <v>942.79</v>
      </c>
      <c r="G35" s="26" t="n">
        <v>1589.85</v>
      </c>
      <c r="H35" s="26" t="n">
        <v>881.61</v>
      </c>
      <c r="I35" s="26" t="n">
        <v>878.34</v>
      </c>
      <c r="J35" s="26" t="n">
        <v>-105.41</v>
      </c>
      <c r="K35" s="26" t="n">
        <v>934.6199999999999</v>
      </c>
      <c r="L35" s="26" t="n">
        <v>782.97</v>
      </c>
      <c r="M35" s="26" t="n">
        <v>1267.92</v>
      </c>
      <c r="N35" s="26">
        <f>SUM(B35:M35)</f>
        <v/>
      </c>
      <c r="O35" s="26" t="n">
        <v>1165.02</v>
      </c>
      <c r="P35" s="26" t="n">
        <v>1535.61</v>
      </c>
      <c r="Q35" s="26" t="n">
        <v>964.24</v>
      </c>
      <c r="R35" s="26" t="n">
        <v>1026.99</v>
      </c>
      <c r="S35" s="26" t="n">
        <v>802.77</v>
      </c>
      <c r="T35" s="26" t="n">
        <v>584.99</v>
      </c>
      <c r="U35" s="26" t="n">
        <v>1484.64</v>
      </c>
      <c r="AA35" s="26">
        <f>SUM(O35:U35)</f>
        <v/>
      </c>
      <c r="AB35" s="26">
        <f>SUM(O35:Z35)</f>
        <v/>
      </c>
      <c r="AC35" s="26" t="n">
        <v>1038</v>
      </c>
      <c r="AD35" s="26" t="n">
        <v>1038</v>
      </c>
      <c r="AE35" s="26" t="n">
        <v>1038</v>
      </c>
      <c r="AF35" s="26" t="n">
        <v>1038</v>
      </c>
      <c r="AG35" s="26" t="n">
        <v>1038</v>
      </c>
      <c r="AH35" s="26" t="n">
        <v>1038</v>
      </c>
      <c r="AI35" s="34">
        <f>SUM(AC35:AH35)</f>
        <v/>
      </c>
      <c r="AJ35" s="26">
        <f>SUM(AC35:AH35)+AI35</f>
        <v/>
      </c>
      <c r="AK35" s="11">
        <f>IF(N35&lt;&gt;0,(AB35-N35)/ABS(N35),0)</f>
        <v/>
      </c>
      <c r="AL35" s="11">
        <f>IF(AB35&lt;&gt;0,(AJ35-AB35)/ABS(AB35),0)</f>
        <v/>
      </c>
    </row>
    <row r="36" ht="13" customHeight="1">
      <c r="A36" s="25" t="inlineStr">
        <is>
          <t xml:space="preserve">    Repairs &amp; Maintenance</t>
        </is>
      </c>
      <c r="B36" s="26" t="n">
        <v>383.82</v>
      </c>
      <c r="C36" s="26" t="n">
        <v>21.9</v>
      </c>
      <c r="D36" s="26" t="n">
        <v>102.21</v>
      </c>
      <c r="E36" s="26" t="n">
        <v>9.359999999999999</v>
      </c>
      <c r="F36" s="26" t="n">
        <v>220.56</v>
      </c>
      <c r="G36" s="26" t="n">
        <v>278.76</v>
      </c>
      <c r="H36" s="26" t="n">
        <v>0</v>
      </c>
      <c r="I36" s="26" t="n">
        <v>0</v>
      </c>
      <c r="J36" s="26" t="n">
        <v>107.67</v>
      </c>
      <c r="K36" s="26" t="n">
        <v>169.3</v>
      </c>
      <c r="L36" s="26" t="n">
        <v>179.1</v>
      </c>
      <c r="M36" s="26" t="n">
        <v>428.4</v>
      </c>
      <c r="N36" s="26">
        <f>SUM(B36:M36)</f>
        <v/>
      </c>
      <c r="O36" s="26" t="n">
        <v>14.08</v>
      </c>
      <c r="P36" s="26" t="n">
        <v>548.3</v>
      </c>
      <c r="Q36" s="26" t="n">
        <v>12.58</v>
      </c>
      <c r="R36" s="26" t="n">
        <v>82.67</v>
      </c>
      <c r="S36" s="26" t="n">
        <v>20.55</v>
      </c>
      <c r="T36" s="26" t="n">
        <v>270.84</v>
      </c>
      <c r="U36" s="26" t="n">
        <v>222.69</v>
      </c>
      <c r="AA36" s="26">
        <f>SUM(O36:U36)</f>
        <v/>
      </c>
      <c r="AB36" s="26">
        <f>SUM(O36:Z36)</f>
        <v/>
      </c>
      <c r="AC36" s="26" t="n">
        <v>0</v>
      </c>
      <c r="AD36" s="26" t="n">
        <v>0</v>
      </c>
      <c r="AE36" s="26" t="n">
        <v>0</v>
      </c>
      <c r="AF36" s="26" t="n">
        <v>0</v>
      </c>
      <c r="AG36" s="26" t="n">
        <v>0</v>
      </c>
      <c r="AH36" s="26" t="n">
        <v>0</v>
      </c>
      <c r="AI36" s="34">
        <f>SUM(AC36:AH36)</f>
        <v/>
      </c>
      <c r="AJ36" s="26">
        <f>SUM(AC36:AH36)+AI36</f>
        <v/>
      </c>
      <c r="AK36" s="11">
        <f>IF(N36&lt;&gt;0,(AB36-N36)/ABS(N36),0)</f>
        <v/>
      </c>
      <c r="AL36" s="11">
        <f>IF(AB36&lt;&gt;0,(AJ36-AB36)/ABS(AB36),0)</f>
        <v/>
      </c>
    </row>
    <row r="37" ht="13" customHeight="1">
      <c r="A37" s="25" t="inlineStr">
        <is>
          <t xml:space="preserve">    Cleaning</t>
        </is>
      </c>
      <c r="B37" s="26" t="n">
        <v>310.57</v>
      </c>
      <c r="C37" s="26" t="n">
        <v>254.08</v>
      </c>
      <c r="D37" s="26" t="n">
        <v>248.65</v>
      </c>
      <c r="E37" s="26" t="n">
        <v>308.98</v>
      </c>
      <c r="F37" s="26" t="n">
        <v>101.99</v>
      </c>
      <c r="G37" s="26" t="n">
        <v>261.22</v>
      </c>
      <c r="H37" s="26" t="n">
        <v>245.36</v>
      </c>
      <c r="I37" s="26" t="n">
        <v>395.58</v>
      </c>
      <c r="J37" s="26" t="n">
        <v>143.96</v>
      </c>
      <c r="K37" s="26" t="n">
        <v>306.08</v>
      </c>
      <c r="L37" s="26" t="n">
        <v>192.07</v>
      </c>
      <c r="M37" s="26" t="n">
        <v>240.79</v>
      </c>
      <c r="N37" s="26">
        <f>SUM(B37:M37)</f>
        <v/>
      </c>
      <c r="O37" s="26" t="n">
        <v>180.35</v>
      </c>
      <c r="P37" s="26" t="n">
        <v>484.77</v>
      </c>
      <c r="Q37" s="26" t="n">
        <v>176.66</v>
      </c>
      <c r="R37" s="26" t="n">
        <v>192.3</v>
      </c>
      <c r="S37" s="26" t="n">
        <v>431.13</v>
      </c>
      <c r="T37" s="26" t="n">
        <v>252.79</v>
      </c>
      <c r="U37" s="26" t="n">
        <v>375.8000000000001</v>
      </c>
      <c r="AA37" s="26">
        <f>SUM(O37:U37)</f>
        <v/>
      </c>
      <c r="AB37" s="26">
        <f>SUM(O37:Z37)</f>
        <v/>
      </c>
      <c r="AC37" s="26" t="n">
        <v>257</v>
      </c>
      <c r="AD37" s="26" t="n">
        <v>257</v>
      </c>
      <c r="AE37" s="26" t="n">
        <v>257</v>
      </c>
      <c r="AF37" s="26" t="n">
        <v>257</v>
      </c>
      <c r="AG37" s="26" t="n">
        <v>257</v>
      </c>
      <c r="AH37" s="26" t="n">
        <v>257</v>
      </c>
      <c r="AI37" s="34">
        <f>SUM(AC37:AH37)</f>
        <v/>
      </c>
      <c r="AJ37" s="26">
        <f>SUM(AC37:AH37)+AI37</f>
        <v/>
      </c>
      <c r="AK37" s="11">
        <f>IF(N37&lt;&gt;0,(AB37-N37)/ABS(N37),0)</f>
        <v/>
      </c>
      <c r="AL37" s="11">
        <f>IF(AB37&lt;&gt;0,(AJ37-AB37)/ABS(AB37),0)</f>
        <v/>
      </c>
    </row>
    <row r="38" ht="13" customHeight="1">
      <c r="A38" s="25" t="inlineStr">
        <is>
          <t xml:space="preserve">    Waste Disposal</t>
        </is>
      </c>
      <c r="B38" s="26" t="n">
        <v>204</v>
      </c>
      <c r="C38" s="26" t="n">
        <v>247.44</v>
      </c>
      <c r="D38" s="26" t="n">
        <v>306.67</v>
      </c>
      <c r="E38" s="26" t="n">
        <v>213.65</v>
      </c>
      <c r="F38" s="26" t="n">
        <v>352.32</v>
      </c>
      <c r="G38" s="26" t="n">
        <v>369.11</v>
      </c>
      <c r="H38" s="26" t="n">
        <v>366.11</v>
      </c>
      <c r="I38" s="26" t="n">
        <v>323.55</v>
      </c>
      <c r="J38" s="26" t="n">
        <v>592.36</v>
      </c>
      <c r="K38" s="26" t="n">
        <v>323.56</v>
      </c>
      <c r="L38" s="26" t="n">
        <v>323.55</v>
      </c>
      <c r="M38" s="26" t="n">
        <v>477.7600000000001</v>
      </c>
      <c r="N38" s="26">
        <f>SUM(B38:M38)</f>
        <v/>
      </c>
      <c r="O38" s="26" t="n">
        <v>323.56</v>
      </c>
      <c r="P38" s="26" t="n">
        <v>332.86</v>
      </c>
      <c r="Q38" s="26" t="n">
        <v>436.67</v>
      </c>
      <c r="R38" s="26" t="n">
        <v>383.25</v>
      </c>
      <c r="S38" s="26" t="n">
        <v>467.92</v>
      </c>
      <c r="T38" s="26" t="n">
        <v>251.21</v>
      </c>
      <c r="U38" s="26" t="n">
        <v>428.82</v>
      </c>
      <c r="AA38" s="26">
        <f>SUM(O38:U38)</f>
        <v/>
      </c>
      <c r="AB38" s="26">
        <f>SUM(O38:Z38)</f>
        <v/>
      </c>
      <c r="AC38" s="26" t="n">
        <v>330</v>
      </c>
      <c r="AD38" s="26" t="n">
        <v>330</v>
      </c>
      <c r="AE38" s="26" t="n">
        <v>330</v>
      </c>
      <c r="AF38" s="26" t="n">
        <v>330</v>
      </c>
      <c r="AG38" s="26" t="n">
        <v>330</v>
      </c>
      <c r="AH38" s="26" t="n">
        <v>330</v>
      </c>
      <c r="AI38" s="34">
        <f>SUM(AC38:AH38)</f>
        <v/>
      </c>
      <c r="AJ38" s="26">
        <f>SUM(AC38:AH38)+AI38</f>
        <v/>
      </c>
      <c r="AK38" s="11">
        <f>IF(N38&lt;&gt;0,(AB38-N38)/ABS(N38),0)</f>
        <v/>
      </c>
      <c r="AL38" s="11">
        <f>IF(AB38&lt;&gt;0,(AJ38-AB38)/ABS(AB38),0)</f>
        <v/>
      </c>
    </row>
    <row r="39" ht="13" customHeight="1">
      <c r="A39" s="25" t="inlineStr">
        <is>
          <t xml:space="preserve">    Postage/Printing/Stationery</t>
        </is>
      </c>
      <c r="B39" s="26" t="n">
        <v>51.84</v>
      </c>
      <c r="C39" s="26" t="n">
        <v>71.55</v>
      </c>
      <c r="D39" s="26" t="n">
        <v>38.53</v>
      </c>
      <c r="E39" s="26" t="n">
        <v>53.47</v>
      </c>
      <c r="F39" s="26" t="n">
        <v>25.52</v>
      </c>
      <c r="G39" s="26" t="n">
        <v>21.61</v>
      </c>
      <c r="H39" s="26" t="n">
        <v>43.68</v>
      </c>
      <c r="I39" s="26" t="n">
        <v>41.65</v>
      </c>
      <c r="J39" s="26" t="n">
        <v>40.84</v>
      </c>
      <c r="K39" s="26" t="n">
        <v>31.14</v>
      </c>
      <c r="L39" s="26" t="n">
        <v>22.14</v>
      </c>
      <c r="M39" s="26" t="n">
        <v>46.7</v>
      </c>
      <c r="N39" s="26">
        <f>SUM(B39:M39)</f>
        <v/>
      </c>
      <c r="O39" s="26" t="n">
        <v>31.84</v>
      </c>
      <c r="P39" s="26" t="n">
        <v>36.52</v>
      </c>
      <c r="Q39" s="26" t="n">
        <v>40.32</v>
      </c>
      <c r="R39" s="26" t="n">
        <v>21.9</v>
      </c>
      <c r="S39" s="26" t="n">
        <v>53.64999999999999</v>
      </c>
      <c r="T39" s="26" t="n">
        <v>30.78</v>
      </c>
      <c r="U39" s="26" t="n">
        <v>59.51000000000001</v>
      </c>
      <c r="AA39" s="26">
        <f>SUM(O39:U39)</f>
        <v/>
      </c>
      <c r="AB39" s="26">
        <f>SUM(O39:Z39)</f>
        <v/>
      </c>
      <c r="AC39" s="26" t="n">
        <v>0</v>
      </c>
      <c r="AD39" s="26" t="n">
        <v>0</v>
      </c>
      <c r="AE39" s="26" t="n">
        <v>0</v>
      </c>
      <c r="AF39" s="26" t="n">
        <v>0</v>
      </c>
      <c r="AG39" s="26" t="n">
        <v>0</v>
      </c>
      <c r="AH39" s="26" t="n">
        <v>0</v>
      </c>
      <c r="AI39" s="34">
        <f>SUM(AC39:AH39)</f>
        <v/>
      </c>
      <c r="AJ39" s="26">
        <f>SUM(AC39:AH39)+AI39</f>
        <v/>
      </c>
      <c r="AK39" s="11">
        <f>IF(N39&lt;&gt;0,(AB39-N39)/ABS(N39),0)</f>
        <v/>
      </c>
      <c r="AL39" s="11">
        <f>IF(AB39&lt;&gt;0,(AJ39-AB39)/ABS(AB39),0)</f>
        <v/>
      </c>
    </row>
    <row r="40" ht="13" customHeight="1">
      <c r="A40" s="25" t="inlineStr">
        <is>
          <t xml:space="preserve">    Telephone</t>
        </is>
      </c>
      <c r="B40" s="26" t="n">
        <v>0</v>
      </c>
      <c r="C40" s="26" t="n">
        <v>0</v>
      </c>
      <c r="D40" s="26" t="n">
        <v>0</v>
      </c>
      <c r="E40" s="26" t="n">
        <v>0</v>
      </c>
      <c r="F40" s="26" t="n">
        <v>0</v>
      </c>
      <c r="G40" s="26" t="n">
        <v>0</v>
      </c>
      <c r="H40" s="26" t="n">
        <v>0</v>
      </c>
      <c r="I40" s="26" t="n">
        <v>0</v>
      </c>
      <c r="J40" s="26" t="n">
        <v>0</v>
      </c>
      <c r="K40" s="26" t="n">
        <v>0</v>
      </c>
      <c r="L40" s="26" t="n">
        <v>0</v>
      </c>
      <c r="M40" s="26" t="n">
        <v>0</v>
      </c>
      <c r="N40" s="26">
        <f>SUM(B40:M40)</f>
        <v/>
      </c>
      <c r="O40" s="26" t="n">
        <v>0</v>
      </c>
      <c r="P40" s="26" t="n">
        <v>108</v>
      </c>
      <c r="Q40" s="26" t="n">
        <v>18</v>
      </c>
      <c r="R40" s="26" t="n">
        <v>0</v>
      </c>
      <c r="S40" s="26" t="n">
        <v>0</v>
      </c>
      <c r="T40" s="26" t="n">
        <v>0</v>
      </c>
      <c r="U40" s="26" t="n">
        <v>0</v>
      </c>
      <c r="AA40" s="26">
        <f>SUM(O40:U40)</f>
        <v/>
      </c>
      <c r="AB40" s="26">
        <f>SUM(O40:Z40)</f>
        <v/>
      </c>
      <c r="AC40" s="26" t="n">
        <v>0</v>
      </c>
      <c r="AD40" s="26" t="n">
        <v>0</v>
      </c>
      <c r="AE40" s="26" t="n">
        <v>0</v>
      </c>
      <c r="AF40" s="26" t="n">
        <v>0</v>
      </c>
      <c r="AG40" s="26" t="n">
        <v>0</v>
      </c>
      <c r="AH40" s="26" t="n">
        <v>0</v>
      </c>
      <c r="AI40" s="34">
        <f>SUM(AC40:AH40)</f>
        <v/>
      </c>
      <c r="AJ40" s="26">
        <f>SUM(AC40:AH40)+AI40</f>
        <v/>
      </c>
      <c r="AK40" s="11">
        <f>IF(N40&lt;&gt;0,(AB40-N40)/ABS(N40),0)</f>
        <v/>
      </c>
      <c r="AL40" s="11">
        <f>IF(AB40&lt;&gt;0,(AJ40-AB40)/ABS(AB40),0)</f>
        <v/>
      </c>
    </row>
    <row r="41" ht="13" customHeight="1">
      <c r="A41" s="25" t="inlineStr">
        <is>
          <t xml:space="preserve">    Marketing</t>
        </is>
      </c>
      <c r="B41" s="26" t="n">
        <v>0</v>
      </c>
      <c r="C41" s="26" t="n">
        <v>0</v>
      </c>
      <c r="D41" s="26" t="n">
        <v>135.22</v>
      </c>
      <c r="E41" s="26" t="n">
        <v>0</v>
      </c>
      <c r="F41" s="26" t="n">
        <v>0</v>
      </c>
      <c r="G41" s="26" t="n">
        <v>45</v>
      </c>
      <c r="H41" s="26" t="n">
        <v>117.88</v>
      </c>
      <c r="I41" s="26" t="n">
        <v>45</v>
      </c>
      <c r="J41" s="26" t="n">
        <v>0</v>
      </c>
      <c r="K41" s="26" t="n">
        <v>0</v>
      </c>
      <c r="L41" s="26" t="n">
        <v>0</v>
      </c>
      <c r="M41" s="26" t="n">
        <v>0</v>
      </c>
      <c r="N41" s="26">
        <f>SUM(B41:M41)</f>
        <v/>
      </c>
      <c r="O41" s="26" t="n">
        <v>87</v>
      </c>
      <c r="P41" s="26" t="n">
        <v>0</v>
      </c>
      <c r="Q41" s="26" t="n">
        <v>18.75</v>
      </c>
      <c r="R41" s="26" t="n">
        <v>105</v>
      </c>
      <c r="S41" s="26" t="n">
        <v>0</v>
      </c>
      <c r="T41" s="26" t="n">
        <v>0</v>
      </c>
      <c r="U41" s="26" t="n">
        <v>14.98</v>
      </c>
      <c r="AA41" s="26">
        <f>SUM(O41:U41)</f>
        <v/>
      </c>
      <c r="AB41" s="26">
        <f>SUM(O41:Z41)</f>
        <v/>
      </c>
      <c r="AC41" s="26" t="n">
        <v>100</v>
      </c>
      <c r="AD41" s="26" t="n">
        <v>100</v>
      </c>
      <c r="AE41" s="26" t="n">
        <v>100</v>
      </c>
      <c r="AF41" s="26" t="n">
        <v>100</v>
      </c>
      <c r="AG41" s="26" t="n">
        <v>100</v>
      </c>
      <c r="AH41" s="26" t="n">
        <v>100</v>
      </c>
      <c r="AI41" s="34">
        <f>SUM(AC41:AH41)</f>
        <v/>
      </c>
      <c r="AJ41" s="26">
        <f>SUM(AC41:AH41)+AI41</f>
        <v/>
      </c>
      <c r="AK41" s="11">
        <f>IF(N41&lt;&gt;0,(AB41-N41)/ABS(N41),0)</f>
        <v/>
      </c>
      <c r="AL41" s="11">
        <f>IF(AB41&lt;&gt;0,(AJ41-AB41)/ABS(AB41),0)</f>
        <v/>
      </c>
    </row>
    <row r="42" ht="13" customHeight="1">
      <c r="A42" s="27" t="inlineStr">
        <is>
          <t>Total Premises &amp; Admin</t>
        </is>
      </c>
      <c r="B42" s="28">
        <f>B33+B34+B35+B36+B37+B38+B39+B40+B41</f>
        <v/>
      </c>
      <c r="C42" s="28">
        <f>C33+C34+C35+C36+C37+C38+C39+C40+C41</f>
        <v/>
      </c>
      <c r="D42" s="28">
        <f>D33+D34+D35+D36+D37+D38+D39+D40+D41</f>
        <v/>
      </c>
      <c r="E42" s="28">
        <f>E33+E34+E35+E36+E37+E38+E39+E40+E41</f>
        <v/>
      </c>
      <c r="F42" s="28">
        <f>F33+F34+F35+F36+F37+F38+F39+F40+F41</f>
        <v/>
      </c>
      <c r="G42" s="28">
        <f>G33+G34+G35+G36+G37+G38+G39+G40+G41</f>
        <v/>
      </c>
      <c r="H42" s="28">
        <f>H33+H34+H35+H36+H37+H38+H39+H40+H41</f>
        <v/>
      </c>
      <c r="I42" s="28">
        <f>I33+I34+I35+I36+I37+I38+I39+I40+I41</f>
        <v/>
      </c>
      <c r="J42" s="28">
        <f>J33+J34+J35+J36+J37+J38+J39+J40+J41</f>
        <v/>
      </c>
      <c r="K42" s="28">
        <f>K33+K34+K35+K36+K37+K38+K39+K40+K41</f>
        <v/>
      </c>
      <c r="L42" s="28">
        <f>L33+L34+L35+L36+L37+L38+L39+L40+L41</f>
        <v/>
      </c>
      <c r="M42" s="28">
        <f>M33+M34+M35+M36+M37+M38+M39+M40+M41</f>
        <v/>
      </c>
      <c r="N42" s="28">
        <f>N33+N34+N35+N36+N37+N38+N39+N40+N41</f>
        <v/>
      </c>
      <c r="O42" s="28">
        <f>O33+O34+O35+O36+O37+O38+O39+O40+O41</f>
        <v/>
      </c>
      <c r="P42" s="28">
        <f>P33+P34+P35+P36+P37+P38+P39+P40+P41</f>
        <v/>
      </c>
      <c r="Q42" s="28">
        <f>Q33+Q34+Q35+Q36+Q37+Q38+Q39+Q40+Q41</f>
        <v/>
      </c>
      <c r="R42" s="28">
        <f>R33+R34+R35+R36+R37+R38+R39+R40+R41</f>
        <v/>
      </c>
      <c r="S42" s="28">
        <f>S33+S34+S35+S36+S37+S38+S39+S40+S41</f>
        <v/>
      </c>
      <c r="T42" s="28">
        <f>T33+T34+T35+T36+T37+T38+T39+T40+T41</f>
        <v/>
      </c>
      <c r="U42" s="28">
        <f>U33+U34+U35+U36+U37+U38+U39+U40+U41</f>
        <v/>
      </c>
      <c r="V42" s="28">
        <f>V33+V34+V35+V36+V37+V38+V39+V40+V41</f>
        <v/>
      </c>
      <c r="W42" s="28">
        <f>W33+W34+W35+W36+W37+W38+W39+W40+W41</f>
        <v/>
      </c>
      <c r="X42" s="28">
        <f>X33+X34+X35+X36+X37+X38+X39+X40+X41</f>
        <v/>
      </c>
      <c r="Y42" s="28">
        <f>Y33+Y34+Y35+Y36+Y37+Y38+Y39+Y40+Y41</f>
        <v/>
      </c>
      <c r="Z42" s="28">
        <f>Z33+Z34+Z35+Z36+Z37+Z38+Z39+Z40+Z41</f>
        <v/>
      </c>
      <c r="AA42" s="28">
        <f>AA33+AA34+AA35+AA36+AA37+AA38+AA39+AA40+AA41</f>
        <v/>
      </c>
      <c r="AB42" s="28">
        <f>AB33+AB34+AB35+AB36+AB37+AB38+AB39+AB40+AB41</f>
        <v/>
      </c>
      <c r="AC42" s="28">
        <f>AC33+AC34+AC35+AC36+AC37+AC38+AC39+AC40+AC41</f>
        <v/>
      </c>
      <c r="AD42" s="28">
        <f>AD33+AD34+AD35+AD36+AD37+AD38+AD39+AD40+AD41</f>
        <v/>
      </c>
      <c r="AE42" s="28">
        <f>AE33+AE34+AE35+AE36+AE37+AE38+AE39+AE40+AE41</f>
        <v/>
      </c>
      <c r="AF42" s="28">
        <f>AF33+AF34+AF35+AF36+AF37+AF38+AF39+AF40+AF41</f>
        <v/>
      </c>
      <c r="AG42" s="28">
        <f>AG33+AG34+AG35+AG36+AG37+AG38+AG39+AG40+AG41</f>
        <v/>
      </c>
      <c r="AH42" s="28">
        <f>AH33+AH34+AH35+AH36+AH37+AH38+AH39+AH40+AH41</f>
        <v/>
      </c>
      <c r="AI42" s="28">
        <f>AI33+AI34+AI35+AI36+AI37+AI38+AI39+AI40+AI41</f>
        <v/>
      </c>
      <c r="AJ42" s="28">
        <f>AJ33+AJ34+AJ35+AJ36+AJ37+AJ38+AJ39+AJ40+AJ41</f>
        <v/>
      </c>
      <c r="AK42" s="11">
        <f>IF(N42&lt;&gt;0,(AB42-N42)/ABS(N42),0)</f>
        <v/>
      </c>
      <c r="AL42" s="11">
        <f>IF(AB42&lt;&gt;0,(AJ42-AB42)/ABS(AB42),0)</f>
        <v/>
      </c>
    </row>
    <row r="43" ht="5" customHeight="1"/>
    <row r="44" ht="13" customHeight="1">
      <c r="A44" s="29" t="inlineStr">
        <is>
          <t>Total Direct Costs</t>
        </is>
      </c>
      <c r="AK44" s="11">
        <f>IF(N44&lt;&gt;0,(AB44-N44)/ABS(N44),0)</f>
        <v/>
      </c>
      <c r="AL44" s="11">
        <f>IF(AB44&lt;&gt;0,(AJ44-AB44)/ABS(AB44),0)</f>
        <v/>
      </c>
    </row>
    <row r="45" ht="5" customHeight="1"/>
    <row r="46" ht="15" customHeight="1">
      <c r="A46" s="30" t="inlineStr">
        <is>
          <t>CONTRIBUTION</t>
        </is>
      </c>
      <c r="B46" s="31">
        <f>B7-B44</f>
        <v/>
      </c>
      <c r="C46" s="31">
        <f>C7-C44</f>
        <v/>
      </c>
      <c r="D46" s="31">
        <f>D7-D44</f>
        <v/>
      </c>
      <c r="E46" s="31">
        <f>E7-E44</f>
        <v/>
      </c>
      <c r="F46" s="31">
        <f>F7-F44</f>
        <v/>
      </c>
      <c r="G46" s="31">
        <f>G7-G44</f>
        <v/>
      </c>
      <c r="H46" s="31">
        <f>H7-H44</f>
        <v/>
      </c>
      <c r="I46" s="31">
        <f>I7-I44</f>
        <v/>
      </c>
      <c r="J46" s="31">
        <f>J7-J44</f>
        <v/>
      </c>
      <c r="K46" s="31">
        <f>K7-K44</f>
        <v/>
      </c>
      <c r="L46" s="31">
        <f>L7-L44</f>
        <v/>
      </c>
      <c r="M46" s="31">
        <f>M7-M44</f>
        <v/>
      </c>
      <c r="N46" s="31">
        <f>N7-N44</f>
        <v/>
      </c>
      <c r="O46" s="31">
        <f>O7-O44</f>
        <v/>
      </c>
      <c r="P46" s="31">
        <f>P7-P44</f>
        <v/>
      </c>
      <c r="Q46" s="31">
        <f>Q7-Q44</f>
        <v/>
      </c>
      <c r="R46" s="31">
        <f>R7-R44</f>
        <v/>
      </c>
      <c r="S46" s="31">
        <f>S7-S44</f>
        <v/>
      </c>
      <c r="T46" s="31">
        <f>T7-T44</f>
        <v/>
      </c>
      <c r="U46" s="31">
        <f>U7-U44</f>
        <v/>
      </c>
      <c r="V46" s="31">
        <f>V7-V44</f>
        <v/>
      </c>
      <c r="W46" s="31">
        <f>W7-W44</f>
        <v/>
      </c>
      <c r="X46" s="31">
        <f>X7-X44</f>
        <v/>
      </c>
      <c r="Y46" s="31">
        <f>Y7-Y44</f>
        <v/>
      </c>
      <c r="Z46" s="31">
        <f>Z7-Z44</f>
        <v/>
      </c>
      <c r="AA46" s="31">
        <f>AA7-AA44</f>
        <v/>
      </c>
      <c r="AB46" s="31">
        <f>AB7-AB44</f>
        <v/>
      </c>
      <c r="AC46" s="31">
        <f>AC7-AC44</f>
        <v/>
      </c>
      <c r="AD46" s="31">
        <f>AD7-AD44</f>
        <v/>
      </c>
      <c r="AE46" s="31">
        <f>AE7-AE44</f>
        <v/>
      </c>
      <c r="AF46" s="31">
        <f>AF7-AF44</f>
        <v/>
      </c>
      <c r="AG46" s="31">
        <f>AG7-AG44</f>
        <v/>
      </c>
      <c r="AH46" s="31">
        <f>AH7-AH44</f>
        <v/>
      </c>
      <c r="AI46" s="31">
        <f>AI7-AI44</f>
        <v/>
      </c>
      <c r="AJ46" s="31">
        <f>AJ7-AJ44</f>
        <v/>
      </c>
      <c r="AK46" s="11">
        <f>IF(N46&lt;&gt;0,(AB46-N46)/ABS(N46),0)</f>
        <v/>
      </c>
      <c r="AL46" s="11">
        <f>IF(AB46&lt;&gt;0,(AJ46-AB46)/ABS(AB46),0)</f>
        <v/>
      </c>
    </row>
  </sheetData>
  <mergeCells count="8">
    <mergeCell ref="A10:AL10"/>
    <mergeCell ref="B1:N1"/>
    <mergeCell ref="A23:AL23"/>
    <mergeCell ref="A32:AL32"/>
    <mergeCell ref="AC1:AJ1"/>
    <mergeCell ref="A9:AL9"/>
    <mergeCell ref="A3:AL3"/>
    <mergeCell ref="O1:AB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L4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9.5" customWidth="1" min="27" max="27"/>
    <col width="9.5" customWidth="1" min="28" max="28"/>
    <col width="9.5" customWidth="1" min="29" max="29"/>
    <col width="9.5" customWidth="1" min="30" max="30"/>
    <col width="9.5" customWidth="1" min="31" max="31"/>
    <col width="9.5" customWidth="1" min="32" max="32"/>
    <col width="9.5" customWidth="1" min="33" max="33"/>
    <col width="9.5" customWidth="1" min="34" max="34"/>
    <col width="9.5" customWidth="1" min="35" max="35"/>
    <col width="11" customWidth="1" min="36" max="36"/>
    <col width="10" customWidth="1" min="37" max="37"/>
    <col width="10" customWidth="1" min="38" max="38"/>
  </cols>
  <sheetData>
    <row r="1" ht="18" customHeight="1">
      <c r="A1" s="1" t="inlineStr">
        <is>
          <t>Woosehill</t>
        </is>
      </c>
      <c r="B1" s="2" t="inlineStr">
        <is>
          <t>Actuals 2025</t>
        </is>
      </c>
      <c r="O1" s="2" t="inlineStr">
        <is>
          <t>2026 Actual / Forecast</t>
        </is>
      </c>
      <c r="AC1" s="32" t="inlineStr">
        <is>
          <t>2027 Plan</t>
        </is>
      </c>
      <c r="AK1" s="3" t="inlineStr">
        <is>
          <t>YoY</t>
        </is>
      </c>
      <c r="AL1" s="3" t="inlineStr">
        <is>
          <t>YoY</t>
        </is>
      </c>
    </row>
    <row r="2" ht="22" customHeight="1">
      <c r="B2" s="4" t="inlineStr">
        <is>
          <t>Jan</t>
        </is>
      </c>
      <c r="C2" s="4" t="inlineStr">
        <is>
          <t>Feb</t>
        </is>
      </c>
      <c r="D2" s="4" t="inlineStr">
        <is>
          <t>Mar</t>
        </is>
      </c>
      <c r="E2" s="4" t="inlineStr">
        <is>
          <t>Apr</t>
        </is>
      </c>
      <c r="F2" s="4" t="inlineStr">
        <is>
          <t>May</t>
        </is>
      </c>
      <c r="G2" s="4" t="inlineStr">
        <is>
          <t>Jun</t>
        </is>
      </c>
      <c r="H2" s="4" t="inlineStr">
        <is>
          <t>Jul</t>
        </is>
      </c>
      <c r="I2" s="4" t="inlineStr">
        <is>
          <t>Aug</t>
        </is>
      </c>
      <c r="J2" s="4" t="inlineStr">
        <is>
          <t>Sep</t>
        </is>
      </c>
      <c r="K2" s="4" t="inlineStr">
        <is>
          <t>Oct</t>
        </is>
      </c>
      <c r="L2" s="4" t="inlineStr">
        <is>
          <t>Nov</t>
        </is>
      </c>
      <c r="M2" s="4" t="inlineStr">
        <is>
          <t>Dec</t>
        </is>
      </c>
      <c r="N2" s="5" t="inlineStr">
        <is>
          <t>FY2025
Total</t>
        </is>
      </c>
      <c r="O2" s="4" t="inlineStr">
        <is>
          <t>Jan</t>
        </is>
      </c>
      <c r="P2" s="4" t="inlineStr">
        <is>
          <t>Feb</t>
        </is>
      </c>
      <c r="Q2" s="4" t="inlineStr">
        <is>
          <t>Mar</t>
        </is>
      </c>
      <c r="R2" s="4" t="inlineStr">
        <is>
          <t>Apr</t>
        </is>
      </c>
      <c r="S2" s="4" t="inlineStr">
        <is>
          <t>May</t>
        </is>
      </c>
      <c r="T2" s="4" t="inlineStr">
        <is>
          <t>Jun</t>
        </is>
      </c>
      <c r="U2" s="4" t="inlineStr">
        <is>
          <t>Jul</t>
        </is>
      </c>
      <c r="V2" s="4" t="inlineStr">
        <is>
          <t>Aug</t>
        </is>
      </c>
      <c r="W2" s="4" t="inlineStr">
        <is>
          <t>Sep</t>
        </is>
      </c>
      <c r="X2" s="4" t="inlineStr">
        <is>
          <t>Oct</t>
        </is>
      </c>
      <c r="Y2" s="4" t="inlineStr">
        <is>
          <t>Nov</t>
        </is>
      </c>
      <c r="Z2" s="4" t="inlineStr">
        <is>
          <t>Dec</t>
        </is>
      </c>
      <c r="AA2" s="4" t="inlineStr">
        <is>
          <t>YTD</t>
        </is>
      </c>
      <c r="AB2" s="5" t="inlineStr">
        <is>
          <t>FY2026
Outlook</t>
        </is>
      </c>
      <c r="AC2" s="4" t="inlineStr">
        <is>
          <t>Jan</t>
        </is>
      </c>
      <c r="AD2" s="4" t="inlineStr">
        <is>
          <t>Feb</t>
        </is>
      </c>
      <c r="AE2" s="4" t="inlineStr">
        <is>
          <t>Mar</t>
        </is>
      </c>
      <c r="AF2" s="4" t="inlineStr">
        <is>
          <t>Apr</t>
        </is>
      </c>
      <c r="AG2" s="4" t="inlineStr">
        <is>
          <t>May</t>
        </is>
      </c>
      <c r="AH2" s="4" t="inlineStr">
        <is>
          <t>Jun</t>
        </is>
      </c>
      <c r="AI2" s="33" t="inlineStr">
        <is>
          <t>Jul-Dec
Plan</t>
        </is>
      </c>
      <c r="AJ2" s="4" t="inlineStr">
        <is>
          <t>FY2027</t>
        </is>
      </c>
      <c r="AK2" s="6" t="inlineStr">
        <is>
          <t>25→26
%</t>
        </is>
      </c>
      <c r="AL2" s="6" t="inlineStr">
        <is>
          <t>26→27
%</t>
        </is>
      </c>
    </row>
    <row r="3" ht="15" customHeight="1">
      <c r="A3" s="7" t="inlineStr">
        <is>
          <t>INCOME</t>
        </is>
      </c>
    </row>
    <row r="4" ht="13" customHeight="1">
      <c r="A4" s="8" t="inlineStr">
        <is>
          <t xml:space="preserve">    Fee Income Regular</t>
        </is>
      </c>
      <c r="B4" s="9" t="n">
        <v>46878.47</v>
      </c>
      <c r="C4" s="9" t="n">
        <v>39504.51</v>
      </c>
      <c r="D4" s="9" t="n">
        <v>40145.68</v>
      </c>
      <c r="E4" s="9" t="n">
        <v>48708.67</v>
      </c>
      <c r="F4" s="9" t="n">
        <v>42205.54</v>
      </c>
      <c r="G4" s="9" t="n">
        <v>34613.52</v>
      </c>
      <c r="H4" s="9" t="n">
        <v>42245.26</v>
      </c>
      <c r="I4" s="9" t="n">
        <v>33672.63</v>
      </c>
      <c r="J4" s="9" t="n">
        <v>25033.76</v>
      </c>
      <c r="K4" s="9" t="n">
        <v>26253.02</v>
      </c>
      <c r="L4" s="9" t="n">
        <v>21180.81</v>
      </c>
      <c r="M4" s="9" t="n">
        <v>28282.41</v>
      </c>
      <c r="N4" s="9">
        <f>SUM(B4:M4)</f>
        <v/>
      </c>
      <c r="O4" s="9" t="n">
        <v>23976.63</v>
      </c>
      <c r="P4" s="9" t="n">
        <v>23696.56</v>
      </c>
      <c r="Q4" s="9" t="n">
        <v>25469.58</v>
      </c>
      <c r="R4" s="9" t="n">
        <v>30200.56</v>
      </c>
      <c r="S4" s="9" t="n">
        <v>31166.02</v>
      </c>
      <c r="T4" s="9" t="n">
        <v>30767.52</v>
      </c>
      <c r="U4" s="9" t="n">
        <v>35467.3</v>
      </c>
      <c r="AA4" s="9">
        <f>SUM(O4:U4)</f>
        <v/>
      </c>
      <c r="AB4" s="9">
        <f>SUM(O4:Z4)</f>
        <v/>
      </c>
      <c r="AC4" s="9" t="n">
        <v>41588.67</v>
      </c>
      <c r="AD4" s="9" t="n">
        <v>39304.87</v>
      </c>
      <c r="AE4" s="9" t="n">
        <v>45975.67</v>
      </c>
      <c r="AF4" s="9" t="n">
        <v>44447.98</v>
      </c>
      <c r="AG4" s="9" t="n">
        <v>44789.08</v>
      </c>
      <c r="AH4" s="9" t="n">
        <v>46211.46</v>
      </c>
      <c r="AI4" s="34">
        <f>SUM(AC4:AH4)</f>
        <v/>
      </c>
      <c r="AJ4" s="9">
        <f>SUM(AC4:AH4)+AI4</f>
        <v/>
      </c>
      <c r="AK4" s="11">
        <f>IF(N4&lt;&gt;0,(AB4-N4)/ABS(N4),0)</f>
        <v/>
      </c>
      <c r="AL4" s="11">
        <f>IF(AB4&lt;&gt;0,(AJ4-AB4)/ABS(AB4),0)</f>
        <v/>
      </c>
    </row>
    <row r="5" ht="13" customHeight="1">
      <c r="A5" s="8" t="inlineStr">
        <is>
          <t xml:space="preserve">    EEEF Embedded</t>
        </is>
      </c>
      <c r="B5" s="9" t="n">
        <v>13609.7</v>
      </c>
      <c r="C5" s="9" t="n">
        <v>13565.2</v>
      </c>
      <c r="D5" s="9" t="n">
        <v>18208.75</v>
      </c>
      <c r="E5" s="9" t="n">
        <v>10311.05</v>
      </c>
      <c r="F5" s="9" t="n">
        <v>10311.05</v>
      </c>
      <c r="G5" s="9" t="n">
        <v>10311.05</v>
      </c>
      <c r="H5" s="9" t="n">
        <v>19083.82</v>
      </c>
      <c r="I5" s="9" t="n">
        <v>0</v>
      </c>
      <c r="J5" s="9" t="n">
        <v>11153.12</v>
      </c>
      <c r="K5" s="9" t="n">
        <v>11153.12</v>
      </c>
      <c r="L5" s="9" t="n">
        <v>14192.63</v>
      </c>
      <c r="M5" s="9" t="n">
        <v>14500.48</v>
      </c>
      <c r="N5" s="9">
        <f>SUM(B5:M5)</f>
        <v/>
      </c>
      <c r="O5" s="9" t="n">
        <v>14064.26</v>
      </c>
      <c r="P5" s="9" t="n">
        <v>14064.26</v>
      </c>
      <c r="Q5" s="9" t="n">
        <v>10942.29</v>
      </c>
      <c r="R5" s="9" t="n">
        <v>15118.85</v>
      </c>
      <c r="S5" s="9" t="n">
        <v>15118.85</v>
      </c>
      <c r="T5" s="9" t="n">
        <v>13296.96</v>
      </c>
      <c r="U5" s="9" t="n">
        <v>14511.56</v>
      </c>
      <c r="AA5" s="9">
        <f>SUM(O5:U5)</f>
        <v/>
      </c>
      <c r="AB5" s="9">
        <f>SUM(O5:Z5)</f>
        <v/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34">
        <f>SUM(AC5:AH5)</f>
        <v/>
      </c>
      <c r="AJ5" s="9">
        <f>SUM(AC5:AH5)+AI5</f>
        <v/>
      </c>
      <c r="AK5" s="11">
        <f>IF(N5&lt;&gt;0,(AB5-N5)/ABS(N5),0)</f>
        <v/>
      </c>
      <c r="AL5" s="11">
        <f>IF(AB5&lt;&gt;0,(AJ5-AB5)/ABS(AB5),0)</f>
        <v/>
      </c>
    </row>
    <row r="6" ht="13" customHeight="1">
      <c r="A6" s="8" t="inlineStr">
        <is>
          <t xml:space="preserve">    Other Income</t>
        </is>
      </c>
      <c r="B6" s="9" t="n">
        <v>0</v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3087.1</v>
      </c>
      <c r="J6" s="9" t="n">
        <v>0</v>
      </c>
      <c r="K6" s="9" t="n">
        <v>0</v>
      </c>
      <c r="L6" s="9" t="n">
        <v>0</v>
      </c>
      <c r="M6" s="9" t="n">
        <v>0</v>
      </c>
      <c r="N6" s="9">
        <f>SUM(B6:M6)</f>
        <v/>
      </c>
      <c r="O6" s="9" t="n">
        <v>0</v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0</v>
      </c>
      <c r="W6" s="9" t="n">
        <v>0</v>
      </c>
      <c r="X6" s="9" t="n">
        <v>0</v>
      </c>
      <c r="Y6" s="9" t="n">
        <v>0</v>
      </c>
      <c r="Z6" s="9" t="n">
        <v>0</v>
      </c>
      <c r="AA6" s="9">
        <f>SUM(O6:U6)</f>
        <v/>
      </c>
      <c r="AB6" s="9">
        <f>SUM(O6:Z6)</f>
        <v/>
      </c>
      <c r="AC6" s="9" t="n">
        <v>0</v>
      </c>
      <c r="AD6" s="9" t="n">
        <v>0</v>
      </c>
      <c r="AE6" s="9" t="n">
        <v>0</v>
      </c>
      <c r="AF6" s="9" t="n">
        <v>0</v>
      </c>
      <c r="AG6" s="9" t="n">
        <v>0</v>
      </c>
      <c r="AH6" s="9" t="n">
        <v>0</v>
      </c>
      <c r="AI6" s="34">
        <f>SUM(AC6:AH6)</f>
        <v/>
      </c>
      <c r="AJ6" s="9">
        <f>SUM(AC6:AH6)+AI6</f>
        <v/>
      </c>
      <c r="AK6" s="11">
        <f>IF(N6&lt;&gt;0,(AB6-N6)/ABS(N6),0)</f>
        <v/>
      </c>
      <c r="AL6" s="11">
        <f>IF(AB6&lt;&gt;0,(AJ6-AB6)/ABS(AB6),0)</f>
        <v/>
      </c>
    </row>
    <row r="7" ht="13" customHeight="1">
      <c r="A7" s="12" t="inlineStr">
        <is>
          <t>Total Income</t>
        </is>
      </c>
      <c r="B7" s="13">
        <f>B4+B5+B6</f>
        <v/>
      </c>
      <c r="C7" s="13">
        <f>C4+C5+C6</f>
        <v/>
      </c>
      <c r="D7" s="13">
        <f>D4+D5+D6</f>
        <v/>
      </c>
      <c r="E7" s="13">
        <f>E4+E5+E6</f>
        <v/>
      </c>
      <c r="F7" s="13">
        <f>F4+F5+F6</f>
        <v/>
      </c>
      <c r="G7" s="13">
        <f>G4+G5+G6</f>
        <v/>
      </c>
      <c r="H7" s="13">
        <f>H4+H5+H6</f>
        <v/>
      </c>
      <c r="I7" s="13">
        <f>I4+I5+I6</f>
        <v/>
      </c>
      <c r="J7" s="13">
        <f>J4+J5+J6</f>
        <v/>
      </c>
      <c r="K7" s="13">
        <f>K4+K5+K6</f>
        <v/>
      </c>
      <c r="L7" s="13">
        <f>L4+L5+L6</f>
        <v/>
      </c>
      <c r="M7" s="13">
        <f>M4+M5+M6</f>
        <v/>
      </c>
      <c r="N7" s="13">
        <f>N4+N5+N6</f>
        <v/>
      </c>
      <c r="O7" s="13">
        <f>O4+O5+O6</f>
        <v/>
      </c>
      <c r="P7" s="13">
        <f>P4+P5+P6</f>
        <v/>
      </c>
      <c r="Q7" s="13">
        <f>Q4+Q5+Q6</f>
        <v/>
      </c>
      <c r="R7" s="13">
        <f>R4+R5+R6</f>
        <v/>
      </c>
      <c r="S7" s="13">
        <f>S4+S5+S6</f>
        <v/>
      </c>
      <c r="T7" s="13">
        <f>T4+T5+T6</f>
        <v/>
      </c>
      <c r="U7" s="13">
        <f>U4+U5+U6</f>
        <v/>
      </c>
      <c r="V7" s="13">
        <f>V4+V5+V6</f>
        <v/>
      </c>
      <c r="W7" s="13">
        <f>W4+W5+W6</f>
        <v/>
      </c>
      <c r="X7" s="13">
        <f>X4+X5+X6</f>
        <v/>
      </c>
      <c r="Y7" s="13">
        <f>Y4+Y5+Y6</f>
        <v/>
      </c>
      <c r="Z7" s="13">
        <f>Z4+Z5+Z6</f>
        <v/>
      </c>
      <c r="AA7" s="13">
        <f>AA4+AA5+AA6</f>
        <v/>
      </c>
      <c r="AB7" s="13">
        <f>AB4+AB5+AB6</f>
        <v/>
      </c>
      <c r="AC7" s="13">
        <f>AC4+AC5+AC6</f>
        <v/>
      </c>
      <c r="AD7" s="13">
        <f>AD4+AD5+AD6</f>
        <v/>
      </c>
      <c r="AE7" s="13">
        <f>AE4+AE5+AE6</f>
        <v/>
      </c>
      <c r="AF7" s="13">
        <f>AF4+AF5+AF6</f>
        <v/>
      </c>
      <c r="AG7" s="13">
        <f>AG4+AG5+AG6</f>
        <v/>
      </c>
      <c r="AH7" s="13">
        <f>AH4+AH5+AH6</f>
        <v/>
      </c>
      <c r="AI7" s="13">
        <f>AI4+AI5+AI6</f>
        <v/>
      </c>
      <c r="AJ7" s="13">
        <f>AJ4+AJ5+AJ6</f>
        <v/>
      </c>
      <c r="AK7" s="11">
        <f>IF(N7&lt;&gt;0,(AB7-N7)/ABS(N7),0)</f>
        <v/>
      </c>
      <c r="AL7" s="11">
        <f>IF(AB7&lt;&gt;0,(AJ7-AB7)/ABS(AB7),0)</f>
        <v/>
      </c>
    </row>
    <row r="8" ht="5" customHeight="1"/>
    <row r="9" ht="15" customHeight="1">
      <c r="A9" s="7" t="inlineStr">
        <is>
          <t>DIRECT COSTS</t>
        </is>
      </c>
    </row>
    <row r="10" ht="13" customHeight="1">
      <c r="A10" s="14" t="inlineStr">
        <is>
          <t>Personnel</t>
        </is>
      </c>
    </row>
    <row r="11" ht="13" customHeight="1">
      <c r="A11" s="15" t="inlineStr">
        <is>
          <t xml:space="preserve">    Nursery Salaries</t>
        </is>
      </c>
      <c r="B11" s="16" t="n">
        <v>20756.36</v>
      </c>
      <c r="C11" s="16" t="n">
        <v>19806.86</v>
      </c>
      <c r="D11" s="16" t="n">
        <v>20531.46</v>
      </c>
      <c r="E11" s="16" t="n">
        <v>19402.01</v>
      </c>
      <c r="F11" s="16" t="n">
        <v>22124.86</v>
      </c>
      <c r="G11" s="16" t="n">
        <v>22021.86</v>
      </c>
      <c r="H11" s="16" t="n">
        <v>24315.4</v>
      </c>
      <c r="I11" s="16" t="n">
        <v>24581.26</v>
      </c>
      <c r="J11" s="16" t="n">
        <v>23919.17</v>
      </c>
      <c r="K11" s="16" t="n">
        <v>23372.12</v>
      </c>
      <c r="L11" s="16" t="n">
        <v>23435.07</v>
      </c>
      <c r="M11" s="16" t="n">
        <v>23209.45</v>
      </c>
      <c r="N11" s="16">
        <f>SUM(B11:M11)</f>
        <v/>
      </c>
      <c r="O11" s="16" t="n">
        <v>24889.92</v>
      </c>
      <c r="P11" s="16" t="n">
        <v>22510.1</v>
      </c>
      <c r="Q11" s="16" t="n">
        <v>21677.19</v>
      </c>
      <c r="R11" s="16" t="n">
        <v>23069.23</v>
      </c>
      <c r="S11" s="16" t="n">
        <v>23667.51</v>
      </c>
      <c r="T11" s="16" t="n">
        <v>24501.65</v>
      </c>
      <c r="U11" s="16" t="n">
        <v>24044.23</v>
      </c>
      <c r="AA11" s="16">
        <f>SUM(O11:U11)</f>
        <v/>
      </c>
      <c r="AB11" s="16">
        <f>SUM(O11:Z11)</f>
        <v/>
      </c>
      <c r="AC11" s="16" t="n">
        <v>23746</v>
      </c>
      <c r="AD11" s="16" t="n">
        <v>23746</v>
      </c>
      <c r="AE11" s="16" t="n">
        <v>23746</v>
      </c>
      <c r="AF11" s="16" t="n">
        <v>23746</v>
      </c>
      <c r="AG11" s="16" t="n">
        <v>23746</v>
      </c>
      <c r="AH11" s="16" t="n">
        <v>23746</v>
      </c>
      <c r="AI11" s="34">
        <f>SUM(AC11:AH11)</f>
        <v/>
      </c>
      <c r="AJ11" s="16">
        <f>SUM(AC11:AH11)+AI11</f>
        <v/>
      </c>
      <c r="AK11" s="11">
        <f>IF(N11&lt;&gt;0,(AB11-N11)/ABS(N11),0)</f>
        <v/>
      </c>
      <c r="AL11" s="11">
        <f>IF(AB11&lt;&gt;0,(AJ11-AB11)/ABS(AB11),0)</f>
        <v/>
      </c>
    </row>
    <row r="12" ht="13" customHeight="1">
      <c r="A12" s="15" t="inlineStr">
        <is>
          <t xml:space="preserve">    Nursery NI</t>
        </is>
      </c>
      <c r="B12" s="16" t="n">
        <v>1655.57</v>
      </c>
      <c r="C12" s="16" t="n">
        <v>1539.05</v>
      </c>
      <c r="D12" s="16" t="n">
        <v>1352.02</v>
      </c>
      <c r="E12" s="16" t="n">
        <v>2052.92</v>
      </c>
      <c r="F12" s="16" t="n">
        <v>2333.4</v>
      </c>
      <c r="G12" s="16" t="n">
        <v>2443.45</v>
      </c>
      <c r="H12" s="16" t="n">
        <v>2653.22</v>
      </c>
      <c r="I12" s="16" t="n">
        <v>2586.83</v>
      </c>
      <c r="J12" s="16" t="n">
        <v>2580.16</v>
      </c>
      <c r="K12" s="16" t="n">
        <v>2539.9</v>
      </c>
      <c r="L12" s="16" t="n">
        <v>2560.76</v>
      </c>
      <c r="M12" s="16" t="n">
        <v>2576.25</v>
      </c>
      <c r="N12" s="16">
        <f>SUM(B12:M12)</f>
        <v/>
      </c>
      <c r="O12" s="16" t="n">
        <v>2704.66</v>
      </c>
      <c r="P12" s="16" t="n">
        <v>2448.49</v>
      </c>
      <c r="Q12" s="16" t="n">
        <v>2421.63</v>
      </c>
      <c r="R12" s="16" t="n">
        <v>2617.02</v>
      </c>
      <c r="S12" s="16" t="n">
        <v>2786.79</v>
      </c>
      <c r="T12" s="16" t="n">
        <v>2757.06</v>
      </c>
      <c r="U12" s="16" t="n">
        <v>2718.53</v>
      </c>
      <c r="AA12" s="16">
        <f>SUM(O12:U12)</f>
        <v/>
      </c>
      <c r="AB12" s="16">
        <f>SUM(O12:Z12)</f>
        <v/>
      </c>
      <c r="AC12" s="16" t="n">
        <v>2720</v>
      </c>
      <c r="AD12" s="16" t="n">
        <v>2720</v>
      </c>
      <c r="AE12" s="16" t="n">
        <v>2720</v>
      </c>
      <c r="AF12" s="16" t="n">
        <v>2720</v>
      </c>
      <c r="AG12" s="16" t="n">
        <v>2720</v>
      </c>
      <c r="AH12" s="16" t="n">
        <v>2720</v>
      </c>
      <c r="AI12" s="34">
        <f>SUM(AC12:AH12)</f>
        <v/>
      </c>
      <c r="AJ12" s="16">
        <f>SUM(AC12:AH12)+AI12</f>
        <v/>
      </c>
      <c r="AK12" s="11">
        <f>IF(N12&lt;&gt;0,(AB12-N12)/ABS(N12),0)</f>
        <v/>
      </c>
      <c r="AL12" s="11">
        <f>IF(AB12&lt;&gt;0,(AJ12-AB12)/ABS(AB12),0)</f>
        <v/>
      </c>
    </row>
    <row r="13" ht="13" customHeight="1">
      <c r="A13" s="15" t="inlineStr">
        <is>
          <t xml:space="preserve">    Nursery Pension</t>
        </is>
      </c>
      <c r="B13" s="16" t="n">
        <v>417.15</v>
      </c>
      <c r="C13" s="16" t="n">
        <v>385.03</v>
      </c>
      <c r="D13" s="16" t="n">
        <v>349.16</v>
      </c>
      <c r="E13" s="16" t="n">
        <v>295.5</v>
      </c>
      <c r="F13" s="16" t="n">
        <v>316.81</v>
      </c>
      <c r="G13" s="16" t="n">
        <v>324.97</v>
      </c>
      <c r="H13" s="16" t="n">
        <v>296.65</v>
      </c>
      <c r="I13" s="16" t="n">
        <v>300.58</v>
      </c>
      <c r="J13" s="16" t="n">
        <v>267.24</v>
      </c>
      <c r="K13" s="16" t="n">
        <v>328.1</v>
      </c>
      <c r="L13" s="16" t="n">
        <v>388.4</v>
      </c>
      <c r="M13" s="16" t="n">
        <v>392.25</v>
      </c>
      <c r="N13" s="16">
        <f>SUM(B13:M13)</f>
        <v/>
      </c>
      <c r="O13" s="16" t="n">
        <v>411.41</v>
      </c>
      <c r="P13" s="16" t="n">
        <v>379.79</v>
      </c>
      <c r="Q13" s="16" t="n">
        <v>374.65</v>
      </c>
      <c r="R13" s="16" t="n">
        <v>408.21</v>
      </c>
      <c r="S13" s="16" t="n">
        <v>391.92</v>
      </c>
      <c r="T13" s="16" t="n">
        <v>393.36</v>
      </c>
      <c r="U13" s="16" t="n">
        <v>376.05</v>
      </c>
      <c r="AA13" s="16">
        <f>SUM(O13:U13)</f>
        <v/>
      </c>
      <c r="AB13" s="16">
        <f>SUM(O13:Z13)</f>
        <v/>
      </c>
      <c r="AC13" s="16" t="n">
        <v>398</v>
      </c>
      <c r="AD13" s="16" t="n">
        <v>398</v>
      </c>
      <c r="AE13" s="16" t="n">
        <v>398</v>
      </c>
      <c r="AF13" s="16" t="n">
        <v>398</v>
      </c>
      <c r="AG13" s="16" t="n">
        <v>398</v>
      </c>
      <c r="AH13" s="16" t="n">
        <v>398</v>
      </c>
      <c r="AI13" s="34">
        <f>SUM(AC13:AH13)</f>
        <v/>
      </c>
      <c r="AJ13" s="16">
        <f>SUM(AC13:AH13)+AI13</f>
        <v/>
      </c>
      <c r="AK13" s="11">
        <f>IF(N13&lt;&gt;0,(AB13-N13)/ABS(N13),0)</f>
        <v/>
      </c>
      <c r="AL13" s="11">
        <f>IF(AB13&lt;&gt;0,(AJ13-AB13)/ABS(AB13),0)</f>
        <v/>
      </c>
    </row>
    <row r="14" ht="13" customHeight="1">
      <c r="A14" s="15" t="inlineStr">
        <is>
          <t xml:space="preserve">    Uniform</t>
        </is>
      </c>
      <c r="B14" s="16" t="n">
        <v>102.56</v>
      </c>
      <c r="C14" s="16" t="n">
        <v>0</v>
      </c>
      <c r="D14" s="16" t="n">
        <v>132.9</v>
      </c>
      <c r="E14" s="16" t="n">
        <v>0</v>
      </c>
      <c r="F14" s="16" t="n">
        <v>0</v>
      </c>
      <c r="G14" s="16" t="n">
        <v>0</v>
      </c>
      <c r="H14" s="16" t="n">
        <v>365.88</v>
      </c>
      <c r="I14" s="16" t="n">
        <v>0</v>
      </c>
      <c r="J14" s="16" t="n">
        <v>10.99</v>
      </c>
      <c r="K14" s="16" t="n">
        <v>0</v>
      </c>
      <c r="L14" s="16" t="n">
        <v>0</v>
      </c>
      <c r="M14" s="16" t="n">
        <v>0</v>
      </c>
      <c r="N14" s="16">
        <f>SUM(B14:M14)</f>
        <v/>
      </c>
      <c r="O14" s="16" t="n">
        <v>0</v>
      </c>
      <c r="P14" s="16" t="n">
        <v>0</v>
      </c>
      <c r="Q14" s="16" t="n">
        <v>0</v>
      </c>
      <c r="R14" s="16" t="n">
        <v>0</v>
      </c>
      <c r="S14" s="16" t="n">
        <v>210.3</v>
      </c>
      <c r="T14" s="16" t="n">
        <v>0</v>
      </c>
      <c r="U14" s="16" t="n">
        <v>183</v>
      </c>
      <c r="AA14" s="16">
        <f>SUM(O14:U14)</f>
        <v/>
      </c>
      <c r="AB14" s="16">
        <f>SUM(O14:Z14)</f>
        <v/>
      </c>
      <c r="AC14" s="16" t="n">
        <v>59</v>
      </c>
      <c r="AD14" s="16" t="n">
        <v>59</v>
      </c>
      <c r="AE14" s="16" t="n">
        <v>59</v>
      </c>
      <c r="AF14" s="16" t="n">
        <v>59</v>
      </c>
      <c r="AG14" s="16" t="n">
        <v>59</v>
      </c>
      <c r="AH14" s="16" t="n">
        <v>59</v>
      </c>
      <c r="AI14" s="34">
        <f>SUM(AC14:AH14)</f>
        <v/>
      </c>
      <c r="AJ14" s="16">
        <f>SUM(AC14:AH14)+AI14</f>
        <v/>
      </c>
      <c r="AK14" s="11">
        <f>IF(N14&lt;&gt;0,(AB14-N14)/ABS(N14),0)</f>
        <v/>
      </c>
      <c r="AL14" s="11">
        <f>IF(AB14&lt;&gt;0,(AJ14-AB14)/ABS(AB14),0)</f>
        <v/>
      </c>
    </row>
    <row r="15" ht="13" customHeight="1">
      <c r="A15" s="15" t="inlineStr">
        <is>
          <t xml:space="preserve">    Training</t>
        </is>
      </c>
      <c r="B15" s="16" t="n">
        <v>13.99</v>
      </c>
      <c r="C15" s="16" t="n">
        <v>0</v>
      </c>
      <c r="D15" s="16" t="n">
        <v>0</v>
      </c>
      <c r="E15" s="16" t="n">
        <v>0</v>
      </c>
      <c r="F15" s="16" t="n">
        <v>0</v>
      </c>
      <c r="G15" s="16" t="n">
        <v>120</v>
      </c>
      <c r="H15" s="16" t="n">
        <v>0</v>
      </c>
      <c r="I15" s="16" t="n">
        <v>0</v>
      </c>
      <c r="J15" s="16" t="n">
        <v>0</v>
      </c>
      <c r="K15" s="16" t="n">
        <v>0</v>
      </c>
      <c r="L15" s="16" t="n">
        <v>330.62</v>
      </c>
      <c r="M15" s="16" t="n">
        <v>0</v>
      </c>
      <c r="N15" s="16">
        <f>SUM(B15:M15)</f>
        <v/>
      </c>
      <c r="O15" s="16" t="n">
        <v>0</v>
      </c>
      <c r="P15" s="16" t="n">
        <v>0</v>
      </c>
      <c r="Q15" s="16" t="n">
        <v>0</v>
      </c>
      <c r="R15" s="16" t="n">
        <v>0</v>
      </c>
      <c r="S15" s="16" t="n">
        <v>26.25</v>
      </c>
      <c r="T15" s="16" t="n">
        <v>26.25</v>
      </c>
      <c r="U15" s="16" t="n">
        <v>26.25</v>
      </c>
      <c r="AA15" s="16">
        <f>SUM(O15:U15)</f>
        <v/>
      </c>
      <c r="AB15" s="16">
        <f>SUM(O15:Z15)</f>
        <v/>
      </c>
      <c r="AC15" s="16" t="n">
        <v>50</v>
      </c>
      <c r="AD15" s="16" t="n">
        <v>50</v>
      </c>
      <c r="AE15" s="16" t="n">
        <v>50</v>
      </c>
      <c r="AF15" s="16" t="n">
        <v>50</v>
      </c>
      <c r="AG15" s="16" t="n">
        <v>50</v>
      </c>
      <c r="AH15" s="16" t="n">
        <v>50</v>
      </c>
      <c r="AI15" s="34">
        <f>SUM(AC15:AH15)</f>
        <v/>
      </c>
      <c r="AJ15" s="16">
        <f>SUM(AC15:AH15)+AI15</f>
        <v/>
      </c>
      <c r="AK15" s="11">
        <f>IF(N15&lt;&gt;0,(AB15-N15)/ABS(N15),0)</f>
        <v/>
      </c>
      <c r="AL15" s="11">
        <f>IF(AB15&lt;&gt;0,(AJ15-AB15)/ABS(AB15),0)</f>
        <v/>
      </c>
    </row>
    <row r="16" ht="13" customHeight="1">
      <c r="A16" s="15" t="inlineStr">
        <is>
          <t xml:space="preserve">    Staff Welfare</t>
        </is>
      </c>
      <c r="B16" s="16" t="n">
        <v>156.89</v>
      </c>
      <c r="C16" s="16" t="n">
        <v>118.99</v>
      </c>
      <c r="D16" s="16" t="n">
        <v>0</v>
      </c>
      <c r="E16" s="16" t="n">
        <v>37.22</v>
      </c>
      <c r="F16" s="16" t="n">
        <v>40.65</v>
      </c>
      <c r="G16" s="16" t="n">
        <v>61.78</v>
      </c>
      <c r="H16" s="16" t="n">
        <v>45.84</v>
      </c>
      <c r="I16" s="16" t="n">
        <v>85.55</v>
      </c>
      <c r="J16" s="16" t="n">
        <v>36.86</v>
      </c>
      <c r="K16" s="16" t="n">
        <v>107.12</v>
      </c>
      <c r="L16" s="16" t="n">
        <v>53.8</v>
      </c>
      <c r="M16" s="16" t="n">
        <v>71.59999999999999</v>
      </c>
      <c r="N16" s="16">
        <f>SUM(B16:M16)</f>
        <v/>
      </c>
      <c r="O16" s="16" t="n">
        <v>49.95</v>
      </c>
      <c r="P16" s="16" t="n">
        <v>48.32</v>
      </c>
      <c r="Q16" s="16" t="n">
        <v>130.4</v>
      </c>
      <c r="R16" s="16" t="n">
        <v>92.13</v>
      </c>
      <c r="S16" s="16" t="n">
        <v>81.95</v>
      </c>
      <c r="T16" s="16" t="n">
        <v>84.83</v>
      </c>
      <c r="U16" s="16" t="n">
        <v>95.39</v>
      </c>
      <c r="AA16" s="16">
        <f>SUM(O16:U16)</f>
        <v/>
      </c>
      <c r="AB16" s="16">
        <f>SUM(O16:Z16)</f>
        <v/>
      </c>
      <c r="AC16" s="16" t="n">
        <v>120</v>
      </c>
      <c r="AD16" s="16" t="n">
        <v>120</v>
      </c>
      <c r="AE16" s="16" t="n">
        <v>120</v>
      </c>
      <c r="AF16" s="16" t="n">
        <v>120</v>
      </c>
      <c r="AG16" s="16" t="n">
        <v>120</v>
      </c>
      <c r="AH16" s="16" t="n">
        <v>120</v>
      </c>
      <c r="AI16" s="34">
        <f>SUM(AC16:AH16)</f>
        <v/>
      </c>
      <c r="AJ16" s="16">
        <f>SUM(AC16:AH16)+AI16</f>
        <v/>
      </c>
      <c r="AK16" s="11">
        <f>IF(N16&lt;&gt;0,(AB16-N16)/ABS(N16),0)</f>
        <v/>
      </c>
      <c r="AL16" s="11">
        <f>IF(AB16&lt;&gt;0,(AJ16-AB16)/ABS(AB16),0)</f>
        <v/>
      </c>
    </row>
    <row r="17" ht="13" customHeight="1">
      <c r="A17" s="15" t="inlineStr">
        <is>
          <t xml:space="preserve">    Recruitment</t>
        </is>
      </c>
      <c r="B17" s="16" t="n">
        <v>0</v>
      </c>
      <c r="C17" s="16" t="n">
        <v>0</v>
      </c>
      <c r="D17" s="16" t="n">
        <v>0</v>
      </c>
      <c r="E17" s="16" t="n">
        <v>0</v>
      </c>
      <c r="F17" s="16" t="n">
        <v>0</v>
      </c>
      <c r="G17" s="16" t="n">
        <v>0</v>
      </c>
      <c r="H17" s="16" t="n">
        <v>0</v>
      </c>
      <c r="I17" s="16" t="n">
        <v>0</v>
      </c>
      <c r="J17" s="16" t="n">
        <v>0</v>
      </c>
      <c r="K17" s="16" t="n">
        <v>0</v>
      </c>
      <c r="L17" s="16" t="n">
        <v>0</v>
      </c>
      <c r="M17" s="16" t="n">
        <v>0</v>
      </c>
      <c r="N17" s="16">
        <f>SUM(B17:M17)</f>
        <v/>
      </c>
      <c r="O17" s="16" t="n">
        <v>0</v>
      </c>
      <c r="P17" s="16" t="n">
        <v>0</v>
      </c>
      <c r="Q17" s="16" t="n">
        <v>0</v>
      </c>
      <c r="R17" s="16" t="n">
        <v>0</v>
      </c>
      <c r="S17" s="16" t="n">
        <v>0</v>
      </c>
      <c r="T17" s="16" t="n">
        <v>0</v>
      </c>
      <c r="U17" s="16" t="n">
        <v>0</v>
      </c>
      <c r="V17" s="16" t="n">
        <v>0</v>
      </c>
      <c r="W17" s="16" t="n">
        <v>0</v>
      </c>
      <c r="X17" s="16" t="n">
        <v>0</v>
      </c>
      <c r="Y17" s="16" t="n">
        <v>0</v>
      </c>
      <c r="Z17" s="16" t="n">
        <v>0</v>
      </c>
      <c r="AA17" s="16">
        <f>SUM(O17:U17)</f>
        <v/>
      </c>
      <c r="AB17" s="16">
        <f>SUM(O17:Z17)</f>
        <v/>
      </c>
      <c r="AC17" s="16" t="n">
        <v>0</v>
      </c>
      <c r="AD17" s="16" t="n">
        <v>0</v>
      </c>
      <c r="AE17" s="16" t="n">
        <v>0</v>
      </c>
      <c r="AF17" s="16" t="n">
        <v>0</v>
      </c>
      <c r="AG17" s="16" t="n">
        <v>0</v>
      </c>
      <c r="AH17" s="16" t="n">
        <v>0</v>
      </c>
      <c r="AI17" s="34">
        <f>SUM(AC17:AH17)</f>
        <v/>
      </c>
      <c r="AJ17" s="16">
        <f>SUM(AC17:AH17)+AI17</f>
        <v/>
      </c>
      <c r="AK17" s="11">
        <f>IF(N17&lt;&gt;0,(AB17-N17)/ABS(N17),0)</f>
        <v/>
      </c>
      <c r="AL17" s="11">
        <f>IF(AB17&lt;&gt;0,(AJ17-AB17)/ABS(AB17),0)</f>
        <v/>
      </c>
    </row>
    <row r="18" ht="13" customHeight="1">
      <c r="A18" s="15" t="inlineStr">
        <is>
          <t xml:space="preserve">    Rewards &amp; Recognition</t>
        </is>
      </c>
      <c r="B18" s="16" t="n">
        <v>0</v>
      </c>
      <c r="C18" s="16" t="n">
        <v>0</v>
      </c>
      <c r="D18" s="16" t="n">
        <v>0</v>
      </c>
      <c r="E18" s="16" t="n">
        <v>0</v>
      </c>
      <c r="F18" s="16" t="n">
        <v>0</v>
      </c>
      <c r="G18" s="16" t="n">
        <v>0</v>
      </c>
      <c r="H18" s="16" t="n">
        <v>0</v>
      </c>
      <c r="I18" s="16" t="n">
        <v>0</v>
      </c>
      <c r="J18" s="16" t="n">
        <v>0</v>
      </c>
      <c r="K18" s="16" t="n">
        <v>0</v>
      </c>
      <c r="L18" s="16" t="n">
        <v>0</v>
      </c>
      <c r="M18" s="16" t="n">
        <v>0</v>
      </c>
      <c r="N18" s="16">
        <f>SUM(B18:M18)</f>
        <v/>
      </c>
      <c r="O18" s="16" t="n">
        <v>0</v>
      </c>
      <c r="P18" s="16" t="n">
        <v>0</v>
      </c>
      <c r="Q18" s="16" t="n">
        <v>0</v>
      </c>
      <c r="R18" s="16" t="n">
        <v>0</v>
      </c>
      <c r="S18" s="16" t="n">
        <v>0</v>
      </c>
      <c r="T18" s="16" t="n">
        <v>0</v>
      </c>
      <c r="U18" s="16" t="n">
        <v>0</v>
      </c>
      <c r="V18" s="16" t="n">
        <v>0</v>
      </c>
      <c r="W18" s="16" t="n">
        <v>0</v>
      </c>
      <c r="X18" s="16" t="n">
        <v>0</v>
      </c>
      <c r="Y18" s="16" t="n">
        <v>0</v>
      </c>
      <c r="Z18" s="16" t="n">
        <v>0</v>
      </c>
      <c r="AA18" s="16">
        <f>SUM(O18:U18)</f>
        <v/>
      </c>
      <c r="AB18" s="16">
        <f>SUM(O18:Z18)</f>
        <v/>
      </c>
      <c r="AC18" s="16" t="n">
        <v>50</v>
      </c>
      <c r="AD18" s="16" t="n">
        <v>50</v>
      </c>
      <c r="AE18" s="16" t="n">
        <v>50</v>
      </c>
      <c r="AF18" s="16" t="n">
        <v>50</v>
      </c>
      <c r="AG18" s="16" t="n">
        <v>50</v>
      </c>
      <c r="AH18" s="16" t="n">
        <v>50</v>
      </c>
      <c r="AI18" s="34">
        <f>SUM(AC18:AH18)</f>
        <v/>
      </c>
      <c r="AJ18" s="16">
        <f>SUM(AC18:AH18)+AI18</f>
        <v/>
      </c>
      <c r="AK18" s="11">
        <f>IF(N18&lt;&gt;0,(AB18-N18)/ABS(N18),0)</f>
        <v/>
      </c>
      <c r="AL18" s="11">
        <f>IF(AB18&lt;&gt;0,(AJ18-AB18)/ABS(AB18),0)</f>
        <v/>
      </c>
    </row>
    <row r="19" ht="13" customHeight="1">
      <c r="A19" s="15" t="inlineStr">
        <is>
          <t xml:space="preserve">    Temps</t>
        </is>
      </c>
      <c r="B19" s="16" t="n">
        <v>0</v>
      </c>
      <c r="C19" s="16" t="n">
        <v>0</v>
      </c>
      <c r="D19" s="16" t="n">
        <v>0</v>
      </c>
      <c r="E19" s="16" t="n">
        <v>0</v>
      </c>
      <c r="F19" s="16" t="n">
        <v>0</v>
      </c>
      <c r="G19" s="16" t="n">
        <v>0</v>
      </c>
      <c r="H19" s="16" t="n">
        <v>0</v>
      </c>
      <c r="I19" s="16" t="n">
        <v>0</v>
      </c>
      <c r="J19" s="16" t="n">
        <v>0</v>
      </c>
      <c r="K19" s="16" t="n">
        <v>0</v>
      </c>
      <c r="L19" s="16" t="n">
        <v>0</v>
      </c>
      <c r="M19" s="16" t="n">
        <v>0</v>
      </c>
      <c r="N19" s="16">
        <f>SUM(B19:M19)</f>
        <v/>
      </c>
      <c r="O19" s="16" t="n">
        <v>0</v>
      </c>
      <c r="P19" s="16" t="n">
        <v>0</v>
      </c>
      <c r="Q19" s="16" t="n">
        <v>0</v>
      </c>
      <c r="R19" s="16" t="n">
        <v>0</v>
      </c>
      <c r="S19" s="16" t="n">
        <v>0</v>
      </c>
      <c r="T19" s="16" t="n">
        <v>0</v>
      </c>
      <c r="U19" s="16" t="n">
        <v>0</v>
      </c>
      <c r="V19" s="16" t="n">
        <v>0</v>
      </c>
      <c r="W19" s="16" t="n">
        <v>0</v>
      </c>
      <c r="X19" s="16" t="n">
        <v>0</v>
      </c>
      <c r="Y19" s="16" t="n">
        <v>0</v>
      </c>
      <c r="Z19" s="16" t="n">
        <v>0</v>
      </c>
      <c r="AA19" s="16">
        <f>SUM(O19:U19)</f>
        <v/>
      </c>
      <c r="AB19" s="16">
        <f>SUM(O19:Z19)</f>
        <v/>
      </c>
      <c r="AC19" s="16" t="n">
        <v>0</v>
      </c>
      <c r="AD19" s="16" t="n">
        <v>0</v>
      </c>
      <c r="AE19" s="16" t="n">
        <v>0</v>
      </c>
      <c r="AF19" s="16" t="n">
        <v>0</v>
      </c>
      <c r="AG19" s="16" t="n">
        <v>0</v>
      </c>
      <c r="AH19" s="16" t="n">
        <v>0</v>
      </c>
      <c r="AI19" s="34">
        <f>SUM(AC19:AH19)</f>
        <v/>
      </c>
      <c r="AJ19" s="16">
        <f>SUM(AC19:AH19)+AI19</f>
        <v/>
      </c>
      <c r="AK19" s="11">
        <f>IF(N19&lt;&gt;0,(AB19-N19)/ABS(N19),0)</f>
        <v/>
      </c>
      <c r="AL19" s="11">
        <f>IF(AB19&lt;&gt;0,(AJ19-AB19)/ABS(AB19),0)</f>
        <v/>
      </c>
    </row>
    <row r="20" ht="13" customHeight="1">
      <c r="A20" s="17" t="inlineStr">
        <is>
          <t>Total Personnel</t>
        </is>
      </c>
      <c r="B20" s="18">
        <f>B11+B12+B13+B14+B15+B16+B17+B18+B19</f>
        <v/>
      </c>
      <c r="C20" s="18">
        <f>C11+C12+C13+C14+C15+C16+C17+C18+C19</f>
        <v/>
      </c>
      <c r="D20" s="18">
        <f>D11+D12+D13+D14+D15+D16+D17+D18+D19</f>
        <v/>
      </c>
      <c r="E20" s="18">
        <f>E11+E12+E13+E14+E15+E16+E17+E18+E19</f>
        <v/>
      </c>
      <c r="F20" s="18">
        <f>F11+F12+F13+F14+F15+F16+F17+F18+F19</f>
        <v/>
      </c>
      <c r="G20" s="18">
        <f>G11+G12+G13+G14+G15+G16+G17+G18+G19</f>
        <v/>
      </c>
      <c r="H20" s="18">
        <f>H11+H12+H13+H14+H15+H16+H17+H18+H19</f>
        <v/>
      </c>
      <c r="I20" s="18">
        <f>I11+I12+I13+I14+I15+I16+I17+I18+I19</f>
        <v/>
      </c>
      <c r="J20" s="18">
        <f>J11+J12+J13+J14+J15+J16+J17+J18+J19</f>
        <v/>
      </c>
      <c r="K20" s="18">
        <f>K11+K12+K13+K14+K15+K16+K17+K18+K19</f>
        <v/>
      </c>
      <c r="L20" s="18">
        <f>L11+L12+L13+L14+L15+L16+L17+L18+L19</f>
        <v/>
      </c>
      <c r="M20" s="18">
        <f>M11+M12+M13+M14+M15+M16+M17+M18+M19</f>
        <v/>
      </c>
      <c r="N20" s="18">
        <f>N11+N12+N13+N14+N15+N16+N17+N18+N19</f>
        <v/>
      </c>
      <c r="O20" s="18">
        <f>O11+O12+O13+O14+O15+O16+O17+O18+O19</f>
        <v/>
      </c>
      <c r="P20" s="18">
        <f>P11+P12+P13+P14+P15+P16+P17+P18+P19</f>
        <v/>
      </c>
      <c r="Q20" s="18">
        <f>Q11+Q12+Q13+Q14+Q15+Q16+Q17+Q18+Q19</f>
        <v/>
      </c>
      <c r="R20" s="18">
        <f>R11+R12+R13+R14+R15+R16+R17+R18+R19</f>
        <v/>
      </c>
      <c r="S20" s="18">
        <f>S11+S12+S13+S14+S15+S16+S17+S18+S19</f>
        <v/>
      </c>
      <c r="T20" s="18">
        <f>T11+T12+T13+T14+T15+T16+T17+T18+T19</f>
        <v/>
      </c>
      <c r="U20" s="18">
        <f>U11+U12+U13+U14+U15+U16+U17+U18+U19</f>
        <v/>
      </c>
      <c r="V20" s="18">
        <f>V11+V12+V13+V14+V15+V16+V17+V18+V19</f>
        <v/>
      </c>
      <c r="W20" s="18">
        <f>W11+W12+W13+W14+W15+W16+W17+W18+W19</f>
        <v/>
      </c>
      <c r="X20" s="18">
        <f>X11+X12+X13+X14+X15+X16+X17+X18+X19</f>
        <v/>
      </c>
      <c r="Y20" s="18">
        <f>Y11+Y12+Y13+Y14+Y15+Y16+Y17+Y18+Y19</f>
        <v/>
      </c>
      <c r="Z20" s="18">
        <f>Z11+Z12+Z13+Z14+Z15+Z16+Z17+Z18+Z19</f>
        <v/>
      </c>
      <c r="AA20" s="18">
        <f>AA11+AA12+AA13+AA14+AA15+AA16+AA17+AA18+AA19</f>
        <v/>
      </c>
      <c r="AB20" s="18">
        <f>AB11+AB12+AB13+AB14+AB15+AB16+AB17+AB18+AB19</f>
        <v/>
      </c>
      <c r="AC20" s="18">
        <f>AC11+AC12+AC13+AC14+AC15+AC16+AC17+AC18+AC19</f>
        <v/>
      </c>
      <c r="AD20" s="18">
        <f>AD11+AD12+AD13+AD14+AD15+AD16+AD17+AD18+AD19</f>
        <v/>
      </c>
      <c r="AE20" s="18">
        <f>AE11+AE12+AE13+AE14+AE15+AE16+AE17+AE18+AE19</f>
        <v/>
      </c>
      <c r="AF20" s="18">
        <f>AF11+AF12+AF13+AF14+AF15+AF16+AF17+AF18+AF19</f>
        <v/>
      </c>
      <c r="AG20" s="18">
        <f>AG11+AG12+AG13+AG14+AG15+AG16+AG17+AG18+AG19</f>
        <v/>
      </c>
      <c r="AH20" s="18">
        <f>AH11+AH12+AH13+AH14+AH15+AH16+AH17+AH18+AH19</f>
        <v/>
      </c>
      <c r="AI20" s="18">
        <f>AI11+AI12+AI13+AI14+AI15+AI16+AI17+AI18+AI19</f>
        <v/>
      </c>
      <c r="AJ20" s="18">
        <f>AJ11+AJ12+AJ13+AJ14+AJ15+AJ16+AJ17+AJ18+AJ19</f>
        <v/>
      </c>
      <c r="AK20" s="11">
        <f>IF(N20&lt;&gt;0,(AB20-N20)/ABS(N20),0)</f>
        <v/>
      </c>
      <c r="AL20" s="11">
        <f>IF(AB20&lt;&gt;0,(AJ20-AB20)/ABS(AB20),0)</f>
        <v/>
      </c>
    </row>
    <row r="21" ht="13" customHeight="1">
      <c r="A21" s="19" t="inlineStr">
        <is>
          <t xml:space="preserve">    Sal:Rev</t>
        </is>
      </c>
      <c r="B21" s="20">
        <f>IF(B7&gt;0,B20/B7,0)</f>
        <v/>
      </c>
      <c r="C21" s="20">
        <f>IF(C7&gt;0,C20/C7,0)</f>
        <v/>
      </c>
      <c r="D21" s="20">
        <f>IF(D7&gt;0,D20/D7,0)</f>
        <v/>
      </c>
      <c r="E21" s="20">
        <f>IF(E7&gt;0,E20/E7,0)</f>
        <v/>
      </c>
      <c r="F21" s="20">
        <f>IF(F7&gt;0,F20/F7,0)</f>
        <v/>
      </c>
      <c r="G21" s="20">
        <f>IF(G7&gt;0,G20/G7,0)</f>
        <v/>
      </c>
      <c r="H21" s="20">
        <f>IF(H7&gt;0,H20/H7,0)</f>
        <v/>
      </c>
      <c r="I21" s="20">
        <f>IF(I7&gt;0,I20/I7,0)</f>
        <v/>
      </c>
      <c r="J21" s="20">
        <f>IF(J7&gt;0,J20/J7,0)</f>
        <v/>
      </c>
      <c r="K21" s="20">
        <f>IF(K7&gt;0,K20/K7,0)</f>
        <v/>
      </c>
      <c r="L21" s="20">
        <f>IF(L7&gt;0,L20/L7,0)</f>
        <v/>
      </c>
      <c r="M21" s="20">
        <f>IF(M7&gt;0,M20/M7,0)</f>
        <v/>
      </c>
      <c r="N21" s="20">
        <f>IF(N7&gt;0,N20/N7,0)</f>
        <v/>
      </c>
      <c r="O21" s="20">
        <f>IF(O7&gt;0,O20/O7,0)</f>
        <v/>
      </c>
      <c r="P21" s="20">
        <f>IF(P7&gt;0,P20/P7,0)</f>
        <v/>
      </c>
      <c r="Q21" s="20">
        <f>IF(Q7&gt;0,Q20/Q7,0)</f>
        <v/>
      </c>
      <c r="R21" s="20">
        <f>IF(R7&gt;0,R20/R7,0)</f>
        <v/>
      </c>
      <c r="S21" s="20">
        <f>IF(S7&gt;0,S20/S7,0)</f>
        <v/>
      </c>
      <c r="T21" s="20">
        <f>IF(T7&gt;0,T20/T7,0)</f>
        <v/>
      </c>
      <c r="U21" s="20">
        <f>IF(U7&gt;0,U20/U7,0)</f>
        <v/>
      </c>
      <c r="V21" s="20">
        <f>IF(V7&gt;0,V20/V7,0)</f>
        <v/>
      </c>
      <c r="W21" s="20">
        <f>IF(W7&gt;0,W20/W7,0)</f>
        <v/>
      </c>
      <c r="X21" s="20">
        <f>IF(X7&gt;0,X20/X7,0)</f>
        <v/>
      </c>
      <c r="Y21" s="20">
        <f>IF(Y7&gt;0,Y20/Y7,0)</f>
        <v/>
      </c>
      <c r="Z21" s="20">
        <f>IF(Z7&gt;0,Z20/Z7,0)</f>
        <v/>
      </c>
      <c r="AA21" s="20">
        <f>IF(AA7&gt;0,AA20/AA7,0)</f>
        <v/>
      </c>
      <c r="AB21" s="20">
        <f>IF(AB7&gt;0,AB20/AB7,0)</f>
        <v/>
      </c>
      <c r="AC21" s="20">
        <f>IF(AC7&gt;0,AC20/AC7,0)</f>
        <v/>
      </c>
      <c r="AD21" s="20">
        <f>IF(AD7&gt;0,AD20/AD7,0)</f>
        <v/>
      </c>
      <c r="AE21" s="20">
        <f>IF(AE7&gt;0,AE20/AE7,0)</f>
        <v/>
      </c>
      <c r="AF21" s="20">
        <f>IF(AF7&gt;0,AF20/AF7,0)</f>
        <v/>
      </c>
      <c r="AG21" s="20">
        <f>IF(AG7&gt;0,AG20/AG7,0)</f>
        <v/>
      </c>
      <c r="AH21" s="20">
        <f>IF(AH7&gt;0,AH20/AH7,0)</f>
        <v/>
      </c>
      <c r="AI21" s="20">
        <f>IF(AI7&gt;0,AI20/AI7,0)</f>
        <v/>
      </c>
      <c r="AJ21" s="20">
        <f>IF(AJ7&gt;0,AJ20/AJ7,0)</f>
        <v/>
      </c>
    </row>
    <row r="22" ht="5" customHeight="1"/>
    <row r="23" ht="13" customHeight="1">
      <c r="A23" s="14" t="inlineStr">
        <is>
          <t>Childcare</t>
        </is>
      </c>
    </row>
    <row r="24" ht="13" customHeight="1">
      <c r="A24" s="21" t="inlineStr">
        <is>
          <t xml:space="preserve">    Catering Costs</t>
        </is>
      </c>
      <c r="N24" s="22">
        <f>SUM(B24:M24)</f>
        <v/>
      </c>
      <c r="O24" s="22" t="n">
        <v>906.8599999999999</v>
      </c>
      <c r="P24" s="22" t="n">
        <v>696.4000000000001</v>
      </c>
      <c r="Q24" s="22" t="n">
        <v>694.97</v>
      </c>
      <c r="R24" s="22" t="n">
        <v>855.39</v>
      </c>
      <c r="S24" s="22" t="n">
        <v>659.86</v>
      </c>
      <c r="T24" s="22" t="n">
        <v>698.38</v>
      </c>
      <c r="U24" s="22" t="n">
        <v>939.7800000000001</v>
      </c>
      <c r="V24" s="22" t="n">
        <v>1019.628792</v>
      </c>
      <c r="W24" s="22" t="n">
        <v>1242.4464</v>
      </c>
      <c r="X24" s="22" t="n">
        <v>1227.5016</v>
      </c>
      <c r="Y24" s="22" t="n">
        <v>1321.1016</v>
      </c>
      <c r="Z24" s="22" t="n">
        <v>1388.4</v>
      </c>
      <c r="AA24" s="22">
        <f>SUM(O24:U24)</f>
        <v/>
      </c>
      <c r="AB24" s="22">
        <f>SUM(O24:Z24)</f>
        <v/>
      </c>
      <c r="AC24" s="22" t="n">
        <v>1297.566504</v>
      </c>
      <c r="AD24" s="22" t="n">
        <v>1226.311944</v>
      </c>
      <c r="AE24" s="22" t="n">
        <v>1434.440904</v>
      </c>
      <c r="AF24" s="22" t="n">
        <v>1386.776976</v>
      </c>
      <c r="AG24" s="22" t="n">
        <v>1397.419296</v>
      </c>
      <c r="AH24" s="22" t="n">
        <v>1441.797552</v>
      </c>
      <c r="AI24" s="34">
        <f>SUM(AC24:AH24)</f>
        <v/>
      </c>
      <c r="AJ24" s="22">
        <f>SUM(AC24:AH24)+AI24</f>
        <v/>
      </c>
      <c r="AK24" s="11">
        <f>IF(N24&lt;&gt;0,(AB24-N24)/ABS(N24),0)</f>
        <v/>
      </c>
      <c r="AL24" s="11">
        <f>IF(AB24&lt;&gt;0,(AJ24-AB24)/ABS(AB24),0)</f>
        <v/>
      </c>
    </row>
    <row r="25" ht="13" customHeight="1">
      <c r="A25" s="21" t="inlineStr">
        <is>
          <t xml:space="preserve">    Toys and Games</t>
        </is>
      </c>
      <c r="B25" s="22" t="n">
        <v>56.48</v>
      </c>
      <c r="C25" s="22" t="n">
        <v>2434.38</v>
      </c>
      <c r="D25" s="22" t="n">
        <v>198.96</v>
      </c>
      <c r="E25" s="22" t="n">
        <v>106.88</v>
      </c>
      <c r="F25" s="22" t="n">
        <v>171.09</v>
      </c>
      <c r="G25" s="22" t="n">
        <v>0</v>
      </c>
      <c r="H25" s="22" t="n">
        <v>0</v>
      </c>
      <c r="I25" s="22" t="n">
        <v>145.55</v>
      </c>
      <c r="J25" s="22" t="n">
        <v>0</v>
      </c>
      <c r="K25" s="22" t="n">
        <v>14.99</v>
      </c>
      <c r="L25" s="22" t="n">
        <v>30</v>
      </c>
      <c r="M25" s="22" t="n">
        <v>0</v>
      </c>
      <c r="N25" s="22">
        <f>SUM(B25:M25)</f>
        <v/>
      </c>
      <c r="O25" s="22" t="n">
        <v>89.94</v>
      </c>
      <c r="P25" s="22" t="n">
        <v>132.89</v>
      </c>
      <c r="Q25" s="22" t="n">
        <v>77.36</v>
      </c>
      <c r="R25" s="22" t="n">
        <v>20.99</v>
      </c>
      <c r="S25" s="22" t="n">
        <v>0</v>
      </c>
      <c r="T25" s="22" t="n">
        <v>48.62</v>
      </c>
      <c r="U25" s="22" t="n">
        <v>15.42</v>
      </c>
      <c r="AA25" s="22">
        <f>SUM(O25:U25)</f>
        <v/>
      </c>
      <c r="AB25" s="22">
        <f>SUM(O25:Z25)</f>
        <v/>
      </c>
      <c r="AC25" s="22" t="n">
        <v>50</v>
      </c>
      <c r="AD25" s="22" t="n">
        <v>50</v>
      </c>
      <c r="AE25" s="22" t="n">
        <v>50</v>
      </c>
      <c r="AF25" s="22" t="n">
        <v>50</v>
      </c>
      <c r="AG25" s="22" t="n">
        <v>50</v>
      </c>
      <c r="AH25" s="22" t="n">
        <v>50</v>
      </c>
      <c r="AI25" s="34">
        <f>SUM(AC25:AH25)</f>
        <v/>
      </c>
      <c r="AJ25" s="22">
        <f>SUM(AC25:AH25)+AI25</f>
        <v/>
      </c>
      <c r="AK25" s="11">
        <f>IF(N25&lt;&gt;0,(AB25-N25)/ABS(N25),0)</f>
        <v/>
      </c>
      <c r="AL25" s="11">
        <f>IF(AB25&lt;&gt;0,(AJ25-AB25)/ABS(AB25),0)</f>
        <v/>
      </c>
    </row>
    <row r="26" ht="13" customHeight="1">
      <c r="A26" s="21" t="inlineStr">
        <is>
          <t xml:space="preserve">    Art Materials</t>
        </is>
      </c>
      <c r="N26" s="22">
        <f>SUM(B26:M26)</f>
        <v/>
      </c>
      <c r="O26" s="22" t="n">
        <v>194.94</v>
      </c>
      <c r="P26" s="22" t="n">
        <v>32.95</v>
      </c>
      <c r="Q26" s="22" t="n">
        <v>99.97</v>
      </c>
      <c r="R26" s="22" t="n">
        <v>73.15000000000001</v>
      </c>
      <c r="S26" s="22" t="n">
        <v>9.98</v>
      </c>
      <c r="T26" s="22" t="n">
        <v>211.57</v>
      </c>
      <c r="U26" s="22" t="n">
        <v>115.11</v>
      </c>
      <c r="V26" s="22" t="n">
        <v>101.9628792</v>
      </c>
      <c r="W26" s="22" t="n">
        <v>124.24464</v>
      </c>
      <c r="X26" s="22" t="n">
        <v>122.75016</v>
      </c>
      <c r="Y26" s="22" t="n">
        <v>132.11016</v>
      </c>
      <c r="Z26" s="22" t="n">
        <v>138.84</v>
      </c>
      <c r="AA26" s="22">
        <f>SUM(O26:U26)</f>
        <v/>
      </c>
      <c r="AB26" s="22">
        <f>SUM(O26:Z26)</f>
        <v/>
      </c>
      <c r="AC26" s="22" t="n">
        <v>129.7566504</v>
      </c>
      <c r="AD26" s="22" t="n">
        <v>122.6311944</v>
      </c>
      <c r="AE26" s="22" t="n">
        <v>143.4440904</v>
      </c>
      <c r="AF26" s="22" t="n">
        <v>138.6776976</v>
      </c>
      <c r="AG26" s="22" t="n">
        <v>139.7419296</v>
      </c>
      <c r="AH26" s="22" t="n">
        <v>144.1797552</v>
      </c>
      <c r="AI26" s="34">
        <f>SUM(AC26:AH26)</f>
        <v/>
      </c>
      <c r="AJ26" s="22">
        <f>SUM(AC26:AH26)+AI26</f>
        <v/>
      </c>
      <c r="AK26" s="11">
        <f>IF(N26&lt;&gt;0,(AB26-N26)/ABS(N26),0)</f>
        <v/>
      </c>
      <c r="AL26" s="11">
        <f>IF(AB26&lt;&gt;0,(AJ26-AB26)/ABS(AB26),0)</f>
        <v/>
      </c>
    </row>
    <row r="27" ht="13" customHeight="1">
      <c r="A27" s="21" t="inlineStr">
        <is>
          <t xml:space="preserve">    Nursery Stationery</t>
        </is>
      </c>
      <c r="B27" s="22" t="n">
        <v>0</v>
      </c>
      <c r="C27" s="22" t="n">
        <v>0</v>
      </c>
      <c r="D27" s="22" t="n">
        <v>0</v>
      </c>
      <c r="E27" s="22" t="n">
        <v>0</v>
      </c>
      <c r="F27" s="22" t="n">
        <v>0</v>
      </c>
      <c r="G27" s="22" t="n">
        <v>0</v>
      </c>
      <c r="H27" s="22" t="n">
        <v>0</v>
      </c>
      <c r="I27" s="22" t="n">
        <v>0</v>
      </c>
      <c r="J27" s="22" t="n">
        <v>0</v>
      </c>
      <c r="K27" s="22" t="n">
        <v>0</v>
      </c>
      <c r="L27" s="22" t="n">
        <v>0</v>
      </c>
      <c r="M27" s="22" t="n">
        <v>0</v>
      </c>
      <c r="N27" s="22">
        <f>SUM(B27:M27)</f>
        <v/>
      </c>
      <c r="O27" s="22" t="n">
        <v>0</v>
      </c>
      <c r="P27" s="22" t="n">
        <v>0</v>
      </c>
      <c r="Q27" s="22" t="n">
        <v>0</v>
      </c>
      <c r="R27" s="22" t="n">
        <v>0</v>
      </c>
      <c r="S27" s="22" t="n">
        <v>0</v>
      </c>
      <c r="T27" s="22" t="n">
        <v>0</v>
      </c>
      <c r="U27" s="22" t="n">
        <v>0</v>
      </c>
      <c r="V27" s="22" t="n">
        <v>0</v>
      </c>
      <c r="W27" s="22" t="n">
        <v>0</v>
      </c>
      <c r="X27" s="22" t="n">
        <v>0</v>
      </c>
      <c r="Y27" s="22" t="n">
        <v>0</v>
      </c>
      <c r="Z27" s="22" t="n">
        <v>0</v>
      </c>
      <c r="AA27" s="22">
        <f>SUM(O27:U27)</f>
        <v/>
      </c>
      <c r="AB27" s="22">
        <f>SUM(O27:Z27)</f>
        <v/>
      </c>
      <c r="AC27" s="22" t="n">
        <v>0</v>
      </c>
      <c r="AD27" s="22" t="n">
        <v>0</v>
      </c>
      <c r="AE27" s="22" t="n">
        <v>0</v>
      </c>
      <c r="AF27" s="22" t="n">
        <v>0</v>
      </c>
      <c r="AG27" s="22" t="n">
        <v>0</v>
      </c>
      <c r="AH27" s="22" t="n">
        <v>0</v>
      </c>
      <c r="AI27" s="34">
        <f>SUM(AC27:AH27)</f>
        <v/>
      </c>
      <c r="AJ27" s="22">
        <f>SUM(AC27:AH27)+AI27</f>
        <v/>
      </c>
      <c r="AK27" s="11">
        <f>IF(N27&lt;&gt;0,(AB27-N27)/ABS(N27),0)</f>
        <v/>
      </c>
      <c r="AL27" s="11">
        <f>IF(AB27&lt;&gt;0,(AJ27-AB27)/ABS(AB27),0)</f>
        <v/>
      </c>
    </row>
    <row r="28" ht="13" customHeight="1">
      <c r="A28" s="21" t="inlineStr">
        <is>
          <t xml:space="preserve">    Nursery Equipment</t>
        </is>
      </c>
      <c r="B28" s="22" t="n">
        <v>80.35000000000001</v>
      </c>
      <c r="C28" s="22" t="n">
        <v>250.49</v>
      </c>
      <c r="D28" s="22" t="n">
        <v>70.2</v>
      </c>
      <c r="E28" s="22" t="n">
        <v>35.98</v>
      </c>
      <c r="F28" s="22" t="n">
        <v>0</v>
      </c>
      <c r="G28" s="22" t="n">
        <v>0</v>
      </c>
      <c r="H28" s="22" t="n">
        <v>88.72</v>
      </c>
      <c r="I28" s="22" t="n">
        <v>126.39</v>
      </c>
      <c r="J28" s="22" t="n">
        <v>514.62</v>
      </c>
      <c r="K28" s="22" t="n">
        <v>0</v>
      </c>
      <c r="L28" s="22" t="n">
        <v>46.66999999999999</v>
      </c>
      <c r="M28" s="22" t="n">
        <v>44.19</v>
      </c>
      <c r="N28" s="22">
        <f>SUM(B28:M28)</f>
        <v/>
      </c>
      <c r="O28" s="22" t="n">
        <v>122.4</v>
      </c>
      <c r="P28" s="22" t="n">
        <v>0</v>
      </c>
      <c r="Q28" s="22" t="n">
        <v>57.8</v>
      </c>
      <c r="R28" s="22" t="n">
        <v>32.62</v>
      </c>
      <c r="S28" s="22" t="n">
        <v>27.14</v>
      </c>
      <c r="T28" s="22" t="n">
        <v>28.94</v>
      </c>
      <c r="U28" s="22" t="n">
        <v>28.29</v>
      </c>
      <c r="AA28" s="22">
        <f>SUM(O28:U28)</f>
        <v/>
      </c>
      <c r="AB28" s="22">
        <f>SUM(O28:Z28)</f>
        <v/>
      </c>
      <c r="AC28" s="22" t="n">
        <v>50</v>
      </c>
      <c r="AD28" s="22" t="n">
        <v>50</v>
      </c>
      <c r="AE28" s="22" t="n">
        <v>50</v>
      </c>
      <c r="AF28" s="22" t="n">
        <v>50</v>
      </c>
      <c r="AG28" s="22" t="n">
        <v>50</v>
      </c>
      <c r="AH28" s="22" t="n">
        <v>50</v>
      </c>
      <c r="AI28" s="34">
        <f>SUM(AC28:AH28)</f>
        <v/>
      </c>
      <c r="AJ28" s="22">
        <f>SUM(AC28:AH28)+AI28</f>
        <v/>
      </c>
      <c r="AK28" s="11">
        <f>IF(N28&lt;&gt;0,(AB28-N28)/ABS(N28),0)</f>
        <v/>
      </c>
      <c r="AL28" s="11">
        <f>IF(AB28&lt;&gt;0,(AJ28-AB28)/ABS(AB28),0)</f>
        <v/>
      </c>
    </row>
    <row r="29" ht="13" customHeight="1">
      <c r="A29" s="21" t="inlineStr">
        <is>
          <t xml:space="preserve">    Nursery Consumables</t>
        </is>
      </c>
      <c r="N29" s="22">
        <f>SUM(B29:M29)</f>
        <v/>
      </c>
      <c r="O29" s="22" t="n">
        <v>145.71</v>
      </c>
      <c r="P29" s="22" t="n">
        <v>147.53</v>
      </c>
      <c r="Q29" s="22" t="n">
        <v>158.74</v>
      </c>
      <c r="R29" s="22" t="n">
        <v>182.53</v>
      </c>
      <c r="S29" s="22" t="n">
        <v>355.95</v>
      </c>
      <c r="T29" s="22" t="n">
        <v>192.73</v>
      </c>
      <c r="U29" s="22" t="n">
        <v>329.9</v>
      </c>
      <c r="V29" s="22" t="n">
        <v>135.9505056</v>
      </c>
      <c r="W29" s="22" t="n">
        <v>165.65952</v>
      </c>
      <c r="X29" s="22" t="n">
        <v>163.66688</v>
      </c>
      <c r="Y29" s="22" t="n">
        <v>176.1468800000001</v>
      </c>
      <c r="Z29" s="22" t="n">
        <v>185.1200000000001</v>
      </c>
      <c r="AA29" s="22">
        <f>SUM(O29:U29)</f>
        <v/>
      </c>
      <c r="AB29" s="22">
        <f>SUM(O29:Z29)</f>
        <v/>
      </c>
      <c r="AC29" s="22" t="n">
        <v>173.0088672000001</v>
      </c>
      <c r="AD29" s="22" t="n">
        <v>163.5082592000001</v>
      </c>
      <c r="AE29" s="22" t="n">
        <v>191.2587872000001</v>
      </c>
      <c r="AF29" s="22" t="n">
        <v>184.9035968000001</v>
      </c>
      <c r="AG29" s="22" t="n">
        <v>186.3225728000001</v>
      </c>
      <c r="AH29" s="22" t="n">
        <v>192.2396736000001</v>
      </c>
      <c r="AI29" s="34">
        <f>SUM(AC29:AH29)</f>
        <v/>
      </c>
      <c r="AJ29" s="22">
        <f>SUM(AC29:AH29)+AI29</f>
        <v/>
      </c>
      <c r="AK29" s="11">
        <f>IF(N29&lt;&gt;0,(AB29-N29)/ABS(N29),0)</f>
        <v/>
      </c>
      <c r="AL29" s="11">
        <f>IF(AB29&lt;&gt;0,(AJ29-AB29)/ABS(AB29),0)</f>
        <v/>
      </c>
    </row>
    <row r="30" ht="13" customHeight="1">
      <c r="A30" s="23" t="inlineStr">
        <is>
          <t>Total Childcare Costs</t>
        </is>
      </c>
      <c r="B30" s="24">
        <f>B24+B25+B26+B27+B28+B29</f>
        <v/>
      </c>
      <c r="C30" s="24">
        <f>C24+C25+C26+C27+C28+C29</f>
        <v/>
      </c>
      <c r="D30" s="24">
        <f>D24+D25+D26+D27+D28+D29</f>
        <v/>
      </c>
      <c r="E30" s="24">
        <f>E24+E25+E26+E27+E28+E29</f>
        <v/>
      </c>
      <c r="F30" s="24">
        <f>F24+F25+F26+F27+F28+F29</f>
        <v/>
      </c>
      <c r="G30" s="24">
        <f>G24+G25+G26+G27+G28+G29</f>
        <v/>
      </c>
      <c r="H30" s="24">
        <f>H24+H25+H26+H27+H28+H29</f>
        <v/>
      </c>
      <c r="I30" s="24">
        <f>I24+I25+I26+I27+I28+I29</f>
        <v/>
      </c>
      <c r="J30" s="24">
        <f>J24+J25+J26+J27+J28+J29</f>
        <v/>
      </c>
      <c r="K30" s="24">
        <f>K24+K25+K26+K27+K28+K29</f>
        <v/>
      </c>
      <c r="L30" s="24">
        <f>L24+L25+L26+L27+L28+L29</f>
        <v/>
      </c>
      <c r="M30" s="24">
        <f>M24+M25+M26+M27+M28+M29</f>
        <v/>
      </c>
      <c r="N30" s="24">
        <f>N24+N25+N26+N27+N28+N29</f>
        <v/>
      </c>
      <c r="O30" s="24">
        <f>O24+O25+O26+O27+O28+O29</f>
        <v/>
      </c>
      <c r="P30" s="24">
        <f>P24+P25+P26+P27+P28+P29</f>
        <v/>
      </c>
      <c r="Q30" s="24">
        <f>Q24+Q25+Q26+Q27+Q28+Q29</f>
        <v/>
      </c>
      <c r="R30" s="24">
        <f>R24+R25+R26+R27+R28+R29</f>
        <v/>
      </c>
      <c r="S30" s="24">
        <f>S24+S25+S26+S27+S28+S29</f>
        <v/>
      </c>
      <c r="T30" s="24">
        <f>T24+T25+T26+T27+T28+T29</f>
        <v/>
      </c>
      <c r="U30" s="24">
        <f>U24+U25+U26+U27+U28+U29</f>
        <v/>
      </c>
      <c r="V30" s="24">
        <f>V24+V25+V26+V27+V28+V29</f>
        <v/>
      </c>
      <c r="W30" s="24">
        <f>W24+W25+W26+W27+W28+W29</f>
        <v/>
      </c>
      <c r="X30" s="24">
        <f>X24+X25+X26+X27+X28+X29</f>
        <v/>
      </c>
      <c r="Y30" s="24">
        <f>Y24+Y25+Y26+Y27+Y28+Y29</f>
        <v/>
      </c>
      <c r="Z30" s="24">
        <f>Z24+Z25+Z26+Z27+Z28+Z29</f>
        <v/>
      </c>
      <c r="AA30" s="24">
        <f>AA24+AA25+AA26+AA27+AA28+AA29</f>
        <v/>
      </c>
      <c r="AB30" s="24">
        <f>AB24+AB25+AB26+AB27+AB28+AB29</f>
        <v/>
      </c>
      <c r="AC30" s="24">
        <f>AC24+AC25+AC26+AC27+AC28+AC29</f>
        <v/>
      </c>
      <c r="AD30" s="24">
        <f>AD24+AD25+AD26+AD27+AD28+AD29</f>
        <v/>
      </c>
      <c r="AE30" s="24">
        <f>AE24+AE25+AE26+AE27+AE28+AE29</f>
        <v/>
      </c>
      <c r="AF30" s="24">
        <f>AF24+AF25+AF26+AF27+AF28+AF29</f>
        <v/>
      </c>
      <c r="AG30" s="24">
        <f>AG24+AG25+AG26+AG27+AG28+AG29</f>
        <v/>
      </c>
      <c r="AH30" s="24">
        <f>AH24+AH25+AH26+AH27+AH28+AH29</f>
        <v/>
      </c>
      <c r="AI30" s="24">
        <f>AI24+AI25+AI26+AI27+AI28+AI29</f>
        <v/>
      </c>
      <c r="AJ30" s="24">
        <f>AJ24+AJ25+AJ26+AJ27+AJ28+AJ29</f>
        <v/>
      </c>
      <c r="AK30" s="11">
        <f>IF(N30&lt;&gt;0,(AB30-N30)/ABS(N30),0)</f>
        <v/>
      </c>
      <c r="AL30" s="11">
        <f>IF(AB30&lt;&gt;0,(AJ30-AB30)/ABS(AB30),0)</f>
        <v/>
      </c>
    </row>
    <row r="31" ht="5" customHeight="1"/>
    <row r="32" ht="13" customHeight="1">
      <c r="A32" s="14" t="inlineStr">
        <is>
          <t>Premises &amp; Admin</t>
        </is>
      </c>
    </row>
    <row r="33" ht="13" customHeight="1">
      <c r="A33" s="25" t="inlineStr">
        <is>
          <t xml:space="preserve">    Rent</t>
        </is>
      </c>
      <c r="B33" s="26" t="n">
        <v>458.33</v>
      </c>
      <c r="C33" s="26" t="n">
        <v>458.33</v>
      </c>
      <c r="D33" s="26" t="n">
        <v>458.33</v>
      </c>
      <c r="E33" s="26" t="n">
        <v>458.33</v>
      </c>
      <c r="F33" s="26" t="n">
        <v>458.33</v>
      </c>
      <c r="G33" s="26" t="n">
        <v>458.33</v>
      </c>
      <c r="H33" s="26" t="n">
        <v>458.34</v>
      </c>
      <c r="I33" s="26" t="n">
        <v>458.33</v>
      </c>
      <c r="J33" s="26" t="n">
        <v>458.33</v>
      </c>
      <c r="K33" s="26" t="n">
        <v>458.33</v>
      </c>
      <c r="L33" s="26" t="n">
        <v>458.33</v>
      </c>
      <c r="M33" s="26" t="n">
        <v>458.34</v>
      </c>
      <c r="N33" s="26">
        <f>SUM(B33:M33)</f>
        <v/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  <c r="AA33" s="26">
        <f>SUM(O33:U33)</f>
        <v/>
      </c>
      <c r="AB33" s="26">
        <f>SUM(O33:Z33)</f>
        <v/>
      </c>
      <c r="AC33" s="26" t="n">
        <v>0</v>
      </c>
      <c r="AD33" s="26" t="n">
        <v>0</v>
      </c>
      <c r="AE33" s="26" t="n">
        <v>0</v>
      </c>
      <c r="AF33" s="26" t="n">
        <v>0</v>
      </c>
      <c r="AG33" s="26" t="n">
        <v>0</v>
      </c>
      <c r="AH33" s="26" t="n">
        <v>0</v>
      </c>
      <c r="AI33" s="34">
        <f>SUM(AC33:AH33)</f>
        <v/>
      </c>
      <c r="AJ33" s="26">
        <f>SUM(AC33:AH33)+AI33</f>
        <v/>
      </c>
      <c r="AK33" s="11">
        <f>IF(N33&lt;&gt;0,(AB33-N33)/ABS(N33),0)</f>
        <v/>
      </c>
      <c r="AL33" s="11">
        <f>IF(AB33&lt;&gt;0,(AJ33-AB33)/ABS(AB33),0)</f>
        <v/>
      </c>
    </row>
    <row r="34" ht="13" customHeight="1">
      <c r="A34" s="25" t="inlineStr">
        <is>
          <t xml:space="preserve">    Business Rates</t>
        </is>
      </c>
      <c r="B34" s="26" t="n">
        <v>1912.83</v>
      </c>
      <c r="C34" s="26" t="n">
        <v>1912.83</v>
      </c>
      <c r="D34" s="26" t="n">
        <v>1912.83</v>
      </c>
      <c r="E34" s="26" t="n">
        <v>1912.83</v>
      </c>
      <c r="F34" s="26" t="n">
        <v>1912.82</v>
      </c>
      <c r="G34" s="26" t="n">
        <v>1912.83</v>
      </c>
      <c r="H34" s="26" t="n">
        <v>1912.83</v>
      </c>
      <c r="I34" s="26" t="n">
        <v>1912.83</v>
      </c>
      <c r="J34" s="26" t="n">
        <v>1912.83</v>
      </c>
      <c r="K34" s="26" t="n">
        <v>1912.83</v>
      </c>
      <c r="L34" s="26" t="n">
        <v>1912.83</v>
      </c>
      <c r="M34" s="26" t="n">
        <v>1912.83</v>
      </c>
      <c r="N34" s="26">
        <f>SUM(B34:M34)</f>
        <v/>
      </c>
      <c r="O34" s="26" t="n">
        <v>1912.85</v>
      </c>
      <c r="P34" s="26" t="n">
        <v>1912.84</v>
      </c>
      <c r="Q34" s="26" t="n">
        <v>1912.84</v>
      </c>
      <c r="R34" s="26" t="n">
        <v>2199.76</v>
      </c>
      <c r="S34" s="26" t="n">
        <v>2199.76</v>
      </c>
      <c r="T34" s="26" t="n">
        <v>2199.76</v>
      </c>
      <c r="U34" s="26" t="n">
        <v>2199.75</v>
      </c>
      <c r="AA34" s="26">
        <f>SUM(O34:U34)</f>
        <v/>
      </c>
      <c r="AB34" s="26">
        <f>SUM(O34:Z34)</f>
        <v/>
      </c>
      <c r="AC34" s="26" t="n">
        <v>2199.758333333333</v>
      </c>
      <c r="AD34" s="26" t="n">
        <v>2199.758333333333</v>
      </c>
      <c r="AE34" s="26" t="n">
        <v>2199.758333333333</v>
      </c>
      <c r="AF34" s="26" t="n">
        <v>2199.758333333333</v>
      </c>
      <c r="AG34" s="26" t="n">
        <v>2199.758333333333</v>
      </c>
      <c r="AH34" s="26" t="n">
        <v>2199.758333333333</v>
      </c>
      <c r="AI34" s="34">
        <f>SUM(AC34:AH34)</f>
        <v/>
      </c>
      <c r="AJ34" s="26">
        <f>SUM(AC34:AH34)+AI34</f>
        <v/>
      </c>
      <c r="AK34" s="11">
        <f>IF(N34&lt;&gt;0,(AB34-N34)/ABS(N34),0)</f>
        <v/>
      </c>
      <c r="AL34" s="11">
        <f>IF(AB34&lt;&gt;0,(AJ34-AB34)/ABS(AB34),0)</f>
        <v/>
      </c>
    </row>
    <row r="35" ht="13" customHeight="1">
      <c r="A35" s="25" t="inlineStr">
        <is>
          <t xml:space="preserve">    Utilities</t>
        </is>
      </c>
      <c r="B35" s="26" t="n">
        <v>2331.47</v>
      </c>
      <c r="C35" s="26" t="n">
        <v>1807.76</v>
      </c>
      <c r="D35" s="26" t="n">
        <v>1837.04</v>
      </c>
      <c r="E35" s="26" t="n">
        <v>5561.08</v>
      </c>
      <c r="F35" s="26" t="n">
        <v>2515.04</v>
      </c>
      <c r="G35" s="26" t="n">
        <v>809.6</v>
      </c>
      <c r="H35" s="26" t="n">
        <v>-627.6799999999998</v>
      </c>
      <c r="I35" s="26" t="n">
        <v>1420.78</v>
      </c>
      <c r="J35" s="26" t="n">
        <v>-916.72</v>
      </c>
      <c r="K35" s="26" t="n">
        <v>793.16</v>
      </c>
      <c r="L35" s="26" t="n">
        <v>1189.91</v>
      </c>
      <c r="M35" s="26" t="n">
        <v>1813.66</v>
      </c>
      <c r="N35" s="26">
        <f>SUM(B35:M35)</f>
        <v/>
      </c>
      <c r="O35" s="26" t="n">
        <v>2595.94</v>
      </c>
      <c r="P35" s="26" t="n">
        <v>2644.67</v>
      </c>
      <c r="Q35" s="26" t="n">
        <v>2314.76</v>
      </c>
      <c r="R35" s="26" t="n">
        <v>2077.75</v>
      </c>
      <c r="S35" s="26" t="n">
        <v>1585.76</v>
      </c>
      <c r="T35" s="26" t="n">
        <v>942.4300000000001</v>
      </c>
      <c r="U35" s="26" t="n">
        <v>874.91</v>
      </c>
      <c r="AA35" s="26">
        <f>SUM(O35:U35)</f>
        <v/>
      </c>
      <c r="AB35" s="26">
        <f>SUM(O35:Z35)</f>
        <v/>
      </c>
      <c r="AC35" s="26" t="n">
        <v>1655</v>
      </c>
      <c r="AD35" s="26" t="n">
        <v>1655</v>
      </c>
      <c r="AE35" s="26" t="n">
        <v>1655</v>
      </c>
      <c r="AF35" s="26" t="n">
        <v>1655</v>
      </c>
      <c r="AG35" s="26" t="n">
        <v>1655</v>
      </c>
      <c r="AH35" s="26" t="n">
        <v>1655</v>
      </c>
      <c r="AI35" s="34">
        <f>SUM(AC35:AH35)</f>
        <v/>
      </c>
      <c r="AJ35" s="26">
        <f>SUM(AC35:AH35)+AI35</f>
        <v/>
      </c>
      <c r="AK35" s="11">
        <f>IF(N35&lt;&gt;0,(AB35-N35)/ABS(N35),0)</f>
        <v/>
      </c>
      <c r="AL35" s="11">
        <f>IF(AB35&lt;&gt;0,(AJ35-AB35)/ABS(AB35),0)</f>
        <v/>
      </c>
    </row>
    <row r="36" ht="13" customHeight="1">
      <c r="A36" s="25" t="inlineStr">
        <is>
          <t xml:space="preserve">    Repairs &amp; Maintenance</t>
        </is>
      </c>
      <c r="B36" s="26" t="n">
        <v>469.71</v>
      </c>
      <c r="C36" s="26" t="n">
        <v>670.26</v>
      </c>
      <c r="D36" s="26" t="n">
        <v>951.96</v>
      </c>
      <c r="E36" s="26" t="n">
        <v>162</v>
      </c>
      <c r="F36" s="26" t="n">
        <v>0</v>
      </c>
      <c r="G36" s="26" t="n">
        <v>0</v>
      </c>
      <c r="H36" s="26" t="n">
        <v>28.16</v>
      </c>
      <c r="I36" s="26" t="n">
        <v>0</v>
      </c>
      <c r="J36" s="26" t="n">
        <v>11.4</v>
      </c>
      <c r="K36" s="26" t="n">
        <v>0</v>
      </c>
      <c r="L36" s="26" t="n">
        <v>0</v>
      </c>
      <c r="M36" s="26" t="n">
        <v>125.66</v>
      </c>
      <c r="N36" s="26">
        <f>SUM(B36:M36)</f>
        <v/>
      </c>
      <c r="O36" s="26" t="n">
        <v>55.1</v>
      </c>
      <c r="P36" s="26" t="n">
        <v>109.27</v>
      </c>
      <c r="Q36" s="26" t="n">
        <v>0</v>
      </c>
      <c r="R36" s="26" t="n">
        <v>0</v>
      </c>
      <c r="S36" s="26" t="n">
        <v>0</v>
      </c>
      <c r="T36" s="26" t="n">
        <v>7.77</v>
      </c>
      <c r="U36" s="26" t="n">
        <v>369.46</v>
      </c>
      <c r="AA36" s="26">
        <f>SUM(O36:U36)</f>
        <v/>
      </c>
      <c r="AB36" s="26">
        <f>SUM(O36:Z36)</f>
        <v/>
      </c>
      <c r="AC36" s="26" t="n">
        <v>0</v>
      </c>
      <c r="AD36" s="26" t="n">
        <v>0</v>
      </c>
      <c r="AE36" s="26" t="n">
        <v>0</v>
      </c>
      <c r="AF36" s="26" t="n">
        <v>0</v>
      </c>
      <c r="AG36" s="26" t="n">
        <v>0</v>
      </c>
      <c r="AH36" s="26" t="n">
        <v>0</v>
      </c>
      <c r="AI36" s="34">
        <f>SUM(AC36:AH36)</f>
        <v/>
      </c>
      <c r="AJ36" s="26">
        <f>SUM(AC36:AH36)+AI36</f>
        <v/>
      </c>
      <c r="AK36" s="11">
        <f>IF(N36&lt;&gt;0,(AB36-N36)/ABS(N36),0)</f>
        <v/>
      </c>
      <c r="AL36" s="11">
        <f>IF(AB36&lt;&gt;0,(AJ36-AB36)/ABS(AB36),0)</f>
        <v/>
      </c>
    </row>
    <row r="37" ht="13" customHeight="1">
      <c r="A37" s="25" t="inlineStr">
        <is>
          <t xml:space="preserve">    Cleaning</t>
        </is>
      </c>
      <c r="B37" s="26" t="n">
        <v>224.18</v>
      </c>
      <c r="C37" s="26" t="n">
        <v>146.78</v>
      </c>
      <c r="D37" s="26" t="n">
        <v>513.5799999999999</v>
      </c>
      <c r="E37" s="26" t="n">
        <v>443.7099999999999</v>
      </c>
      <c r="F37" s="26" t="n">
        <v>466.8200000000001</v>
      </c>
      <c r="G37" s="26" t="n">
        <v>228.26</v>
      </c>
      <c r="H37" s="26" t="n">
        <v>233.02</v>
      </c>
      <c r="I37" s="26" t="n">
        <v>200.11</v>
      </c>
      <c r="J37" s="26" t="n">
        <v>110.69</v>
      </c>
      <c r="K37" s="26" t="n">
        <v>311.4399999999999</v>
      </c>
      <c r="L37" s="26" t="n">
        <v>302.55</v>
      </c>
      <c r="M37" s="26" t="n">
        <v>77.78</v>
      </c>
      <c r="N37" s="26">
        <f>SUM(B37:M37)</f>
        <v/>
      </c>
      <c r="O37" s="26" t="n">
        <v>312.05</v>
      </c>
      <c r="P37" s="26" t="n">
        <v>159.81</v>
      </c>
      <c r="Q37" s="26" t="n">
        <v>90.3</v>
      </c>
      <c r="R37" s="26" t="n">
        <v>184.06</v>
      </c>
      <c r="S37" s="26" t="n">
        <v>182.25</v>
      </c>
      <c r="T37" s="26" t="n">
        <v>181</v>
      </c>
      <c r="U37" s="26" t="n">
        <v>479.6300000000001</v>
      </c>
      <c r="AA37" s="26">
        <f>SUM(O37:U37)</f>
        <v/>
      </c>
      <c r="AB37" s="26">
        <f>SUM(O37:Z37)</f>
        <v/>
      </c>
      <c r="AC37" s="26" t="n">
        <v>287</v>
      </c>
      <c r="AD37" s="26" t="n">
        <v>287</v>
      </c>
      <c r="AE37" s="26" t="n">
        <v>287</v>
      </c>
      <c r="AF37" s="26" t="n">
        <v>287</v>
      </c>
      <c r="AG37" s="26" t="n">
        <v>287</v>
      </c>
      <c r="AH37" s="26" t="n">
        <v>287</v>
      </c>
      <c r="AI37" s="34">
        <f>SUM(AC37:AH37)</f>
        <v/>
      </c>
      <c r="AJ37" s="26">
        <f>SUM(AC37:AH37)+AI37</f>
        <v/>
      </c>
      <c r="AK37" s="11">
        <f>IF(N37&lt;&gt;0,(AB37-N37)/ABS(N37),0)</f>
        <v/>
      </c>
      <c r="AL37" s="11">
        <f>IF(AB37&lt;&gt;0,(AJ37-AB37)/ABS(AB37),0)</f>
        <v/>
      </c>
    </row>
    <row r="38" ht="13" customHeight="1">
      <c r="A38" s="25" t="inlineStr">
        <is>
          <t xml:space="preserve">    Waste Disposal</t>
        </is>
      </c>
      <c r="B38" s="26" t="n">
        <v>305.84</v>
      </c>
      <c r="C38" s="26" t="n">
        <v>267.48</v>
      </c>
      <c r="D38" s="26" t="n">
        <v>329.28</v>
      </c>
      <c r="E38" s="26" t="n">
        <v>272.3</v>
      </c>
      <c r="F38" s="26" t="n">
        <v>269.13</v>
      </c>
      <c r="G38" s="26" t="n">
        <v>322.55</v>
      </c>
      <c r="H38" s="26" t="n">
        <v>346.55</v>
      </c>
      <c r="I38" s="26" t="n">
        <v>440.11</v>
      </c>
      <c r="J38" s="26" t="n">
        <v>295.53</v>
      </c>
      <c r="K38" s="26" t="n">
        <v>269.13</v>
      </c>
      <c r="L38" s="26" t="n">
        <v>301.56</v>
      </c>
      <c r="M38" s="26" t="n">
        <v>342</v>
      </c>
      <c r="N38" s="26">
        <f>SUM(B38:M38)</f>
        <v/>
      </c>
      <c r="O38" s="26" t="n">
        <v>288.59</v>
      </c>
      <c r="P38" s="26" t="n">
        <v>288.59</v>
      </c>
      <c r="Q38" s="26" t="n">
        <v>299.99</v>
      </c>
      <c r="R38" s="26" t="n">
        <v>342.61</v>
      </c>
      <c r="S38" s="26" t="n">
        <v>509.74</v>
      </c>
      <c r="T38" s="26" t="n">
        <v>529.5</v>
      </c>
      <c r="U38" s="26" t="n">
        <v>567.21</v>
      </c>
      <c r="AA38" s="26">
        <f>SUM(O38:U38)</f>
        <v/>
      </c>
      <c r="AB38" s="26">
        <f>SUM(O38:Z38)</f>
        <v/>
      </c>
      <c r="AC38" s="26" t="n">
        <v>313</v>
      </c>
      <c r="AD38" s="26" t="n">
        <v>313</v>
      </c>
      <c r="AE38" s="26" t="n">
        <v>313</v>
      </c>
      <c r="AF38" s="26" t="n">
        <v>313</v>
      </c>
      <c r="AG38" s="26" t="n">
        <v>313</v>
      </c>
      <c r="AH38" s="26" t="n">
        <v>313</v>
      </c>
      <c r="AI38" s="34">
        <f>SUM(AC38:AH38)</f>
        <v/>
      </c>
      <c r="AJ38" s="26">
        <f>SUM(AC38:AH38)+AI38</f>
        <v/>
      </c>
      <c r="AK38" s="11">
        <f>IF(N38&lt;&gt;0,(AB38-N38)/ABS(N38),0)</f>
        <v/>
      </c>
      <c r="AL38" s="11">
        <f>IF(AB38&lt;&gt;0,(AJ38-AB38)/ABS(AB38),0)</f>
        <v/>
      </c>
    </row>
    <row r="39" ht="13" customHeight="1">
      <c r="A39" s="25" t="inlineStr">
        <is>
          <t xml:space="preserve">    Postage/Printing/Stationery</t>
        </is>
      </c>
      <c r="B39" s="26" t="n">
        <v>52.2</v>
      </c>
      <c r="C39" s="26" t="n">
        <v>53.91</v>
      </c>
      <c r="D39" s="26" t="n">
        <v>34.9</v>
      </c>
      <c r="E39" s="26" t="n">
        <v>57.92</v>
      </c>
      <c r="F39" s="26" t="n">
        <v>15.71</v>
      </c>
      <c r="G39" s="26" t="n">
        <v>40.2</v>
      </c>
      <c r="H39" s="26" t="n">
        <v>21.38</v>
      </c>
      <c r="I39" s="26" t="n">
        <v>95.39999999999999</v>
      </c>
      <c r="J39" s="26" t="n">
        <v>21.18</v>
      </c>
      <c r="K39" s="26" t="n">
        <v>65.27</v>
      </c>
      <c r="L39" s="26" t="n">
        <v>30.78</v>
      </c>
      <c r="M39" s="26" t="n">
        <v>23.14</v>
      </c>
      <c r="N39" s="26">
        <f>SUM(B39:M39)</f>
        <v/>
      </c>
      <c r="O39" s="26" t="n">
        <v>74.81999999999999</v>
      </c>
      <c r="P39" s="26" t="n">
        <v>34.98</v>
      </c>
      <c r="Q39" s="26" t="n">
        <v>40.59</v>
      </c>
      <c r="R39" s="26" t="n">
        <v>23.32</v>
      </c>
      <c r="S39" s="26" t="n">
        <v>16.91</v>
      </c>
      <c r="T39" s="26" t="n">
        <v>47.48999999999999</v>
      </c>
      <c r="U39" s="26" t="n">
        <v>33.83</v>
      </c>
      <c r="AA39" s="26">
        <f>SUM(O39:U39)</f>
        <v/>
      </c>
      <c r="AB39" s="26">
        <f>SUM(O39:Z39)</f>
        <v/>
      </c>
      <c r="AC39" s="26" t="n">
        <v>0</v>
      </c>
      <c r="AD39" s="26" t="n">
        <v>0</v>
      </c>
      <c r="AE39" s="26" t="n">
        <v>0</v>
      </c>
      <c r="AF39" s="26" t="n">
        <v>0</v>
      </c>
      <c r="AG39" s="26" t="n">
        <v>0</v>
      </c>
      <c r="AH39" s="26" t="n">
        <v>0</v>
      </c>
      <c r="AI39" s="34">
        <f>SUM(AC39:AH39)</f>
        <v/>
      </c>
      <c r="AJ39" s="26">
        <f>SUM(AC39:AH39)+AI39</f>
        <v/>
      </c>
      <c r="AK39" s="11">
        <f>IF(N39&lt;&gt;0,(AB39-N39)/ABS(N39),0)</f>
        <v/>
      </c>
      <c r="AL39" s="11">
        <f>IF(AB39&lt;&gt;0,(AJ39-AB39)/ABS(AB39),0)</f>
        <v/>
      </c>
    </row>
    <row r="40" ht="13" customHeight="1">
      <c r="A40" s="25" t="inlineStr">
        <is>
          <t xml:space="preserve">    Telephone</t>
        </is>
      </c>
      <c r="B40" s="26" t="n">
        <v>0</v>
      </c>
      <c r="C40" s="26" t="n">
        <v>0</v>
      </c>
      <c r="D40" s="26" t="n">
        <v>0</v>
      </c>
      <c r="E40" s="26" t="n">
        <v>0</v>
      </c>
      <c r="F40" s="26" t="n">
        <v>0</v>
      </c>
      <c r="G40" s="26" t="n">
        <v>0</v>
      </c>
      <c r="H40" s="26" t="n">
        <v>0</v>
      </c>
      <c r="I40" s="26" t="n">
        <v>0</v>
      </c>
      <c r="J40" s="26" t="n">
        <v>0</v>
      </c>
      <c r="K40" s="26" t="n">
        <v>0</v>
      </c>
      <c r="L40" s="26" t="n">
        <v>0</v>
      </c>
      <c r="M40" s="26" t="n">
        <v>0</v>
      </c>
      <c r="N40" s="26">
        <f>SUM(B40:M40)</f>
        <v/>
      </c>
      <c r="O40" s="26" t="n">
        <v>0</v>
      </c>
      <c r="P40" s="26" t="n">
        <v>0</v>
      </c>
      <c r="Q40" s="26" t="n">
        <v>5.95</v>
      </c>
      <c r="R40" s="26" t="n">
        <v>0</v>
      </c>
      <c r="S40" s="26" t="n">
        <v>176</v>
      </c>
      <c r="T40" s="26" t="n">
        <v>0</v>
      </c>
      <c r="U40" s="26" t="n">
        <v>18</v>
      </c>
      <c r="AA40" s="26">
        <f>SUM(O40:U40)</f>
        <v/>
      </c>
      <c r="AB40" s="26">
        <f>SUM(O40:Z40)</f>
        <v/>
      </c>
      <c r="AC40" s="26" t="n">
        <v>0</v>
      </c>
      <c r="AD40" s="26" t="n">
        <v>0</v>
      </c>
      <c r="AE40" s="26" t="n">
        <v>0</v>
      </c>
      <c r="AF40" s="26" t="n">
        <v>0</v>
      </c>
      <c r="AG40" s="26" t="n">
        <v>0</v>
      </c>
      <c r="AH40" s="26" t="n">
        <v>0</v>
      </c>
      <c r="AI40" s="34">
        <f>SUM(AC40:AH40)</f>
        <v/>
      </c>
      <c r="AJ40" s="26">
        <f>SUM(AC40:AH40)+AI40</f>
        <v/>
      </c>
      <c r="AK40" s="11">
        <f>IF(N40&lt;&gt;0,(AB40-N40)/ABS(N40),0)</f>
        <v/>
      </c>
      <c r="AL40" s="11">
        <f>IF(AB40&lt;&gt;0,(AJ40-AB40)/ABS(AB40),0)</f>
        <v/>
      </c>
    </row>
    <row r="41" ht="13" customHeight="1">
      <c r="A41" s="25" t="inlineStr">
        <is>
          <t xml:space="preserve">    Marketing</t>
        </is>
      </c>
      <c r="B41" s="26" t="n">
        <v>0</v>
      </c>
      <c r="C41" s="26" t="n">
        <v>0</v>
      </c>
      <c r="D41" s="26" t="n">
        <v>0</v>
      </c>
      <c r="E41" s="26" t="n">
        <v>0</v>
      </c>
      <c r="F41" s="26" t="n">
        <v>0</v>
      </c>
      <c r="G41" s="26" t="n">
        <v>0</v>
      </c>
      <c r="H41" s="26" t="n">
        <v>0</v>
      </c>
      <c r="I41" s="26" t="n">
        <v>0</v>
      </c>
      <c r="J41" s="26" t="n">
        <v>0</v>
      </c>
      <c r="K41" s="26" t="n">
        <v>0</v>
      </c>
      <c r="L41" s="26" t="n">
        <v>0</v>
      </c>
      <c r="M41" s="26" t="n">
        <v>0</v>
      </c>
      <c r="N41" s="26">
        <f>SUM(B41:M41)</f>
        <v/>
      </c>
      <c r="O41" s="26" t="n">
        <v>0</v>
      </c>
      <c r="P41" s="26" t="n">
        <v>0</v>
      </c>
      <c r="Q41" s="26" t="n">
        <v>0</v>
      </c>
      <c r="R41" s="26" t="n">
        <v>0</v>
      </c>
      <c r="S41" s="26" t="n">
        <v>0</v>
      </c>
      <c r="T41" s="26" t="n">
        <v>0</v>
      </c>
      <c r="U41" s="26" t="n">
        <v>0</v>
      </c>
      <c r="V41" s="26" t="n">
        <v>0</v>
      </c>
      <c r="W41" s="26" t="n">
        <v>0</v>
      </c>
      <c r="X41" s="26" t="n">
        <v>0</v>
      </c>
      <c r="Y41" s="26" t="n">
        <v>0</v>
      </c>
      <c r="Z41" s="26" t="n">
        <v>0</v>
      </c>
      <c r="AA41" s="26">
        <f>SUM(O41:U41)</f>
        <v/>
      </c>
      <c r="AB41" s="26">
        <f>SUM(O41:Z41)</f>
        <v/>
      </c>
      <c r="AC41" s="26" t="n">
        <v>100</v>
      </c>
      <c r="AD41" s="26" t="n">
        <v>100</v>
      </c>
      <c r="AE41" s="26" t="n">
        <v>100</v>
      </c>
      <c r="AF41" s="26" t="n">
        <v>100</v>
      </c>
      <c r="AG41" s="26" t="n">
        <v>100</v>
      </c>
      <c r="AH41" s="26" t="n">
        <v>100</v>
      </c>
      <c r="AI41" s="34">
        <f>SUM(AC41:AH41)</f>
        <v/>
      </c>
      <c r="AJ41" s="26">
        <f>SUM(AC41:AH41)+AI41</f>
        <v/>
      </c>
      <c r="AK41" s="11">
        <f>IF(N41&lt;&gt;0,(AB41-N41)/ABS(N41),0)</f>
        <v/>
      </c>
      <c r="AL41" s="11">
        <f>IF(AB41&lt;&gt;0,(AJ41-AB41)/ABS(AB41),0)</f>
        <v/>
      </c>
    </row>
    <row r="42" ht="13" customHeight="1">
      <c r="A42" s="27" t="inlineStr">
        <is>
          <t>Total Premises &amp; Admin</t>
        </is>
      </c>
      <c r="B42" s="28">
        <f>B33+B34+B35+B36+B37+B38+B39+B40+B41</f>
        <v/>
      </c>
      <c r="C42" s="28">
        <f>C33+C34+C35+C36+C37+C38+C39+C40+C41</f>
        <v/>
      </c>
      <c r="D42" s="28">
        <f>D33+D34+D35+D36+D37+D38+D39+D40+D41</f>
        <v/>
      </c>
      <c r="E42" s="28">
        <f>E33+E34+E35+E36+E37+E38+E39+E40+E41</f>
        <v/>
      </c>
      <c r="F42" s="28">
        <f>F33+F34+F35+F36+F37+F38+F39+F40+F41</f>
        <v/>
      </c>
      <c r="G42" s="28">
        <f>G33+G34+G35+G36+G37+G38+G39+G40+G41</f>
        <v/>
      </c>
      <c r="H42" s="28">
        <f>H33+H34+H35+H36+H37+H38+H39+H40+H41</f>
        <v/>
      </c>
      <c r="I42" s="28">
        <f>I33+I34+I35+I36+I37+I38+I39+I40+I41</f>
        <v/>
      </c>
      <c r="J42" s="28">
        <f>J33+J34+J35+J36+J37+J38+J39+J40+J41</f>
        <v/>
      </c>
      <c r="K42" s="28">
        <f>K33+K34+K35+K36+K37+K38+K39+K40+K41</f>
        <v/>
      </c>
      <c r="L42" s="28">
        <f>L33+L34+L35+L36+L37+L38+L39+L40+L41</f>
        <v/>
      </c>
      <c r="M42" s="28">
        <f>M33+M34+M35+M36+M37+M38+M39+M40+M41</f>
        <v/>
      </c>
      <c r="N42" s="28">
        <f>N33+N34+N35+N36+N37+N38+N39+N40+N41</f>
        <v/>
      </c>
      <c r="O42" s="28">
        <f>O33+O34+O35+O36+O37+O38+O39+O40+O41</f>
        <v/>
      </c>
      <c r="P42" s="28">
        <f>P33+P34+P35+P36+P37+P38+P39+P40+P41</f>
        <v/>
      </c>
      <c r="Q42" s="28">
        <f>Q33+Q34+Q35+Q36+Q37+Q38+Q39+Q40+Q41</f>
        <v/>
      </c>
      <c r="R42" s="28">
        <f>R33+R34+R35+R36+R37+R38+R39+R40+R41</f>
        <v/>
      </c>
      <c r="S42" s="28">
        <f>S33+S34+S35+S36+S37+S38+S39+S40+S41</f>
        <v/>
      </c>
      <c r="T42" s="28">
        <f>T33+T34+T35+T36+T37+T38+T39+T40+T41</f>
        <v/>
      </c>
      <c r="U42" s="28">
        <f>U33+U34+U35+U36+U37+U38+U39+U40+U41</f>
        <v/>
      </c>
      <c r="V42" s="28">
        <f>V33+V34+V35+V36+V37+V38+V39+V40+V41</f>
        <v/>
      </c>
      <c r="W42" s="28">
        <f>W33+W34+W35+W36+W37+W38+W39+W40+W41</f>
        <v/>
      </c>
      <c r="X42" s="28">
        <f>X33+X34+X35+X36+X37+X38+X39+X40+X41</f>
        <v/>
      </c>
      <c r="Y42" s="28">
        <f>Y33+Y34+Y35+Y36+Y37+Y38+Y39+Y40+Y41</f>
        <v/>
      </c>
      <c r="Z42" s="28">
        <f>Z33+Z34+Z35+Z36+Z37+Z38+Z39+Z40+Z41</f>
        <v/>
      </c>
      <c r="AA42" s="28">
        <f>AA33+AA34+AA35+AA36+AA37+AA38+AA39+AA40+AA41</f>
        <v/>
      </c>
      <c r="AB42" s="28">
        <f>AB33+AB34+AB35+AB36+AB37+AB38+AB39+AB40+AB41</f>
        <v/>
      </c>
      <c r="AC42" s="28">
        <f>AC33+AC34+AC35+AC36+AC37+AC38+AC39+AC40+AC41</f>
        <v/>
      </c>
      <c r="AD42" s="28">
        <f>AD33+AD34+AD35+AD36+AD37+AD38+AD39+AD40+AD41</f>
        <v/>
      </c>
      <c r="AE42" s="28">
        <f>AE33+AE34+AE35+AE36+AE37+AE38+AE39+AE40+AE41</f>
        <v/>
      </c>
      <c r="AF42" s="28">
        <f>AF33+AF34+AF35+AF36+AF37+AF38+AF39+AF40+AF41</f>
        <v/>
      </c>
      <c r="AG42" s="28">
        <f>AG33+AG34+AG35+AG36+AG37+AG38+AG39+AG40+AG41</f>
        <v/>
      </c>
      <c r="AH42" s="28">
        <f>AH33+AH34+AH35+AH36+AH37+AH38+AH39+AH40+AH41</f>
        <v/>
      </c>
      <c r="AI42" s="28">
        <f>AI33+AI34+AI35+AI36+AI37+AI38+AI39+AI40+AI41</f>
        <v/>
      </c>
      <c r="AJ42" s="28">
        <f>AJ33+AJ34+AJ35+AJ36+AJ37+AJ38+AJ39+AJ40+AJ41</f>
        <v/>
      </c>
      <c r="AK42" s="11">
        <f>IF(N42&lt;&gt;0,(AB42-N42)/ABS(N42),0)</f>
        <v/>
      </c>
      <c r="AL42" s="11">
        <f>IF(AB42&lt;&gt;0,(AJ42-AB42)/ABS(AB42),0)</f>
        <v/>
      </c>
    </row>
    <row r="43" ht="5" customHeight="1"/>
    <row r="44" ht="13" customHeight="1">
      <c r="A44" s="29" t="inlineStr">
        <is>
          <t>Total Direct Costs</t>
        </is>
      </c>
      <c r="AK44" s="11">
        <f>IF(N44&lt;&gt;0,(AB44-N44)/ABS(N44),0)</f>
        <v/>
      </c>
      <c r="AL44" s="11">
        <f>IF(AB44&lt;&gt;0,(AJ44-AB44)/ABS(AB44),0)</f>
        <v/>
      </c>
    </row>
    <row r="45" ht="5" customHeight="1"/>
    <row r="46" ht="15" customHeight="1">
      <c r="A46" s="30" t="inlineStr">
        <is>
          <t>CONTRIBUTION</t>
        </is>
      </c>
      <c r="B46" s="31">
        <f>B7-B44</f>
        <v/>
      </c>
      <c r="C46" s="31">
        <f>C7-C44</f>
        <v/>
      </c>
      <c r="D46" s="31">
        <f>D7-D44</f>
        <v/>
      </c>
      <c r="E46" s="31">
        <f>E7-E44</f>
        <v/>
      </c>
      <c r="F46" s="31">
        <f>F7-F44</f>
        <v/>
      </c>
      <c r="G46" s="31">
        <f>G7-G44</f>
        <v/>
      </c>
      <c r="H46" s="31">
        <f>H7-H44</f>
        <v/>
      </c>
      <c r="I46" s="31">
        <f>I7-I44</f>
        <v/>
      </c>
      <c r="J46" s="31">
        <f>J7-J44</f>
        <v/>
      </c>
      <c r="K46" s="31">
        <f>K7-K44</f>
        <v/>
      </c>
      <c r="L46" s="31">
        <f>L7-L44</f>
        <v/>
      </c>
      <c r="M46" s="31">
        <f>M7-M44</f>
        <v/>
      </c>
      <c r="N46" s="31">
        <f>N7-N44</f>
        <v/>
      </c>
      <c r="O46" s="31">
        <f>O7-O44</f>
        <v/>
      </c>
      <c r="P46" s="31">
        <f>P7-P44</f>
        <v/>
      </c>
      <c r="Q46" s="31">
        <f>Q7-Q44</f>
        <v/>
      </c>
      <c r="R46" s="31">
        <f>R7-R44</f>
        <v/>
      </c>
      <c r="S46" s="31">
        <f>S7-S44</f>
        <v/>
      </c>
      <c r="T46" s="31">
        <f>T7-T44</f>
        <v/>
      </c>
      <c r="U46" s="31">
        <f>U7-U44</f>
        <v/>
      </c>
      <c r="V46" s="31">
        <f>V7-V44</f>
        <v/>
      </c>
      <c r="W46" s="31">
        <f>W7-W44</f>
        <v/>
      </c>
      <c r="X46" s="31">
        <f>X7-X44</f>
        <v/>
      </c>
      <c r="Y46" s="31">
        <f>Y7-Y44</f>
        <v/>
      </c>
      <c r="Z46" s="31">
        <f>Z7-Z44</f>
        <v/>
      </c>
      <c r="AA46" s="31">
        <f>AA7-AA44</f>
        <v/>
      </c>
      <c r="AB46" s="31">
        <f>AB7-AB44</f>
        <v/>
      </c>
      <c r="AC46" s="31">
        <f>AC7-AC44</f>
        <v/>
      </c>
      <c r="AD46" s="31">
        <f>AD7-AD44</f>
        <v/>
      </c>
      <c r="AE46" s="31">
        <f>AE7-AE44</f>
        <v/>
      </c>
      <c r="AF46" s="31">
        <f>AF7-AF44</f>
        <v/>
      </c>
      <c r="AG46" s="31">
        <f>AG7-AG44</f>
        <v/>
      </c>
      <c r="AH46" s="31">
        <f>AH7-AH44</f>
        <v/>
      </c>
      <c r="AI46" s="31">
        <f>AI7-AI44</f>
        <v/>
      </c>
      <c r="AJ46" s="31">
        <f>AJ7-AJ44</f>
        <v/>
      </c>
      <c r="AK46" s="11">
        <f>IF(N46&lt;&gt;0,(AB46-N46)/ABS(N46),0)</f>
        <v/>
      </c>
      <c r="AL46" s="11">
        <f>IF(AB46&lt;&gt;0,(AJ46-AB46)/ABS(AB46),0)</f>
        <v/>
      </c>
    </row>
  </sheetData>
  <mergeCells count="8">
    <mergeCell ref="A10:AL10"/>
    <mergeCell ref="B1:N1"/>
    <mergeCell ref="A23:AL23"/>
    <mergeCell ref="A32:AL32"/>
    <mergeCell ref="AC1:AJ1"/>
    <mergeCell ref="A9:AL9"/>
    <mergeCell ref="A3:AL3"/>
    <mergeCell ref="O1:AB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L4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9.5" customWidth="1" min="27" max="27"/>
    <col width="9.5" customWidth="1" min="28" max="28"/>
    <col width="9.5" customWidth="1" min="29" max="29"/>
    <col width="9.5" customWidth="1" min="30" max="30"/>
    <col width="9.5" customWidth="1" min="31" max="31"/>
    <col width="9.5" customWidth="1" min="32" max="32"/>
    <col width="9.5" customWidth="1" min="33" max="33"/>
    <col width="9.5" customWidth="1" min="34" max="34"/>
    <col width="9.5" customWidth="1" min="35" max="35"/>
    <col width="11" customWidth="1" min="36" max="36"/>
    <col width="10" customWidth="1" min="37" max="37"/>
    <col width="10" customWidth="1" min="38" max="38"/>
  </cols>
  <sheetData>
    <row r="1" ht="18" customHeight="1">
      <c r="A1" s="1" t="inlineStr">
        <is>
          <t>Finchampstead</t>
        </is>
      </c>
      <c r="B1" s="2" t="inlineStr">
        <is>
          <t>Actuals 2025</t>
        </is>
      </c>
      <c r="O1" s="2" t="inlineStr">
        <is>
          <t>2026 Actual / Forecast</t>
        </is>
      </c>
      <c r="AC1" s="32" t="inlineStr">
        <is>
          <t>2027 Plan</t>
        </is>
      </c>
      <c r="AK1" s="3" t="inlineStr">
        <is>
          <t>YoY</t>
        </is>
      </c>
      <c r="AL1" s="3" t="inlineStr">
        <is>
          <t>YoY</t>
        </is>
      </c>
    </row>
    <row r="2" ht="22" customHeight="1">
      <c r="B2" s="4" t="inlineStr">
        <is>
          <t>Jan</t>
        </is>
      </c>
      <c r="C2" s="4" t="inlineStr">
        <is>
          <t>Feb</t>
        </is>
      </c>
      <c r="D2" s="4" t="inlineStr">
        <is>
          <t>Mar</t>
        </is>
      </c>
      <c r="E2" s="4" t="inlineStr">
        <is>
          <t>Apr</t>
        </is>
      </c>
      <c r="F2" s="4" t="inlineStr">
        <is>
          <t>May</t>
        </is>
      </c>
      <c r="G2" s="4" t="inlineStr">
        <is>
          <t>Jun</t>
        </is>
      </c>
      <c r="H2" s="4" t="inlineStr">
        <is>
          <t>Jul</t>
        </is>
      </c>
      <c r="I2" s="4" t="inlineStr">
        <is>
          <t>Aug</t>
        </is>
      </c>
      <c r="J2" s="4" t="inlineStr">
        <is>
          <t>Sep</t>
        </is>
      </c>
      <c r="K2" s="4" t="inlineStr">
        <is>
          <t>Oct</t>
        </is>
      </c>
      <c r="L2" s="4" t="inlineStr">
        <is>
          <t>Nov</t>
        </is>
      </c>
      <c r="M2" s="4" t="inlineStr">
        <is>
          <t>Dec</t>
        </is>
      </c>
      <c r="N2" s="5" t="inlineStr">
        <is>
          <t>FY2025
Total</t>
        </is>
      </c>
      <c r="O2" s="4" t="inlineStr">
        <is>
          <t>Jan</t>
        </is>
      </c>
      <c r="P2" s="4" t="inlineStr">
        <is>
          <t>Feb</t>
        </is>
      </c>
      <c r="Q2" s="4" t="inlineStr">
        <is>
          <t>Mar</t>
        </is>
      </c>
      <c r="R2" s="4" t="inlineStr">
        <is>
          <t>Apr</t>
        </is>
      </c>
      <c r="S2" s="4" t="inlineStr">
        <is>
          <t>May</t>
        </is>
      </c>
      <c r="T2" s="4" t="inlineStr">
        <is>
          <t>Jun</t>
        </is>
      </c>
      <c r="U2" s="4" t="inlineStr">
        <is>
          <t>Jul</t>
        </is>
      </c>
      <c r="V2" s="4" t="inlineStr">
        <is>
          <t>Aug</t>
        </is>
      </c>
      <c r="W2" s="4" t="inlineStr">
        <is>
          <t>Sep</t>
        </is>
      </c>
      <c r="X2" s="4" t="inlineStr">
        <is>
          <t>Oct</t>
        </is>
      </c>
      <c r="Y2" s="4" t="inlineStr">
        <is>
          <t>Nov</t>
        </is>
      </c>
      <c r="Z2" s="4" t="inlineStr">
        <is>
          <t>Dec</t>
        </is>
      </c>
      <c r="AA2" s="4" t="inlineStr">
        <is>
          <t>YTD</t>
        </is>
      </c>
      <c r="AB2" s="5" t="inlineStr">
        <is>
          <t>FY2026
Outlook</t>
        </is>
      </c>
      <c r="AC2" s="4" t="inlineStr">
        <is>
          <t>Jan</t>
        </is>
      </c>
      <c r="AD2" s="4" t="inlineStr">
        <is>
          <t>Feb</t>
        </is>
      </c>
      <c r="AE2" s="4" t="inlineStr">
        <is>
          <t>Mar</t>
        </is>
      </c>
      <c r="AF2" s="4" t="inlineStr">
        <is>
          <t>Apr</t>
        </is>
      </c>
      <c r="AG2" s="4" t="inlineStr">
        <is>
          <t>May</t>
        </is>
      </c>
      <c r="AH2" s="4" t="inlineStr">
        <is>
          <t>Jun</t>
        </is>
      </c>
      <c r="AI2" s="33" t="inlineStr">
        <is>
          <t>Jul-Dec
Plan</t>
        </is>
      </c>
      <c r="AJ2" s="4" t="inlineStr">
        <is>
          <t>FY2027</t>
        </is>
      </c>
      <c r="AK2" s="6" t="inlineStr">
        <is>
          <t>25→26
%</t>
        </is>
      </c>
      <c r="AL2" s="6" t="inlineStr">
        <is>
          <t>26→27
%</t>
        </is>
      </c>
    </row>
    <row r="3" ht="15" customHeight="1">
      <c r="A3" s="7" t="inlineStr">
        <is>
          <t>INCOME</t>
        </is>
      </c>
    </row>
    <row r="4" ht="13" customHeight="1">
      <c r="A4" s="8" t="inlineStr">
        <is>
          <t xml:space="preserve">    Fee Income Regular</t>
        </is>
      </c>
      <c r="B4" s="9" t="n">
        <v>13547.64</v>
      </c>
      <c r="C4" s="9" t="n">
        <v>13678.94</v>
      </c>
      <c r="D4" s="9" t="n">
        <v>12493.24</v>
      </c>
      <c r="E4" s="9" t="n">
        <v>13668.68</v>
      </c>
      <c r="F4" s="9" t="n">
        <v>12240.43</v>
      </c>
      <c r="G4" s="9" t="n">
        <v>11294.85</v>
      </c>
      <c r="H4" s="9" t="n">
        <v>13915.66</v>
      </c>
      <c r="I4" s="9" t="n">
        <v>9820.360000000001</v>
      </c>
      <c r="J4" s="9" t="n">
        <v>6134.57</v>
      </c>
      <c r="K4" s="9" t="n">
        <v>6959.25</v>
      </c>
      <c r="L4" s="9" t="n">
        <v>4849.44</v>
      </c>
      <c r="M4" s="9" t="n">
        <v>5437.48</v>
      </c>
      <c r="N4" s="9">
        <f>SUM(B4:M4)</f>
        <v/>
      </c>
      <c r="O4" s="9" t="n">
        <v>3354.85</v>
      </c>
      <c r="P4" s="9" t="n">
        <v>3323.69</v>
      </c>
      <c r="Q4" s="9" t="n">
        <v>6666.78</v>
      </c>
      <c r="R4" s="9" t="n">
        <v>5593.219999999999</v>
      </c>
      <c r="S4" s="9" t="n">
        <v>5717.570000000001</v>
      </c>
      <c r="T4" s="9" t="n">
        <v>5699.46</v>
      </c>
      <c r="U4" s="9" t="n">
        <v>8315.869999999999</v>
      </c>
      <c r="AA4" s="9">
        <f>SUM(O4:U4)</f>
        <v/>
      </c>
      <c r="AB4" s="9">
        <f>SUM(O4:Z4)</f>
        <v/>
      </c>
      <c r="AC4" s="9" t="n">
        <v>18243.24</v>
      </c>
      <c r="AD4" s="9" t="n">
        <v>15179.01</v>
      </c>
      <c r="AE4" s="9" t="n">
        <v>21987.99</v>
      </c>
      <c r="AF4" s="9" t="n">
        <v>22298.56</v>
      </c>
      <c r="AG4" s="9" t="n">
        <v>14630.48</v>
      </c>
      <c r="AH4" s="9" t="n">
        <v>16601.21</v>
      </c>
      <c r="AI4" s="34">
        <f>SUM(AC4:AH4)</f>
        <v/>
      </c>
      <c r="AJ4" s="9">
        <f>SUM(AC4:AH4)+AI4</f>
        <v/>
      </c>
      <c r="AK4" s="11">
        <f>IF(N4&lt;&gt;0,(AB4-N4)/ABS(N4),0)</f>
        <v/>
      </c>
      <c r="AL4" s="11">
        <f>IF(AB4&lt;&gt;0,(AJ4-AB4)/ABS(AB4),0)</f>
        <v/>
      </c>
    </row>
    <row r="5" ht="13" customHeight="1">
      <c r="A5" s="8" t="inlineStr">
        <is>
          <t xml:space="preserve">    EEEF Embedded</t>
        </is>
      </c>
      <c r="B5" s="9" t="n">
        <v>6570.19</v>
      </c>
      <c r="C5" s="9" t="n">
        <v>6570.19</v>
      </c>
      <c r="D5" s="9" t="n">
        <v>14078.26</v>
      </c>
      <c r="E5" s="9" t="n">
        <v>6162.6</v>
      </c>
      <c r="F5" s="9" t="n">
        <v>6162.6</v>
      </c>
      <c r="G5" s="9" t="n">
        <v>6162.6</v>
      </c>
      <c r="H5" s="9" t="n">
        <v>10121.39</v>
      </c>
      <c r="I5" s="9" t="n">
        <v>0</v>
      </c>
      <c r="J5" s="9" t="n">
        <v>7065.1</v>
      </c>
      <c r="K5" s="9" t="n">
        <v>7065.1</v>
      </c>
      <c r="L5" s="9" t="n">
        <v>7823.9</v>
      </c>
      <c r="M5" s="9" t="n">
        <v>33221.15</v>
      </c>
      <c r="N5" s="9">
        <f>SUM(B5:M5)</f>
        <v/>
      </c>
      <c r="O5" s="9" t="n">
        <v>10507.32</v>
      </c>
      <c r="P5" s="9" t="n">
        <v>10507.32</v>
      </c>
      <c r="Q5" s="9" t="n">
        <v>-3957.84</v>
      </c>
      <c r="R5" s="9" t="n">
        <v>9029.950000000001</v>
      </c>
      <c r="S5" s="9" t="n">
        <v>9029.950000000001</v>
      </c>
      <c r="T5" s="9" t="n">
        <v>10442.83</v>
      </c>
      <c r="U5" s="9" t="n">
        <v>9500.91</v>
      </c>
      <c r="AA5" s="9">
        <f>SUM(O5:U5)</f>
        <v/>
      </c>
      <c r="AB5" s="9">
        <f>SUM(O5:Z5)</f>
        <v/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34">
        <f>SUM(AC5:AH5)</f>
        <v/>
      </c>
      <c r="AJ5" s="9">
        <f>SUM(AC5:AH5)+AI5</f>
        <v/>
      </c>
      <c r="AK5" s="11">
        <f>IF(N5&lt;&gt;0,(AB5-N5)/ABS(N5),0)</f>
        <v/>
      </c>
      <c r="AL5" s="11">
        <f>IF(AB5&lt;&gt;0,(AJ5-AB5)/ABS(AB5),0)</f>
        <v/>
      </c>
    </row>
    <row r="6" ht="13" customHeight="1">
      <c r="A6" s="8" t="inlineStr">
        <is>
          <t xml:space="preserve">    Other Income</t>
        </is>
      </c>
      <c r="B6" s="9" t="n">
        <v>0</v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1110.33</v>
      </c>
      <c r="J6" s="9" t="n">
        <v>0</v>
      </c>
      <c r="K6" s="9" t="n">
        <v>0</v>
      </c>
      <c r="L6" s="9" t="n">
        <v>0</v>
      </c>
      <c r="M6" s="9" t="n">
        <v>0</v>
      </c>
      <c r="N6" s="9">
        <f>SUM(B6:M6)</f>
        <v/>
      </c>
      <c r="O6" s="9" t="n">
        <v>0</v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0</v>
      </c>
      <c r="W6" s="9" t="n">
        <v>0</v>
      </c>
      <c r="X6" s="9" t="n">
        <v>0</v>
      </c>
      <c r="Y6" s="9" t="n">
        <v>0</v>
      </c>
      <c r="Z6" s="9" t="n">
        <v>0</v>
      </c>
      <c r="AA6" s="9">
        <f>SUM(O6:U6)</f>
        <v/>
      </c>
      <c r="AB6" s="9">
        <f>SUM(O6:Z6)</f>
        <v/>
      </c>
      <c r="AC6" s="9" t="n">
        <v>0</v>
      </c>
      <c r="AD6" s="9" t="n">
        <v>0</v>
      </c>
      <c r="AE6" s="9" t="n">
        <v>0</v>
      </c>
      <c r="AF6" s="9" t="n">
        <v>0</v>
      </c>
      <c r="AG6" s="9" t="n">
        <v>0</v>
      </c>
      <c r="AH6" s="9" t="n">
        <v>0</v>
      </c>
      <c r="AI6" s="34">
        <f>SUM(AC6:AH6)</f>
        <v/>
      </c>
      <c r="AJ6" s="9">
        <f>SUM(AC6:AH6)+AI6</f>
        <v/>
      </c>
      <c r="AK6" s="11">
        <f>IF(N6&lt;&gt;0,(AB6-N6)/ABS(N6),0)</f>
        <v/>
      </c>
      <c r="AL6" s="11">
        <f>IF(AB6&lt;&gt;0,(AJ6-AB6)/ABS(AB6),0)</f>
        <v/>
      </c>
    </row>
    <row r="7" ht="13" customHeight="1">
      <c r="A7" s="12" t="inlineStr">
        <is>
          <t>Total Income</t>
        </is>
      </c>
      <c r="B7" s="13">
        <f>B4+B5+B6</f>
        <v/>
      </c>
      <c r="C7" s="13">
        <f>C4+C5+C6</f>
        <v/>
      </c>
      <c r="D7" s="13">
        <f>D4+D5+D6</f>
        <v/>
      </c>
      <c r="E7" s="13">
        <f>E4+E5+E6</f>
        <v/>
      </c>
      <c r="F7" s="13">
        <f>F4+F5+F6</f>
        <v/>
      </c>
      <c r="G7" s="13">
        <f>G4+G5+G6</f>
        <v/>
      </c>
      <c r="H7" s="13">
        <f>H4+H5+H6</f>
        <v/>
      </c>
      <c r="I7" s="13">
        <f>I4+I5+I6</f>
        <v/>
      </c>
      <c r="J7" s="13">
        <f>J4+J5+J6</f>
        <v/>
      </c>
      <c r="K7" s="13">
        <f>K4+K5+K6</f>
        <v/>
      </c>
      <c r="L7" s="13">
        <f>L4+L5+L6</f>
        <v/>
      </c>
      <c r="M7" s="13">
        <f>M4+M5+M6</f>
        <v/>
      </c>
      <c r="N7" s="13">
        <f>N4+N5+N6</f>
        <v/>
      </c>
      <c r="O7" s="13">
        <f>O4+O5+O6</f>
        <v/>
      </c>
      <c r="P7" s="13">
        <f>P4+P5+P6</f>
        <v/>
      </c>
      <c r="Q7" s="13">
        <f>Q4+Q5+Q6</f>
        <v/>
      </c>
      <c r="R7" s="13">
        <f>R4+R5+R6</f>
        <v/>
      </c>
      <c r="S7" s="13">
        <f>S4+S5+S6</f>
        <v/>
      </c>
      <c r="T7" s="13">
        <f>T4+T5+T6</f>
        <v/>
      </c>
      <c r="U7" s="13">
        <f>U4+U5+U6</f>
        <v/>
      </c>
      <c r="V7" s="13">
        <f>V4+V5+V6</f>
        <v/>
      </c>
      <c r="W7" s="13">
        <f>W4+W5+W6</f>
        <v/>
      </c>
      <c r="X7" s="13">
        <f>X4+X5+X6</f>
        <v/>
      </c>
      <c r="Y7" s="13">
        <f>Y4+Y5+Y6</f>
        <v/>
      </c>
      <c r="Z7" s="13">
        <f>Z4+Z5+Z6</f>
        <v/>
      </c>
      <c r="AA7" s="13">
        <f>AA4+AA5+AA6</f>
        <v/>
      </c>
      <c r="AB7" s="13">
        <f>AB4+AB5+AB6</f>
        <v/>
      </c>
      <c r="AC7" s="13">
        <f>AC4+AC5+AC6</f>
        <v/>
      </c>
      <c r="AD7" s="13">
        <f>AD4+AD5+AD6</f>
        <v/>
      </c>
      <c r="AE7" s="13">
        <f>AE4+AE5+AE6</f>
        <v/>
      </c>
      <c r="AF7" s="13">
        <f>AF4+AF5+AF6</f>
        <v/>
      </c>
      <c r="AG7" s="13">
        <f>AG4+AG5+AG6</f>
        <v/>
      </c>
      <c r="AH7" s="13">
        <f>AH4+AH5+AH6</f>
        <v/>
      </c>
      <c r="AI7" s="13">
        <f>AI4+AI5+AI6</f>
        <v/>
      </c>
      <c r="AJ7" s="13">
        <f>AJ4+AJ5+AJ6</f>
        <v/>
      </c>
      <c r="AK7" s="11">
        <f>IF(N7&lt;&gt;0,(AB7-N7)/ABS(N7),0)</f>
        <v/>
      </c>
      <c r="AL7" s="11">
        <f>IF(AB7&lt;&gt;0,(AJ7-AB7)/ABS(AB7),0)</f>
        <v/>
      </c>
    </row>
    <row r="8" ht="5" customHeight="1"/>
    <row r="9" ht="15" customHeight="1">
      <c r="A9" s="7" t="inlineStr">
        <is>
          <t>DIRECT COSTS</t>
        </is>
      </c>
    </row>
    <row r="10" ht="13" customHeight="1">
      <c r="A10" s="14" t="inlineStr">
        <is>
          <t>Personnel</t>
        </is>
      </c>
    </row>
    <row r="11" ht="13" customHeight="1">
      <c r="A11" s="15" t="inlineStr">
        <is>
          <t xml:space="preserve">    Nursery Salaries</t>
        </is>
      </c>
      <c r="B11" s="16" t="n">
        <v>13853.25</v>
      </c>
      <c r="C11" s="16" t="n">
        <v>13920.39</v>
      </c>
      <c r="D11" s="16" t="n">
        <v>10885.86</v>
      </c>
      <c r="E11" s="16" t="n">
        <v>11734.94</v>
      </c>
      <c r="F11" s="16" t="n">
        <v>11884.27</v>
      </c>
      <c r="G11" s="16" t="n">
        <v>11731.04</v>
      </c>
      <c r="H11" s="16" t="n">
        <v>15058.12</v>
      </c>
      <c r="I11" s="16" t="n">
        <v>12658.92</v>
      </c>
      <c r="J11" s="16" t="n">
        <v>12033.38</v>
      </c>
      <c r="K11" s="16" t="n">
        <v>14221.18</v>
      </c>
      <c r="L11" s="16" t="n">
        <v>14943.61</v>
      </c>
      <c r="M11" s="16" t="n">
        <v>12969.62</v>
      </c>
      <c r="N11" s="16">
        <f>SUM(B11:M11)</f>
        <v/>
      </c>
      <c r="O11" s="16" t="n">
        <v>15250.07</v>
      </c>
      <c r="P11" s="16" t="n">
        <v>14732.04</v>
      </c>
      <c r="Q11" s="16" t="n">
        <v>17344.06</v>
      </c>
      <c r="R11" s="16" t="n">
        <v>15665.42</v>
      </c>
      <c r="S11" s="16" t="n">
        <v>17146.66</v>
      </c>
      <c r="T11" s="16" t="n">
        <v>17450.45</v>
      </c>
      <c r="U11" s="16" t="n">
        <v>16025.41</v>
      </c>
      <c r="AA11" s="16">
        <f>SUM(O11:U11)</f>
        <v/>
      </c>
      <c r="AB11" s="16">
        <f>SUM(O11:Z11)</f>
        <v/>
      </c>
      <c r="AC11" s="16" t="n">
        <v>17344.06</v>
      </c>
      <c r="AD11" s="16" t="n">
        <v>17344.06</v>
      </c>
      <c r="AE11" s="16" t="n">
        <v>17344.06</v>
      </c>
      <c r="AF11" s="16" t="n">
        <v>17344.06</v>
      </c>
      <c r="AG11" s="16" t="n">
        <v>17344.06</v>
      </c>
      <c r="AH11" s="16" t="n">
        <v>17344.06</v>
      </c>
      <c r="AI11" s="34">
        <f>SUM(AC11:AH11)</f>
        <v/>
      </c>
      <c r="AJ11" s="16">
        <f>SUM(AC11:AH11)+AI11</f>
        <v/>
      </c>
      <c r="AK11" s="11">
        <f>IF(N11&lt;&gt;0,(AB11-N11)/ABS(N11),0)</f>
        <v/>
      </c>
      <c r="AL11" s="11">
        <f>IF(AB11&lt;&gt;0,(AJ11-AB11)/ABS(AB11),0)</f>
        <v/>
      </c>
    </row>
    <row r="12" ht="13" customHeight="1">
      <c r="A12" s="15" t="inlineStr">
        <is>
          <t xml:space="preserve">    Nursery NI</t>
        </is>
      </c>
      <c r="B12" s="16" t="n">
        <v>1069.51</v>
      </c>
      <c r="C12" s="16" t="n">
        <v>1065.83</v>
      </c>
      <c r="D12" s="16" t="n">
        <v>730.8099999999999</v>
      </c>
      <c r="E12" s="16" t="n">
        <v>1121.54</v>
      </c>
      <c r="F12" s="16" t="n">
        <v>1145.85</v>
      </c>
      <c r="G12" s="16" t="n">
        <v>1120.74</v>
      </c>
      <c r="H12" s="16" t="n">
        <v>1457.54</v>
      </c>
      <c r="I12" s="16" t="n">
        <v>1187.6</v>
      </c>
      <c r="J12" s="16" t="n">
        <v>1147.14</v>
      </c>
      <c r="K12" s="16" t="n">
        <v>1417.58</v>
      </c>
      <c r="L12" s="16" t="n">
        <v>1470.89</v>
      </c>
      <c r="M12" s="16" t="n">
        <v>1237.76</v>
      </c>
      <c r="N12" s="16">
        <f>SUM(B12:M12)</f>
        <v/>
      </c>
      <c r="O12" s="16" t="n">
        <v>1906.06</v>
      </c>
      <c r="P12" s="16" t="n">
        <v>1552.42</v>
      </c>
      <c r="Q12" s="16" t="n">
        <v>1940.36</v>
      </c>
      <c r="R12" s="16" t="n">
        <v>1758.19</v>
      </c>
      <c r="S12" s="16" t="n">
        <v>1909.14</v>
      </c>
      <c r="T12" s="16" t="n">
        <v>1963.39</v>
      </c>
      <c r="U12" s="16" t="n">
        <v>1752.14</v>
      </c>
      <c r="AA12" s="16">
        <f>SUM(O12:U12)</f>
        <v/>
      </c>
      <c r="AB12" s="16">
        <f>SUM(O12:Z12)</f>
        <v/>
      </c>
      <c r="AC12" s="16" t="n">
        <v>1940.36</v>
      </c>
      <c r="AD12" s="16" t="n">
        <v>1940.36</v>
      </c>
      <c r="AE12" s="16" t="n">
        <v>1940.36</v>
      </c>
      <c r="AF12" s="16" t="n">
        <v>1940.36</v>
      </c>
      <c r="AG12" s="16" t="n">
        <v>1940.36</v>
      </c>
      <c r="AH12" s="16" t="n">
        <v>1940.36</v>
      </c>
      <c r="AI12" s="34">
        <f>SUM(AC12:AH12)</f>
        <v/>
      </c>
      <c r="AJ12" s="16">
        <f>SUM(AC12:AH12)+AI12</f>
        <v/>
      </c>
      <c r="AK12" s="11">
        <f>IF(N12&lt;&gt;0,(AB12-N12)/ABS(N12),0)</f>
        <v/>
      </c>
      <c r="AL12" s="11">
        <f>IF(AB12&lt;&gt;0,(AJ12-AB12)/ABS(AB12),0)</f>
        <v/>
      </c>
    </row>
    <row r="13" ht="13" customHeight="1">
      <c r="A13" s="15" t="inlineStr">
        <is>
          <t xml:space="preserve">    Nursery Pension</t>
        </is>
      </c>
      <c r="B13" s="16" t="n">
        <v>237.38</v>
      </c>
      <c r="C13" s="16" t="n">
        <v>236.58</v>
      </c>
      <c r="D13" s="16" t="n">
        <v>156.6</v>
      </c>
      <c r="E13" s="16" t="n">
        <v>179.38</v>
      </c>
      <c r="F13" s="16" t="n">
        <v>216.8</v>
      </c>
      <c r="G13" s="16" t="n">
        <v>211.77</v>
      </c>
      <c r="H13" s="16" t="n">
        <v>228</v>
      </c>
      <c r="I13" s="16" t="n">
        <v>221.31</v>
      </c>
      <c r="J13" s="16" t="n">
        <v>217.06</v>
      </c>
      <c r="K13" s="16" t="n">
        <v>234.2</v>
      </c>
      <c r="L13" s="16" t="n">
        <v>215.9</v>
      </c>
      <c r="M13" s="16" t="n">
        <v>203.98</v>
      </c>
      <c r="N13" s="16">
        <f>SUM(B13:M13)</f>
        <v/>
      </c>
      <c r="O13" s="16" t="n">
        <v>266.3</v>
      </c>
      <c r="P13" s="16" t="n">
        <v>211.64</v>
      </c>
      <c r="Q13" s="16" t="n">
        <v>282.56</v>
      </c>
      <c r="R13" s="16" t="n">
        <v>243.9</v>
      </c>
      <c r="S13" s="16" t="n">
        <v>244.03</v>
      </c>
      <c r="T13" s="16" t="n">
        <v>245.73</v>
      </c>
      <c r="U13" s="16" t="n">
        <v>210.34</v>
      </c>
      <c r="AA13" s="16">
        <f>SUM(O13:U13)</f>
        <v/>
      </c>
      <c r="AB13" s="16">
        <f>SUM(O13:Z13)</f>
        <v/>
      </c>
      <c r="AC13" s="16" t="n">
        <v>282.56</v>
      </c>
      <c r="AD13" s="16" t="n">
        <v>282.56</v>
      </c>
      <c r="AE13" s="16" t="n">
        <v>282.56</v>
      </c>
      <c r="AF13" s="16" t="n">
        <v>282.56</v>
      </c>
      <c r="AG13" s="16" t="n">
        <v>282.56</v>
      </c>
      <c r="AH13" s="16" t="n">
        <v>282.56</v>
      </c>
      <c r="AI13" s="34">
        <f>SUM(AC13:AH13)</f>
        <v/>
      </c>
      <c r="AJ13" s="16">
        <f>SUM(AC13:AH13)+AI13</f>
        <v/>
      </c>
      <c r="AK13" s="11">
        <f>IF(N13&lt;&gt;0,(AB13-N13)/ABS(N13),0)</f>
        <v/>
      </c>
      <c r="AL13" s="11">
        <f>IF(AB13&lt;&gt;0,(AJ13-AB13)/ABS(AB13),0)</f>
        <v/>
      </c>
    </row>
    <row r="14" ht="13" customHeight="1">
      <c r="A14" s="15" t="inlineStr">
        <is>
          <t xml:space="preserve">    Uniform</t>
        </is>
      </c>
      <c r="B14" s="16" t="n">
        <v>0</v>
      </c>
      <c r="C14" s="16" t="n">
        <v>97.16</v>
      </c>
      <c r="D14" s="16" t="n">
        <v>74.22</v>
      </c>
      <c r="E14" s="16" t="n">
        <v>0</v>
      </c>
      <c r="F14" s="16" t="n">
        <v>0</v>
      </c>
      <c r="G14" s="16" t="n">
        <v>0</v>
      </c>
      <c r="H14" s="16" t="n">
        <v>0</v>
      </c>
      <c r="I14" s="16" t="n">
        <v>0</v>
      </c>
      <c r="J14" s="16" t="n">
        <v>132.9</v>
      </c>
      <c r="K14" s="16" t="n">
        <v>0</v>
      </c>
      <c r="L14" s="16" t="n">
        <v>158.34</v>
      </c>
      <c r="M14" s="16" t="n">
        <v>0</v>
      </c>
      <c r="N14" s="16">
        <f>SUM(B14:M14)</f>
        <v/>
      </c>
      <c r="O14" s="16" t="n">
        <v>0</v>
      </c>
      <c r="P14" s="16" t="n">
        <v>64.56</v>
      </c>
      <c r="Q14" s="16" t="n">
        <v>0</v>
      </c>
      <c r="R14" s="16" t="n">
        <v>0</v>
      </c>
      <c r="S14" s="16" t="n">
        <v>54.48</v>
      </c>
      <c r="T14" s="16" t="n">
        <v>130.08</v>
      </c>
      <c r="U14" s="16" t="n">
        <v>44.16</v>
      </c>
      <c r="AA14" s="16">
        <f>SUM(O14:U14)</f>
        <v/>
      </c>
      <c r="AB14" s="16">
        <f>SUM(O14:Z14)</f>
        <v/>
      </c>
      <c r="AC14" s="16" t="n">
        <v>34</v>
      </c>
      <c r="AD14" s="16" t="n">
        <v>34</v>
      </c>
      <c r="AE14" s="16" t="n">
        <v>34</v>
      </c>
      <c r="AF14" s="16" t="n">
        <v>34</v>
      </c>
      <c r="AG14" s="16" t="n">
        <v>34</v>
      </c>
      <c r="AH14" s="16" t="n">
        <v>34</v>
      </c>
      <c r="AI14" s="34">
        <f>SUM(AC14:AH14)</f>
        <v/>
      </c>
      <c r="AJ14" s="16">
        <f>SUM(AC14:AH14)+AI14</f>
        <v/>
      </c>
      <c r="AK14" s="11">
        <f>IF(N14&lt;&gt;0,(AB14-N14)/ABS(N14),0)</f>
        <v/>
      </c>
      <c r="AL14" s="11">
        <f>IF(AB14&lt;&gt;0,(AJ14-AB14)/ABS(AB14),0)</f>
        <v/>
      </c>
    </row>
    <row r="15" ht="13" customHeight="1">
      <c r="A15" s="15" t="inlineStr">
        <is>
          <t xml:space="preserve">    Training</t>
        </is>
      </c>
      <c r="B15" s="16" t="n">
        <v>24.98</v>
      </c>
      <c r="C15" s="16" t="n">
        <v>0</v>
      </c>
      <c r="D15" s="16" t="n">
        <v>0</v>
      </c>
      <c r="E15" s="16" t="n">
        <v>72</v>
      </c>
      <c r="F15" s="16" t="n">
        <v>31.2</v>
      </c>
      <c r="G15" s="16" t="n">
        <v>0</v>
      </c>
      <c r="H15" s="16" t="n">
        <v>61.2</v>
      </c>
      <c r="I15" s="16" t="n">
        <v>78</v>
      </c>
      <c r="J15" s="16" t="n">
        <v>37.2</v>
      </c>
      <c r="K15" s="16" t="n">
        <v>114</v>
      </c>
      <c r="L15" s="16" t="n">
        <v>496.9</v>
      </c>
      <c r="M15" s="16" t="n">
        <v>0</v>
      </c>
      <c r="N15" s="16">
        <f>SUM(B15:M15)</f>
        <v/>
      </c>
      <c r="O15" s="16" t="n">
        <v>0</v>
      </c>
      <c r="P15" s="16" t="n">
        <v>78</v>
      </c>
      <c r="Q15" s="16" t="n">
        <v>0</v>
      </c>
      <c r="R15" s="16" t="n">
        <v>78</v>
      </c>
      <c r="S15" s="16" t="n">
        <v>0</v>
      </c>
      <c r="T15" s="16" t="n">
        <v>0</v>
      </c>
      <c r="U15" s="16" t="n">
        <v>0</v>
      </c>
      <c r="AA15" s="16">
        <f>SUM(O15:U15)</f>
        <v/>
      </c>
      <c r="AB15" s="16">
        <f>SUM(O15:Z15)</f>
        <v/>
      </c>
      <c r="AC15" s="16" t="n">
        <v>50</v>
      </c>
      <c r="AD15" s="16" t="n">
        <v>50</v>
      </c>
      <c r="AE15" s="16" t="n">
        <v>50</v>
      </c>
      <c r="AF15" s="16" t="n">
        <v>50</v>
      </c>
      <c r="AG15" s="16" t="n">
        <v>50</v>
      </c>
      <c r="AH15" s="16" t="n">
        <v>50</v>
      </c>
      <c r="AI15" s="34">
        <f>SUM(AC15:AH15)</f>
        <v/>
      </c>
      <c r="AJ15" s="16">
        <f>SUM(AC15:AH15)+AI15</f>
        <v/>
      </c>
      <c r="AK15" s="11">
        <f>IF(N15&lt;&gt;0,(AB15-N15)/ABS(N15),0)</f>
        <v/>
      </c>
      <c r="AL15" s="11">
        <f>IF(AB15&lt;&gt;0,(AJ15-AB15)/ABS(AB15),0)</f>
        <v/>
      </c>
    </row>
    <row r="16" ht="13" customHeight="1">
      <c r="A16" s="15" t="inlineStr">
        <is>
          <t xml:space="preserve">    Staff Welfare</t>
        </is>
      </c>
      <c r="B16" s="16" t="n">
        <v>52.64</v>
      </c>
      <c r="C16" s="16" t="n">
        <v>83.47</v>
      </c>
      <c r="D16" s="16" t="n">
        <v>184.8</v>
      </c>
      <c r="E16" s="16" t="n">
        <v>82.88</v>
      </c>
      <c r="F16" s="16" t="n">
        <v>111.1</v>
      </c>
      <c r="G16" s="16" t="n">
        <v>58.14</v>
      </c>
      <c r="H16" s="16" t="n">
        <v>174.11</v>
      </c>
      <c r="I16" s="16" t="n">
        <v>101.97</v>
      </c>
      <c r="J16" s="16" t="n">
        <v>76.61</v>
      </c>
      <c r="K16" s="16" t="n">
        <v>140.2</v>
      </c>
      <c r="L16" s="16" t="n">
        <v>107.45</v>
      </c>
      <c r="M16" s="16" t="n">
        <v>154.31</v>
      </c>
      <c r="N16" s="16">
        <f>SUM(B16:M16)</f>
        <v/>
      </c>
      <c r="O16" s="16" t="n">
        <v>51.24</v>
      </c>
      <c r="P16" s="16" t="n">
        <v>181.27</v>
      </c>
      <c r="Q16" s="16" t="n">
        <v>83.42999999999999</v>
      </c>
      <c r="R16" s="16" t="n">
        <v>49.29</v>
      </c>
      <c r="S16" s="16" t="n">
        <v>61.11</v>
      </c>
      <c r="T16" s="16" t="n">
        <v>64.43000000000001</v>
      </c>
      <c r="U16" s="16" t="n">
        <v>40.25</v>
      </c>
      <c r="AA16" s="16">
        <f>SUM(O16:U16)</f>
        <v/>
      </c>
      <c r="AB16" s="16">
        <f>SUM(O16:Z16)</f>
        <v/>
      </c>
      <c r="AC16" s="16" t="n">
        <v>70</v>
      </c>
      <c r="AD16" s="16" t="n">
        <v>70</v>
      </c>
      <c r="AE16" s="16" t="n">
        <v>70</v>
      </c>
      <c r="AF16" s="16" t="n">
        <v>70</v>
      </c>
      <c r="AG16" s="16" t="n">
        <v>70</v>
      </c>
      <c r="AH16" s="16" t="n">
        <v>70</v>
      </c>
      <c r="AI16" s="34">
        <f>SUM(AC16:AH16)</f>
        <v/>
      </c>
      <c r="AJ16" s="16">
        <f>SUM(AC16:AH16)+AI16</f>
        <v/>
      </c>
      <c r="AK16" s="11">
        <f>IF(N16&lt;&gt;0,(AB16-N16)/ABS(N16),0)</f>
        <v/>
      </c>
      <c r="AL16" s="11">
        <f>IF(AB16&lt;&gt;0,(AJ16-AB16)/ABS(AB16),0)</f>
        <v/>
      </c>
    </row>
    <row r="17" ht="13" customHeight="1">
      <c r="A17" s="15" t="inlineStr">
        <is>
          <t xml:space="preserve">    Recruitment</t>
        </is>
      </c>
      <c r="B17" s="16" t="n">
        <v>0</v>
      </c>
      <c r="C17" s="16" t="n">
        <v>0</v>
      </c>
      <c r="D17" s="16" t="n">
        <v>0</v>
      </c>
      <c r="E17" s="16" t="n">
        <v>0</v>
      </c>
      <c r="F17" s="16" t="n">
        <v>0</v>
      </c>
      <c r="G17" s="16" t="n">
        <v>0</v>
      </c>
      <c r="H17" s="16" t="n">
        <v>0</v>
      </c>
      <c r="I17" s="16" t="n">
        <v>0</v>
      </c>
      <c r="J17" s="16" t="n">
        <v>0</v>
      </c>
      <c r="K17" s="16" t="n">
        <v>0</v>
      </c>
      <c r="L17" s="16" t="n">
        <v>0</v>
      </c>
      <c r="M17" s="16" t="n">
        <v>0</v>
      </c>
      <c r="N17" s="16">
        <f>SUM(B17:M17)</f>
        <v/>
      </c>
      <c r="O17" s="16" t="n">
        <v>0</v>
      </c>
      <c r="P17" s="16" t="n">
        <v>0</v>
      </c>
      <c r="Q17" s="16" t="n">
        <v>0</v>
      </c>
      <c r="R17" s="16" t="n">
        <v>0</v>
      </c>
      <c r="S17" s="16" t="n">
        <v>0</v>
      </c>
      <c r="T17" s="16" t="n">
        <v>0</v>
      </c>
      <c r="U17" s="16" t="n">
        <v>0</v>
      </c>
      <c r="V17" s="16" t="n">
        <v>0</v>
      </c>
      <c r="W17" s="16" t="n">
        <v>0</v>
      </c>
      <c r="X17" s="16" t="n">
        <v>0</v>
      </c>
      <c r="Y17" s="16" t="n">
        <v>0</v>
      </c>
      <c r="Z17" s="16" t="n">
        <v>0</v>
      </c>
      <c r="AA17" s="16">
        <f>SUM(O17:U17)</f>
        <v/>
      </c>
      <c r="AB17" s="16">
        <f>SUM(O17:Z17)</f>
        <v/>
      </c>
      <c r="AC17" s="16" t="n">
        <v>0</v>
      </c>
      <c r="AD17" s="16" t="n">
        <v>0</v>
      </c>
      <c r="AE17" s="16" t="n">
        <v>0</v>
      </c>
      <c r="AF17" s="16" t="n">
        <v>0</v>
      </c>
      <c r="AG17" s="16" t="n">
        <v>0</v>
      </c>
      <c r="AH17" s="16" t="n">
        <v>0</v>
      </c>
      <c r="AI17" s="34">
        <f>SUM(AC17:AH17)</f>
        <v/>
      </c>
      <c r="AJ17" s="16">
        <f>SUM(AC17:AH17)+AI17</f>
        <v/>
      </c>
      <c r="AK17" s="11">
        <f>IF(N17&lt;&gt;0,(AB17-N17)/ABS(N17),0)</f>
        <v/>
      </c>
      <c r="AL17" s="11">
        <f>IF(AB17&lt;&gt;0,(AJ17-AB17)/ABS(AB17),0)</f>
        <v/>
      </c>
    </row>
    <row r="18" ht="13" customHeight="1">
      <c r="A18" s="15" t="inlineStr">
        <is>
          <t xml:space="preserve">    Rewards &amp; Recognition</t>
        </is>
      </c>
      <c r="B18" s="16" t="n">
        <v>0</v>
      </c>
      <c r="C18" s="16" t="n">
        <v>0</v>
      </c>
      <c r="D18" s="16" t="n">
        <v>0</v>
      </c>
      <c r="E18" s="16" t="n">
        <v>0</v>
      </c>
      <c r="F18" s="16" t="n">
        <v>0</v>
      </c>
      <c r="G18" s="16" t="n">
        <v>0</v>
      </c>
      <c r="H18" s="16" t="n">
        <v>15.98</v>
      </c>
      <c r="I18" s="16" t="n">
        <v>0</v>
      </c>
      <c r="J18" s="16" t="n">
        <v>0</v>
      </c>
      <c r="K18" s="16" t="n">
        <v>17.97</v>
      </c>
      <c r="L18" s="16" t="n">
        <v>0</v>
      </c>
      <c r="M18" s="16" t="n">
        <v>0</v>
      </c>
      <c r="N18" s="16">
        <f>SUM(B18:M18)</f>
        <v/>
      </c>
      <c r="O18" s="16" t="n">
        <v>18</v>
      </c>
      <c r="P18" s="16" t="n">
        <v>0</v>
      </c>
      <c r="Q18" s="16" t="n">
        <v>0</v>
      </c>
      <c r="R18" s="16" t="n">
        <v>0</v>
      </c>
      <c r="S18" s="16" t="n">
        <v>0</v>
      </c>
      <c r="T18" s="16" t="n">
        <v>0</v>
      </c>
      <c r="U18" s="16" t="n">
        <v>0</v>
      </c>
      <c r="AA18" s="16">
        <f>SUM(O18:U18)</f>
        <v/>
      </c>
      <c r="AB18" s="16">
        <f>SUM(O18:Z18)</f>
        <v/>
      </c>
      <c r="AC18" s="16" t="n">
        <v>29</v>
      </c>
      <c r="AD18" s="16" t="n">
        <v>29</v>
      </c>
      <c r="AE18" s="16" t="n">
        <v>29</v>
      </c>
      <c r="AF18" s="16" t="n">
        <v>29</v>
      </c>
      <c r="AG18" s="16" t="n">
        <v>29</v>
      </c>
      <c r="AH18" s="16" t="n">
        <v>29</v>
      </c>
      <c r="AI18" s="34">
        <f>SUM(AC18:AH18)</f>
        <v/>
      </c>
      <c r="AJ18" s="16">
        <f>SUM(AC18:AH18)+AI18</f>
        <v/>
      </c>
      <c r="AK18" s="11">
        <f>IF(N18&lt;&gt;0,(AB18-N18)/ABS(N18),0)</f>
        <v/>
      </c>
      <c r="AL18" s="11">
        <f>IF(AB18&lt;&gt;0,(AJ18-AB18)/ABS(AB18),0)</f>
        <v/>
      </c>
    </row>
    <row r="19" ht="13" customHeight="1">
      <c r="A19" s="15" t="inlineStr">
        <is>
          <t xml:space="preserve">    Temps</t>
        </is>
      </c>
      <c r="B19" s="16" t="n">
        <v>0</v>
      </c>
      <c r="C19" s="16" t="n">
        <v>0</v>
      </c>
      <c r="D19" s="16" t="n">
        <v>0</v>
      </c>
      <c r="E19" s="16" t="n">
        <v>0</v>
      </c>
      <c r="F19" s="16" t="n">
        <v>0</v>
      </c>
      <c r="G19" s="16" t="n">
        <v>0</v>
      </c>
      <c r="H19" s="16" t="n">
        <v>0</v>
      </c>
      <c r="I19" s="16" t="n">
        <v>0</v>
      </c>
      <c r="J19" s="16" t="n">
        <v>0</v>
      </c>
      <c r="K19" s="16" t="n">
        <v>0</v>
      </c>
      <c r="L19" s="16" t="n">
        <v>0</v>
      </c>
      <c r="M19" s="16" t="n">
        <v>0</v>
      </c>
      <c r="N19" s="16">
        <f>SUM(B19:M19)</f>
        <v/>
      </c>
      <c r="O19" s="16" t="n">
        <v>0</v>
      </c>
      <c r="P19" s="16" t="n">
        <v>0</v>
      </c>
      <c r="Q19" s="16" t="n">
        <v>0</v>
      </c>
      <c r="R19" s="16" t="n">
        <v>0</v>
      </c>
      <c r="S19" s="16" t="n">
        <v>0</v>
      </c>
      <c r="T19" s="16" t="n">
        <v>0</v>
      </c>
      <c r="U19" s="16" t="n">
        <v>0</v>
      </c>
      <c r="V19" s="16" t="n">
        <v>0</v>
      </c>
      <c r="W19" s="16" t="n">
        <v>0</v>
      </c>
      <c r="X19" s="16" t="n">
        <v>0</v>
      </c>
      <c r="Y19" s="16" t="n">
        <v>0</v>
      </c>
      <c r="Z19" s="16" t="n">
        <v>0</v>
      </c>
      <c r="AA19" s="16">
        <f>SUM(O19:U19)</f>
        <v/>
      </c>
      <c r="AB19" s="16">
        <f>SUM(O19:Z19)</f>
        <v/>
      </c>
      <c r="AC19" s="16" t="n">
        <v>0</v>
      </c>
      <c r="AD19" s="16" t="n">
        <v>0</v>
      </c>
      <c r="AE19" s="16" t="n">
        <v>0</v>
      </c>
      <c r="AF19" s="16" t="n">
        <v>0</v>
      </c>
      <c r="AG19" s="16" t="n">
        <v>0</v>
      </c>
      <c r="AH19" s="16" t="n">
        <v>0</v>
      </c>
      <c r="AI19" s="34">
        <f>SUM(AC19:AH19)</f>
        <v/>
      </c>
      <c r="AJ19" s="16">
        <f>SUM(AC19:AH19)+AI19</f>
        <v/>
      </c>
      <c r="AK19" s="11">
        <f>IF(N19&lt;&gt;0,(AB19-N19)/ABS(N19),0)</f>
        <v/>
      </c>
      <c r="AL19" s="11">
        <f>IF(AB19&lt;&gt;0,(AJ19-AB19)/ABS(AB19),0)</f>
        <v/>
      </c>
    </row>
    <row r="20" ht="13" customHeight="1">
      <c r="A20" s="17" t="inlineStr">
        <is>
          <t>Total Personnel</t>
        </is>
      </c>
      <c r="B20" s="18">
        <f>B11+B12+B13+B14+B15+B16+B17+B18+B19</f>
        <v/>
      </c>
      <c r="C20" s="18">
        <f>C11+C12+C13+C14+C15+C16+C17+C18+C19</f>
        <v/>
      </c>
      <c r="D20" s="18">
        <f>D11+D12+D13+D14+D15+D16+D17+D18+D19</f>
        <v/>
      </c>
      <c r="E20" s="18">
        <f>E11+E12+E13+E14+E15+E16+E17+E18+E19</f>
        <v/>
      </c>
      <c r="F20" s="18">
        <f>F11+F12+F13+F14+F15+F16+F17+F18+F19</f>
        <v/>
      </c>
      <c r="G20" s="18">
        <f>G11+G12+G13+G14+G15+G16+G17+G18+G19</f>
        <v/>
      </c>
      <c r="H20" s="18">
        <f>H11+H12+H13+H14+H15+H16+H17+H18+H19</f>
        <v/>
      </c>
      <c r="I20" s="18">
        <f>I11+I12+I13+I14+I15+I16+I17+I18+I19</f>
        <v/>
      </c>
      <c r="J20" s="18">
        <f>J11+J12+J13+J14+J15+J16+J17+J18+J19</f>
        <v/>
      </c>
      <c r="K20" s="18">
        <f>K11+K12+K13+K14+K15+K16+K17+K18+K19</f>
        <v/>
      </c>
      <c r="L20" s="18">
        <f>L11+L12+L13+L14+L15+L16+L17+L18+L19</f>
        <v/>
      </c>
      <c r="M20" s="18">
        <f>M11+M12+M13+M14+M15+M16+M17+M18+M19</f>
        <v/>
      </c>
      <c r="N20" s="18">
        <f>N11+N12+N13+N14+N15+N16+N17+N18+N19</f>
        <v/>
      </c>
      <c r="O20" s="18">
        <f>O11+O12+O13+O14+O15+O16+O17+O18+O19</f>
        <v/>
      </c>
      <c r="P20" s="18">
        <f>P11+P12+P13+P14+P15+P16+P17+P18+P19</f>
        <v/>
      </c>
      <c r="Q20" s="18">
        <f>Q11+Q12+Q13+Q14+Q15+Q16+Q17+Q18+Q19</f>
        <v/>
      </c>
      <c r="R20" s="18">
        <f>R11+R12+R13+R14+R15+R16+R17+R18+R19</f>
        <v/>
      </c>
      <c r="S20" s="18">
        <f>S11+S12+S13+S14+S15+S16+S17+S18+S19</f>
        <v/>
      </c>
      <c r="T20" s="18">
        <f>T11+T12+T13+T14+T15+T16+T17+T18+T19</f>
        <v/>
      </c>
      <c r="U20" s="18">
        <f>U11+U12+U13+U14+U15+U16+U17+U18+U19</f>
        <v/>
      </c>
      <c r="V20" s="18">
        <f>V11+V12+V13+V14+V15+V16+V17+V18+V19</f>
        <v/>
      </c>
      <c r="W20" s="18">
        <f>W11+W12+W13+W14+W15+W16+W17+W18+W19</f>
        <v/>
      </c>
      <c r="X20" s="18">
        <f>X11+X12+X13+X14+X15+X16+X17+X18+X19</f>
        <v/>
      </c>
      <c r="Y20" s="18">
        <f>Y11+Y12+Y13+Y14+Y15+Y16+Y17+Y18+Y19</f>
        <v/>
      </c>
      <c r="Z20" s="18">
        <f>Z11+Z12+Z13+Z14+Z15+Z16+Z17+Z18+Z19</f>
        <v/>
      </c>
      <c r="AA20" s="18">
        <f>AA11+AA12+AA13+AA14+AA15+AA16+AA17+AA18+AA19</f>
        <v/>
      </c>
      <c r="AB20" s="18">
        <f>AB11+AB12+AB13+AB14+AB15+AB16+AB17+AB18+AB19</f>
        <v/>
      </c>
      <c r="AC20" s="18">
        <f>AC11+AC12+AC13+AC14+AC15+AC16+AC17+AC18+AC19</f>
        <v/>
      </c>
      <c r="AD20" s="18">
        <f>AD11+AD12+AD13+AD14+AD15+AD16+AD17+AD18+AD19</f>
        <v/>
      </c>
      <c r="AE20" s="18">
        <f>AE11+AE12+AE13+AE14+AE15+AE16+AE17+AE18+AE19</f>
        <v/>
      </c>
      <c r="AF20" s="18">
        <f>AF11+AF12+AF13+AF14+AF15+AF16+AF17+AF18+AF19</f>
        <v/>
      </c>
      <c r="AG20" s="18">
        <f>AG11+AG12+AG13+AG14+AG15+AG16+AG17+AG18+AG19</f>
        <v/>
      </c>
      <c r="AH20" s="18">
        <f>AH11+AH12+AH13+AH14+AH15+AH16+AH17+AH18+AH19</f>
        <v/>
      </c>
      <c r="AI20" s="18">
        <f>AI11+AI12+AI13+AI14+AI15+AI16+AI17+AI18+AI19</f>
        <v/>
      </c>
      <c r="AJ20" s="18">
        <f>AJ11+AJ12+AJ13+AJ14+AJ15+AJ16+AJ17+AJ18+AJ19</f>
        <v/>
      </c>
      <c r="AK20" s="11">
        <f>IF(N20&lt;&gt;0,(AB20-N20)/ABS(N20),0)</f>
        <v/>
      </c>
      <c r="AL20" s="11">
        <f>IF(AB20&lt;&gt;0,(AJ20-AB20)/ABS(AB20),0)</f>
        <v/>
      </c>
    </row>
    <row r="21" ht="13" customHeight="1">
      <c r="A21" s="19" t="inlineStr">
        <is>
          <t xml:space="preserve">    Sal:Rev</t>
        </is>
      </c>
      <c r="B21" s="20">
        <f>IF(B7&gt;0,B20/B7,0)</f>
        <v/>
      </c>
      <c r="C21" s="20">
        <f>IF(C7&gt;0,C20/C7,0)</f>
        <v/>
      </c>
      <c r="D21" s="20">
        <f>IF(D7&gt;0,D20/D7,0)</f>
        <v/>
      </c>
      <c r="E21" s="20">
        <f>IF(E7&gt;0,E20/E7,0)</f>
        <v/>
      </c>
      <c r="F21" s="20">
        <f>IF(F7&gt;0,F20/F7,0)</f>
        <v/>
      </c>
      <c r="G21" s="20">
        <f>IF(G7&gt;0,G20/G7,0)</f>
        <v/>
      </c>
      <c r="H21" s="20">
        <f>IF(H7&gt;0,H20/H7,0)</f>
        <v/>
      </c>
      <c r="I21" s="20">
        <f>IF(I7&gt;0,I20/I7,0)</f>
        <v/>
      </c>
      <c r="J21" s="20">
        <f>IF(J7&gt;0,J20/J7,0)</f>
        <v/>
      </c>
      <c r="K21" s="20">
        <f>IF(K7&gt;0,K20/K7,0)</f>
        <v/>
      </c>
      <c r="L21" s="20">
        <f>IF(L7&gt;0,L20/L7,0)</f>
        <v/>
      </c>
      <c r="M21" s="20">
        <f>IF(M7&gt;0,M20/M7,0)</f>
        <v/>
      </c>
      <c r="N21" s="20">
        <f>IF(N7&gt;0,N20/N7,0)</f>
        <v/>
      </c>
      <c r="O21" s="20">
        <f>IF(O7&gt;0,O20/O7,0)</f>
        <v/>
      </c>
      <c r="P21" s="20">
        <f>IF(P7&gt;0,P20/P7,0)</f>
        <v/>
      </c>
      <c r="Q21" s="20">
        <f>IF(Q7&gt;0,Q20/Q7,0)</f>
        <v/>
      </c>
      <c r="R21" s="20">
        <f>IF(R7&gt;0,R20/R7,0)</f>
        <v/>
      </c>
      <c r="S21" s="20">
        <f>IF(S7&gt;0,S20/S7,0)</f>
        <v/>
      </c>
      <c r="T21" s="20">
        <f>IF(T7&gt;0,T20/T7,0)</f>
        <v/>
      </c>
      <c r="U21" s="20">
        <f>IF(U7&gt;0,U20/U7,0)</f>
        <v/>
      </c>
      <c r="V21" s="20">
        <f>IF(V7&gt;0,V20/V7,0)</f>
        <v/>
      </c>
      <c r="W21" s="20">
        <f>IF(W7&gt;0,W20/W7,0)</f>
        <v/>
      </c>
      <c r="X21" s="20">
        <f>IF(X7&gt;0,X20/X7,0)</f>
        <v/>
      </c>
      <c r="Y21" s="20">
        <f>IF(Y7&gt;0,Y20/Y7,0)</f>
        <v/>
      </c>
      <c r="Z21" s="20">
        <f>IF(Z7&gt;0,Z20/Z7,0)</f>
        <v/>
      </c>
      <c r="AA21" s="20">
        <f>IF(AA7&gt;0,AA20/AA7,0)</f>
        <v/>
      </c>
      <c r="AB21" s="20">
        <f>IF(AB7&gt;0,AB20/AB7,0)</f>
        <v/>
      </c>
      <c r="AC21" s="20">
        <f>IF(AC7&gt;0,AC20/AC7,0)</f>
        <v/>
      </c>
      <c r="AD21" s="20">
        <f>IF(AD7&gt;0,AD20/AD7,0)</f>
        <v/>
      </c>
      <c r="AE21" s="20">
        <f>IF(AE7&gt;0,AE20/AE7,0)</f>
        <v/>
      </c>
      <c r="AF21" s="20">
        <f>IF(AF7&gt;0,AF20/AF7,0)</f>
        <v/>
      </c>
      <c r="AG21" s="20">
        <f>IF(AG7&gt;0,AG20/AG7,0)</f>
        <v/>
      </c>
      <c r="AH21" s="20">
        <f>IF(AH7&gt;0,AH20/AH7,0)</f>
        <v/>
      </c>
      <c r="AI21" s="20">
        <f>IF(AI7&gt;0,AI20/AI7,0)</f>
        <v/>
      </c>
      <c r="AJ21" s="20">
        <f>IF(AJ7&gt;0,AJ20/AJ7,0)</f>
        <v/>
      </c>
    </row>
    <row r="22" ht="5" customHeight="1"/>
    <row r="23" ht="13" customHeight="1">
      <c r="A23" s="14" t="inlineStr">
        <is>
          <t>Childcare</t>
        </is>
      </c>
    </row>
    <row r="24" ht="13" customHeight="1">
      <c r="A24" s="21" t="inlineStr">
        <is>
          <t xml:space="preserve">    Catering Costs</t>
        </is>
      </c>
      <c r="N24" s="22">
        <f>SUM(B24:M24)</f>
        <v/>
      </c>
      <c r="O24" s="22" t="n">
        <v>399.77</v>
      </c>
      <c r="P24" s="22" t="n">
        <v>563.37</v>
      </c>
      <c r="Q24" s="22" t="n">
        <v>423.89</v>
      </c>
      <c r="R24" s="22" t="n">
        <v>648.3200000000001</v>
      </c>
      <c r="S24" s="22" t="n">
        <v>441.47</v>
      </c>
      <c r="T24" s="22" t="n">
        <v>489.36</v>
      </c>
      <c r="U24" s="22" t="n">
        <v>290.17</v>
      </c>
      <c r="V24" s="22" t="n">
        <v>161.1792</v>
      </c>
      <c r="W24" s="22" t="n">
        <v>428.5632</v>
      </c>
      <c r="X24" s="22" t="n">
        <v>531.1799999999999</v>
      </c>
      <c r="Y24" s="22" t="n">
        <v>606.4968</v>
      </c>
      <c r="Z24" s="22" t="n">
        <v>490.9632</v>
      </c>
      <c r="AA24" s="22">
        <f>SUM(O24:U24)</f>
        <v/>
      </c>
      <c r="AB24" s="22">
        <f>SUM(O24:Z24)</f>
        <v/>
      </c>
      <c r="AC24" s="22" t="n">
        <v>569.189088</v>
      </c>
      <c r="AD24" s="22" t="n">
        <v>473.585112</v>
      </c>
      <c r="AE24" s="22" t="n">
        <v>686.025288</v>
      </c>
      <c r="AF24" s="22" t="n">
        <v>695.715072</v>
      </c>
      <c r="AG24" s="22" t="n">
        <v>456.470976</v>
      </c>
      <c r="AH24" s="22" t="n">
        <v>517.9577519999999</v>
      </c>
      <c r="AI24" s="34">
        <f>SUM(AC24:AH24)</f>
        <v/>
      </c>
      <c r="AJ24" s="22">
        <f>SUM(AC24:AH24)+AI24</f>
        <v/>
      </c>
      <c r="AK24" s="11">
        <f>IF(N24&lt;&gt;0,(AB24-N24)/ABS(N24),0)</f>
        <v/>
      </c>
      <c r="AL24" s="11">
        <f>IF(AB24&lt;&gt;0,(AJ24-AB24)/ABS(AB24),0)</f>
        <v/>
      </c>
    </row>
    <row r="25" ht="13" customHeight="1">
      <c r="A25" s="21" t="inlineStr">
        <is>
          <t xml:space="preserve">    Toys and Games</t>
        </is>
      </c>
      <c r="B25" s="22" t="n">
        <v>111.07</v>
      </c>
      <c r="C25" s="22" t="n">
        <v>29.84</v>
      </c>
      <c r="D25" s="22" t="n">
        <v>112.62</v>
      </c>
      <c r="E25" s="22" t="n">
        <v>222.49</v>
      </c>
      <c r="F25" s="22" t="n">
        <v>143.88</v>
      </c>
      <c r="G25" s="22" t="n">
        <v>29.34</v>
      </c>
      <c r="H25" s="22" t="n">
        <v>10.94</v>
      </c>
      <c r="I25" s="22" t="n">
        <v>61.39000000000001</v>
      </c>
      <c r="J25" s="22" t="n">
        <v>0</v>
      </c>
      <c r="K25" s="22" t="n">
        <v>524.92</v>
      </c>
      <c r="L25" s="22" t="n">
        <v>5.57</v>
      </c>
      <c r="M25" s="22" t="n">
        <v>12</v>
      </c>
      <c r="N25" s="22">
        <f>SUM(B25:M25)</f>
        <v/>
      </c>
      <c r="O25" s="22" t="n">
        <v>0</v>
      </c>
      <c r="P25" s="22" t="n">
        <v>3.71</v>
      </c>
      <c r="Q25" s="22" t="n">
        <v>332.8700000000001</v>
      </c>
      <c r="R25" s="22" t="n">
        <v>12</v>
      </c>
      <c r="S25" s="22" t="n">
        <v>16</v>
      </c>
      <c r="T25" s="22" t="n">
        <v>35.11999999999989</v>
      </c>
      <c r="U25" s="22" t="n">
        <v>16.99</v>
      </c>
      <c r="AA25" s="22">
        <f>SUM(O25:U25)</f>
        <v/>
      </c>
      <c r="AB25" s="22">
        <f>SUM(O25:Z25)</f>
        <v/>
      </c>
      <c r="AC25" s="22" t="n">
        <v>58</v>
      </c>
      <c r="AD25" s="22" t="n">
        <v>58</v>
      </c>
      <c r="AE25" s="22" t="n">
        <v>58</v>
      </c>
      <c r="AF25" s="22" t="n">
        <v>58</v>
      </c>
      <c r="AG25" s="22" t="n">
        <v>58</v>
      </c>
      <c r="AH25" s="22" t="n">
        <v>58</v>
      </c>
      <c r="AI25" s="34">
        <f>SUM(AC25:AH25)</f>
        <v/>
      </c>
      <c r="AJ25" s="22">
        <f>SUM(AC25:AH25)+AI25</f>
        <v/>
      </c>
      <c r="AK25" s="11">
        <f>IF(N25&lt;&gt;0,(AB25-N25)/ABS(N25),0)</f>
        <v/>
      </c>
      <c r="AL25" s="11">
        <f>IF(AB25&lt;&gt;0,(AJ25-AB25)/ABS(AB25),0)</f>
        <v/>
      </c>
    </row>
    <row r="26" ht="13" customHeight="1">
      <c r="A26" s="21" t="inlineStr">
        <is>
          <t xml:space="preserve">    Art Materials</t>
        </is>
      </c>
      <c r="N26" s="22">
        <f>SUM(B26:M26)</f>
        <v/>
      </c>
      <c r="O26" s="22" t="n">
        <v>0</v>
      </c>
      <c r="P26" s="22" t="n">
        <v>10.97</v>
      </c>
      <c r="Q26" s="22" t="n">
        <v>64.73999999999999</v>
      </c>
      <c r="R26" s="22" t="n">
        <v>82.13</v>
      </c>
      <c r="S26" s="22" t="n">
        <v>5.69</v>
      </c>
      <c r="T26" s="22" t="n">
        <v>35.15</v>
      </c>
      <c r="U26" s="22" t="n">
        <v>4.99</v>
      </c>
      <c r="V26" s="22" t="n">
        <v>10.74528</v>
      </c>
      <c r="W26" s="22" t="n">
        <v>28.57088</v>
      </c>
      <c r="X26" s="22" t="n">
        <v>35.412</v>
      </c>
      <c r="Y26" s="22" t="n">
        <v>40.43312</v>
      </c>
      <c r="Z26" s="22" t="n">
        <v>32.73088</v>
      </c>
      <c r="AA26" s="22">
        <f>SUM(O26:U26)</f>
        <v/>
      </c>
      <c r="AB26" s="22">
        <f>SUM(O26:Z26)</f>
        <v/>
      </c>
      <c r="AC26" s="22" t="n">
        <v>37.9459392</v>
      </c>
      <c r="AD26" s="22" t="n">
        <v>31.5723408</v>
      </c>
      <c r="AE26" s="22" t="n">
        <v>45.7350192</v>
      </c>
      <c r="AF26" s="22" t="n">
        <v>46.3810048</v>
      </c>
      <c r="AG26" s="22" t="n">
        <v>30.4313984</v>
      </c>
      <c r="AH26" s="22" t="n">
        <v>34.53051679999999</v>
      </c>
      <c r="AI26" s="34">
        <f>SUM(AC26:AH26)</f>
        <v/>
      </c>
      <c r="AJ26" s="22">
        <f>SUM(AC26:AH26)+AI26</f>
        <v/>
      </c>
      <c r="AK26" s="11">
        <f>IF(N26&lt;&gt;0,(AB26-N26)/ABS(N26),0)</f>
        <v/>
      </c>
      <c r="AL26" s="11">
        <f>IF(AB26&lt;&gt;0,(AJ26-AB26)/ABS(AB26),0)</f>
        <v/>
      </c>
    </row>
    <row r="27" ht="13" customHeight="1">
      <c r="A27" s="21" t="inlineStr">
        <is>
          <t xml:space="preserve">    Nursery Stationery</t>
        </is>
      </c>
      <c r="B27" s="22" t="n">
        <v>26.31</v>
      </c>
      <c r="C27" s="22" t="n">
        <v>20.61</v>
      </c>
      <c r="D27" s="22" t="n">
        <v>3.69</v>
      </c>
      <c r="E27" s="22" t="n">
        <v>0</v>
      </c>
      <c r="F27" s="22" t="n">
        <v>16.59</v>
      </c>
      <c r="G27" s="22" t="n">
        <v>13.46</v>
      </c>
      <c r="H27" s="22" t="n">
        <v>25.94</v>
      </c>
      <c r="I27" s="22" t="n">
        <v>27.14</v>
      </c>
      <c r="J27" s="22" t="n">
        <v>20.75</v>
      </c>
      <c r="K27" s="22" t="n">
        <v>24.9</v>
      </c>
      <c r="L27" s="22" t="n">
        <v>0</v>
      </c>
      <c r="M27" s="22" t="n">
        <v>4.99</v>
      </c>
      <c r="N27" s="22">
        <f>SUM(B27:M27)</f>
        <v/>
      </c>
      <c r="O27" s="22" t="n">
        <v>17.99</v>
      </c>
      <c r="P27" s="22" t="n">
        <v>9.91</v>
      </c>
      <c r="Q27" s="22" t="n">
        <v>0</v>
      </c>
      <c r="R27" s="22" t="n">
        <v>5.91</v>
      </c>
      <c r="S27" s="22" t="n">
        <v>69.22</v>
      </c>
      <c r="T27" s="22" t="n">
        <v>6.98</v>
      </c>
      <c r="U27" s="22" t="n">
        <v>0</v>
      </c>
      <c r="AA27" s="22">
        <f>SUM(O27:U27)</f>
        <v/>
      </c>
      <c r="AB27" s="22">
        <f>SUM(O27:Z27)</f>
        <v/>
      </c>
      <c r="AC27" s="22" t="n">
        <v>70</v>
      </c>
      <c r="AD27" s="22" t="n">
        <v>70</v>
      </c>
      <c r="AE27" s="22" t="n">
        <v>70</v>
      </c>
      <c r="AF27" s="22" t="n">
        <v>70</v>
      </c>
      <c r="AG27" s="22" t="n">
        <v>70</v>
      </c>
      <c r="AH27" s="22" t="n">
        <v>70</v>
      </c>
      <c r="AI27" s="34">
        <f>SUM(AC27:AH27)</f>
        <v/>
      </c>
      <c r="AJ27" s="22">
        <f>SUM(AC27:AH27)+AI27</f>
        <v/>
      </c>
      <c r="AK27" s="11">
        <f>IF(N27&lt;&gt;0,(AB27-N27)/ABS(N27),0)</f>
        <v/>
      </c>
      <c r="AL27" s="11">
        <f>IF(AB27&lt;&gt;0,(AJ27-AB27)/ABS(AB27),0)</f>
        <v/>
      </c>
    </row>
    <row r="28" ht="13" customHeight="1">
      <c r="A28" s="21" t="inlineStr">
        <is>
          <t xml:space="preserve">    Nursery Equipment</t>
        </is>
      </c>
      <c r="B28" s="22" t="n">
        <v>0</v>
      </c>
      <c r="C28" s="22" t="n">
        <v>25.46</v>
      </c>
      <c r="D28" s="22" t="n">
        <v>30.22</v>
      </c>
      <c r="E28" s="22" t="n">
        <v>24.98</v>
      </c>
      <c r="F28" s="22" t="n">
        <v>0</v>
      </c>
      <c r="G28" s="22" t="n">
        <v>30.47</v>
      </c>
      <c r="H28" s="22" t="n">
        <v>34.33</v>
      </c>
      <c r="I28" s="22" t="n">
        <v>0</v>
      </c>
      <c r="J28" s="22" t="n">
        <v>273.99</v>
      </c>
      <c r="K28" s="22" t="n">
        <v>233.99</v>
      </c>
      <c r="L28" s="22" t="n">
        <v>0</v>
      </c>
      <c r="M28" s="22" t="n">
        <v>5.99</v>
      </c>
      <c r="N28" s="22">
        <f>SUM(B28:M28)</f>
        <v/>
      </c>
      <c r="O28" s="22" t="n">
        <v>7.58</v>
      </c>
      <c r="P28" s="22" t="n">
        <v>29.99</v>
      </c>
      <c r="Q28" s="22" t="n">
        <v>95.2</v>
      </c>
      <c r="R28" s="22" t="n">
        <v>373.95</v>
      </c>
      <c r="S28" s="22" t="n">
        <v>0</v>
      </c>
      <c r="T28" s="22" t="n">
        <v>4.99</v>
      </c>
      <c r="U28" s="22" t="n">
        <v>5.81</v>
      </c>
      <c r="AA28" s="22">
        <f>SUM(O28:U28)</f>
        <v/>
      </c>
      <c r="AB28" s="22">
        <f>SUM(O28:Z28)</f>
        <v/>
      </c>
      <c r="AC28" s="22" t="n">
        <v>50</v>
      </c>
      <c r="AD28" s="22" t="n">
        <v>50</v>
      </c>
      <c r="AE28" s="22" t="n">
        <v>50</v>
      </c>
      <c r="AF28" s="22" t="n">
        <v>50</v>
      </c>
      <c r="AG28" s="22" t="n">
        <v>50</v>
      </c>
      <c r="AH28" s="22" t="n">
        <v>50</v>
      </c>
      <c r="AI28" s="34">
        <f>SUM(AC28:AH28)</f>
        <v/>
      </c>
      <c r="AJ28" s="22">
        <f>SUM(AC28:AH28)+AI28</f>
        <v/>
      </c>
      <c r="AK28" s="11">
        <f>IF(N28&lt;&gt;0,(AB28-N28)/ABS(N28),0)</f>
        <v/>
      </c>
      <c r="AL28" s="11">
        <f>IF(AB28&lt;&gt;0,(AJ28-AB28)/ABS(AB28),0)</f>
        <v/>
      </c>
    </row>
    <row r="29" ht="13" customHeight="1">
      <c r="A29" s="21" t="inlineStr">
        <is>
          <t xml:space="preserve">    Nursery Consumables</t>
        </is>
      </c>
      <c r="N29" s="22">
        <f>SUM(B29:M29)</f>
        <v/>
      </c>
      <c r="O29" s="22" t="n">
        <v>44.37</v>
      </c>
      <c r="P29" s="22" t="n">
        <v>7.95</v>
      </c>
      <c r="Q29" s="22" t="n">
        <v>47.24</v>
      </c>
      <c r="R29" s="22" t="n">
        <v>2.89</v>
      </c>
      <c r="S29" s="22" t="n">
        <v>104.04</v>
      </c>
      <c r="T29" s="22" t="n">
        <v>77.33</v>
      </c>
      <c r="U29" s="22" t="n">
        <v>33.73</v>
      </c>
      <c r="V29" s="22" t="n">
        <v>21.49056000000001</v>
      </c>
      <c r="W29" s="22" t="n">
        <v>57.14176000000002</v>
      </c>
      <c r="X29" s="22" t="n">
        <v>70.82400000000003</v>
      </c>
      <c r="Y29" s="22" t="n">
        <v>80.86624000000003</v>
      </c>
      <c r="Z29" s="22" t="n">
        <v>65.46176000000003</v>
      </c>
      <c r="AA29" s="22">
        <f>SUM(O29:U29)</f>
        <v/>
      </c>
      <c r="AB29" s="22">
        <f>SUM(O29:Z29)</f>
        <v/>
      </c>
      <c r="AC29" s="22" t="n">
        <v>75.89187840000004</v>
      </c>
      <c r="AD29" s="22" t="n">
        <v>63.14468160000002</v>
      </c>
      <c r="AE29" s="22" t="n">
        <v>91.47003840000004</v>
      </c>
      <c r="AF29" s="22" t="n">
        <v>92.76200960000004</v>
      </c>
      <c r="AG29" s="22" t="n">
        <v>60.86279680000002</v>
      </c>
      <c r="AH29" s="22" t="n">
        <v>69.06103360000002</v>
      </c>
      <c r="AI29" s="34">
        <f>SUM(AC29:AH29)</f>
        <v/>
      </c>
      <c r="AJ29" s="22">
        <f>SUM(AC29:AH29)+AI29</f>
        <v/>
      </c>
      <c r="AK29" s="11">
        <f>IF(N29&lt;&gt;0,(AB29-N29)/ABS(N29),0)</f>
        <v/>
      </c>
      <c r="AL29" s="11">
        <f>IF(AB29&lt;&gt;0,(AJ29-AB29)/ABS(AB29),0)</f>
        <v/>
      </c>
    </row>
    <row r="30" ht="13" customHeight="1">
      <c r="A30" s="23" t="inlineStr">
        <is>
          <t>Total Childcare Costs</t>
        </is>
      </c>
      <c r="B30" s="24">
        <f>B24+B25+B26+B27+B28+B29</f>
        <v/>
      </c>
      <c r="C30" s="24">
        <f>C24+C25+C26+C27+C28+C29</f>
        <v/>
      </c>
      <c r="D30" s="24">
        <f>D24+D25+D26+D27+D28+D29</f>
        <v/>
      </c>
      <c r="E30" s="24">
        <f>E24+E25+E26+E27+E28+E29</f>
        <v/>
      </c>
      <c r="F30" s="24">
        <f>F24+F25+F26+F27+F28+F29</f>
        <v/>
      </c>
      <c r="G30" s="24">
        <f>G24+G25+G26+G27+G28+G29</f>
        <v/>
      </c>
      <c r="H30" s="24">
        <f>H24+H25+H26+H27+H28+H29</f>
        <v/>
      </c>
      <c r="I30" s="24">
        <f>I24+I25+I26+I27+I28+I29</f>
        <v/>
      </c>
      <c r="J30" s="24">
        <f>J24+J25+J26+J27+J28+J29</f>
        <v/>
      </c>
      <c r="K30" s="24">
        <f>K24+K25+K26+K27+K28+K29</f>
        <v/>
      </c>
      <c r="L30" s="24">
        <f>L24+L25+L26+L27+L28+L29</f>
        <v/>
      </c>
      <c r="M30" s="24">
        <f>M24+M25+M26+M27+M28+M29</f>
        <v/>
      </c>
      <c r="N30" s="24">
        <f>N24+N25+N26+N27+N28+N29</f>
        <v/>
      </c>
      <c r="O30" s="24">
        <f>O24+O25+O26+O27+O28+O29</f>
        <v/>
      </c>
      <c r="P30" s="24">
        <f>P24+P25+P26+P27+P28+P29</f>
        <v/>
      </c>
      <c r="Q30" s="24">
        <f>Q24+Q25+Q26+Q27+Q28+Q29</f>
        <v/>
      </c>
      <c r="R30" s="24">
        <f>R24+R25+R26+R27+R28+R29</f>
        <v/>
      </c>
      <c r="S30" s="24">
        <f>S24+S25+S26+S27+S28+S29</f>
        <v/>
      </c>
      <c r="T30" s="24">
        <f>T24+T25+T26+T27+T28+T29</f>
        <v/>
      </c>
      <c r="U30" s="24">
        <f>U24+U25+U26+U27+U28+U29</f>
        <v/>
      </c>
      <c r="V30" s="24">
        <f>V24+V25+V26+V27+V28+V29</f>
        <v/>
      </c>
      <c r="W30" s="24">
        <f>W24+W25+W26+W27+W28+W29</f>
        <v/>
      </c>
      <c r="X30" s="24">
        <f>X24+X25+X26+X27+X28+X29</f>
        <v/>
      </c>
      <c r="Y30" s="24">
        <f>Y24+Y25+Y26+Y27+Y28+Y29</f>
        <v/>
      </c>
      <c r="Z30" s="24">
        <f>Z24+Z25+Z26+Z27+Z28+Z29</f>
        <v/>
      </c>
      <c r="AA30" s="24">
        <f>AA24+AA25+AA26+AA27+AA28+AA29</f>
        <v/>
      </c>
      <c r="AB30" s="24">
        <f>AB24+AB25+AB26+AB27+AB28+AB29</f>
        <v/>
      </c>
      <c r="AC30" s="24">
        <f>AC24+AC25+AC26+AC27+AC28+AC29</f>
        <v/>
      </c>
      <c r="AD30" s="24">
        <f>AD24+AD25+AD26+AD27+AD28+AD29</f>
        <v/>
      </c>
      <c r="AE30" s="24">
        <f>AE24+AE25+AE26+AE27+AE28+AE29</f>
        <v/>
      </c>
      <c r="AF30" s="24">
        <f>AF24+AF25+AF26+AF27+AF28+AF29</f>
        <v/>
      </c>
      <c r="AG30" s="24">
        <f>AG24+AG25+AG26+AG27+AG28+AG29</f>
        <v/>
      </c>
      <c r="AH30" s="24">
        <f>AH24+AH25+AH26+AH27+AH28+AH29</f>
        <v/>
      </c>
      <c r="AI30" s="24">
        <f>AI24+AI25+AI26+AI27+AI28+AI29</f>
        <v/>
      </c>
      <c r="AJ30" s="24">
        <f>AJ24+AJ25+AJ26+AJ27+AJ28+AJ29</f>
        <v/>
      </c>
      <c r="AK30" s="11">
        <f>IF(N30&lt;&gt;0,(AB30-N30)/ABS(N30),0)</f>
        <v/>
      </c>
      <c r="AL30" s="11">
        <f>IF(AB30&lt;&gt;0,(AJ30-AB30)/ABS(AB30),0)</f>
        <v/>
      </c>
    </row>
    <row r="31" ht="5" customHeight="1"/>
    <row r="32" ht="13" customHeight="1">
      <c r="A32" s="14" t="inlineStr">
        <is>
          <t>Premises &amp; Admin</t>
        </is>
      </c>
    </row>
    <row r="33" ht="13" customHeight="1">
      <c r="A33" s="25" t="inlineStr">
        <is>
          <t xml:space="preserve">    Rent</t>
        </is>
      </c>
      <c r="B33" s="26" t="n">
        <v>900</v>
      </c>
      <c r="C33" s="26" t="n">
        <v>900</v>
      </c>
      <c r="D33" s="26" t="n">
        <v>900</v>
      </c>
      <c r="E33" s="26" t="n">
        <v>900</v>
      </c>
      <c r="F33" s="26" t="n">
        <v>900</v>
      </c>
      <c r="G33" s="26" t="n">
        <v>900</v>
      </c>
      <c r="H33" s="26" t="n">
        <v>900</v>
      </c>
      <c r="I33" s="26" t="n">
        <v>900</v>
      </c>
      <c r="J33" s="26" t="n">
        <v>900</v>
      </c>
      <c r="K33" s="26" t="n">
        <v>900</v>
      </c>
      <c r="L33" s="26" t="n">
        <v>900</v>
      </c>
      <c r="M33" s="26" t="n">
        <v>900</v>
      </c>
      <c r="N33" s="26">
        <f>SUM(B33:M33)</f>
        <v/>
      </c>
      <c r="O33" s="26" t="n">
        <v>0</v>
      </c>
      <c r="P33" s="26" t="n">
        <v>0</v>
      </c>
      <c r="Q33" s="26" t="n">
        <v>0</v>
      </c>
      <c r="R33" s="26" t="n">
        <v>0</v>
      </c>
      <c r="S33" s="26" t="n">
        <v>0</v>
      </c>
      <c r="T33" s="26" t="n">
        <v>0</v>
      </c>
      <c r="U33" s="26" t="n">
        <v>0</v>
      </c>
      <c r="AA33" s="26">
        <f>SUM(O33:U33)</f>
        <v/>
      </c>
      <c r="AB33" s="26">
        <f>SUM(O33:Z33)</f>
        <v/>
      </c>
      <c r="AC33" s="26" t="n">
        <v>0</v>
      </c>
      <c r="AD33" s="26" t="n">
        <v>0</v>
      </c>
      <c r="AE33" s="26" t="n">
        <v>0</v>
      </c>
      <c r="AF33" s="26" t="n">
        <v>0</v>
      </c>
      <c r="AG33" s="26" t="n">
        <v>0</v>
      </c>
      <c r="AH33" s="26" t="n">
        <v>0</v>
      </c>
      <c r="AI33" s="34">
        <f>SUM(AC33:AH33)</f>
        <v/>
      </c>
      <c r="AJ33" s="26">
        <f>SUM(AC33:AH33)+AI33</f>
        <v/>
      </c>
      <c r="AK33" s="11">
        <f>IF(N33&lt;&gt;0,(AB33-N33)/ABS(N33),0)</f>
        <v/>
      </c>
      <c r="AL33" s="11">
        <f>IF(AB33&lt;&gt;0,(AJ33-AB33)/ABS(AB33),0)</f>
        <v/>
      </c>
    </row>
    <row r="34" ht="13" customHeight="1">
      <c r="A34" s="25" t="inlineStr">
        <is>
          <t xml:space="preserve">    Business Rates</t>
        </is>
      </c>
      <c r="B34" s="26" t="n">
        <v>665.33</v>
      </c>
      <c r="C34" s="26" t="n">
        <v>665.33</v>
      </c>
      <c r="D34" s="26" t="n">
        <v>665.33</v>
      </c>
      <c r="E34" s="26" t="n">
        <v>665.33</v>
      </c>
      <c r="F34" s="26" t="n">
        <v>665.33</v>
      </c>
      <c r="G34" s="26" t="n">
        <v>665.33</v>
      </c>
      <c r="H34" s="26" t="n">
        <v>665.33</v>
      </c>
      <c r="I34" s="26" t="n">
        <v>665.33</v>
      </c>
      <c r="J34" s="26" t="n">
        <v>665.33</v>
      </c>
      <c r="K34" s="26" t="n">
        <v>665.33</v>
      </c>
      <c r="L34" s="26" t="n">
        <v>665.33</v>
      </c>
      <c r="M34" s="26" t="n">
        <v>665.33</v>
      </c>
      <c r="N34" s="26">
        <f>SUM(B34:M34)</f>
        <v/>
      </c>
      <c r="O34" s="26" t="n">
        <v>665.34</v>
      </c>
      <c r="P34" s="26" t="n">
        <v>665.34</v>
      </c>
      <c r="Q34" s="26" t="n">
        <v>665.34</v>
      </c>
      <c r="R34" s="26" t="n">
        <v>765.13</v>
      </c>
      <c r="S34" s="26" t="n">
        <v>765.13</v>
      </c>
      <c r="T34" s="26" t="n">
        <v>765.13</v>
      </c>
      <c r="U34" s="26" t="n">
        <v>765.13</v>
      </c>
      <c r="AA34" s="26">
        <f>SUM(O34:U34)</f>
        <v/>
      </c>
      <c r="AB34" s="26">
        <f>SUM(O34:Z34)</f>
        <v/>
      </c>
      <c r="AC34" s="26" t="n">
        <v>765</v>
      </c>
      <c r="AD34" s="26" t="n">
        <v>765</v>
      </c>
      <c r="AE34" s="26" t="n">
        <v>765</v>
      </c>
      <c r="AF34" s="26" t="n">
        <v>765</v>
      </c>
      <c r="AG34" s="26" t="n">
        <v>765</v>
      </c>
      <c r="AH34" s="26" t="n">
        <v>765</v>
      </c>
      <c r="AI34" s="34">
        <f>SUM(AC34:AH34)</f>
        <v/>
      </c>
      <c r="AJ34" s="26">
        <f>SUM(AC34:AH34)+AI34</f>
        <v/>
      </c>
      <c r="AK34" s="11">
        <f>IF(N34&lt;&gt;0,(AB34-N34)/ABS(N34),0)</f>
        <v/>
      </c>
      <c r="AL34" s="11">
        <f>IF(AB34&lt;&gt;0,(AJ34-AB34)/ABS(AB34),0)</f>
        <v/>
      </c>
    </row>
    <row r="35" ht="13" customHeight="1">
      <c r="A35" s="25" t="inlineStr">
        <is>
          <t xml:space="preserve">    Utilities</t>
        </is>
      </c>
      <c r="B35" s="26" t="n">
        <v>1473.89</v>
      </c>
      <c r="C35" s="26" t="n">
        <v>1366.4</v>
      </c>
      <c r="D35" s="26" t="n">
        <v>2603.3</v>
      </c>
      <c r="E35" s="26" t="n">
        <v>1870.5</v>
      </c>
      <c r="F35" s="26" t="n">
        <v>1063.68</v>
      </c>
      <c r="G35" s="26" t="n">
        <v>1396.75</v>
      </c>
      <c r="H35" s="26" t="n">
        <v>1107.36</v>
      </c>
      <c r="I35" s="26" t="n">
        <v>1181</v>
      </c>
      <c r="J35" s="26" t="n">
        <v>-275.1799999999999</v>
      </c>
      <c r="K35" s="26" t="n">
        <v>839.92</v>
      </c>
      <c r="L35" s="26" t="n">
        <v>1036.6</v>
      </c>
      <c r="M35" s="26" t="n">
        <v>2199.25</v>
      </c>
      <c r="N35" s="26">
        <f>SUM(B35:M35)</f>
        <v/>
      </c>
      <c r="O35" s="26" t="n">
        <v>1618.32</v>
      </c>
      <c r="P35" s="26" t="n">
        <v>1670.36</v>
      </c>
      <c r="Q35" s="26" t="n">
        <v>1621.91</v>
      </c>
      <c r="R35" s="26" t="n">
        <v>1425.43</v>
      </c>
      <c r="S35" s="26" t="n">
        <v>1194.09</v>
      </c>
      <c r="T35" s="26" t="n">
        <v>332.99</v>
      </c>
      <c r="U35" s="26" t="n">
        <v>1554.36</v>
      </c>
      <c r="AA35" s="26">
        <f>SUM(O35:U35)</f>
        <v/>
      </c>
      <c r="AB35" s="26">
        <f>SUM(O35:Z35)</f>
        <v/>
      </c>
      <c r="AC35" s="26" t="n">
        <v>1340</v>
      </c>
      <c r="AD35" s="26" t="n">
        <v>1340</v>
      </c>
      <c r="AE35" s="26" t="n">
        <v>1340</v>
      </c>
      <c r="AF35" s="26" t="n">
        <v>1340</v>
      </c>
      <c r="AG35" s="26" t="n">
        <v>1340</v>
      </c>
      <c r="AH35" s="26" t="n">
        <v>1340</v>
      </c>
      <c r="AI35" s="34">
        <f>SUM(AC35:AH35)</f>
        <v/>
      </c>
      <c r="AJ35" s="26">
        <f>SUM(AC35:AH35)+AI35</f>
        <v/>
      </c>
      <c r="AK35" s="11">
        <f>IF(N35&lt;&gt;0,(AB35-N35)/ABS(N35),0)</f>
        <v/>
      </c>
      <c r="AL35" s="11">
        <f>IF(AB35&lt;&gt;0,(AJ35-AB35)/ABS(AB35),0)</f>
        <v/>
      </c>
    </row>
    <row r="36" ht="13" customHeight="1">
      <c r="A36" s="25" t="inlineStr">
        <is>
          <t xml:space="preserve">    Repairs &amp; Maintenance</t>
        </is>
      </c>
      <c r="B36" s="26" t="n">
        <v>190.89</v>
      </c>
      <c r="C36" s="26" t="n">
        <v>334.56</v>
      </c>
      <c r="D36" s="26" t="n">
        <v>31.18</v>
      </c>
      <c r="E36" s="26" t="n">
        <v>140.03</v>
      </c>
      <c r="F36" s="26" t="n">
        <v>268.7</v>
      </c>
      <c r="G36" s="26" t="n">
        <v>6.98</v>
      </c>
      <c r="H36" s="26" t="n">
        <v>375.45</v>
      </c>
      <c r="I36" s="26" t="n">
        <v>68.62</v>
      </c>
      <c r="J36" s="26" t="n">
        <v>190.13</v>
      </c>
      <c r="K36" s="26" t="n">
        <v>37.19</v>
      </c>
      <c r="L36" s="26" t="n">
        <v>367.46</v>
      </c>
      <c r="M36" s="26" t="n">
        <v>121.98</v>
      </c>
      <c r="N36" s="26">
        <f>SUM(B36:M36)</f>
        <v/>
      </c>
      <c r="O36" s="26" t="n">
        <v>0</v>
      </c>
      <c r="P36" s="26" t="n">
        <v>143.11</v>
      </c>
      <c r="Q36" s="26" t="n">
        <v>5024.98</v>
      </c>
      <c r="R36" s="26" t="n">
        <v>1405.36</v>
      </c>
      <c r="S36" s="26" t="n">
        <v>382.9999999999999</v>
      </c>
      <c r="T36" s="26" t="n">
        <v>17.57</v>
      </c>
      <c r="U36" s="26" t="n">
        <v>108</v>
      </c>
      <c r="AA36" s="26">
        <f>SUM(O36:U36)</f>
        <v/>
      </c>
      <c r="AB36" s="26">
        <f>SUM(O36:Z36)</f>
        <v/>
      </c>
      <c r="AC36" s="26" t="n">
        <v>0</v>
      </c>
      <c r="AD36" s="26" t="n">
        <v>0</v>
      </c>
      <c r="AE36" s="26" t="n">
        <v>0</v>
      </c>
      <c r="AF36" s="26" t="n">
        <v>0</v>
      </c>
      <c r="AG36" s="26" t="n">
        <v>0</v>
      </c>
      <c r="AH36" s="26" t="n">
        <v>0</v>
      </c>
      <c r="AI36" s="34">
        <f>SUM(AC36:AH36)</f>
        <v/>
      </c>
      <c r="AJ36" s="26">
        <f>SUM(AC36:AH36)+AI36</f>
        <v/>
      </c>
      <c r="AK36" s="11">
        <f>IF(N36&lt;&gt;0,(AB36-N36)/ABS(N36),0)</f>
        <v/>
      </c>
      <c r="AL36" s="11">
        <f>IF(AB36&lt;&gt;0,(AJ36-AB36)/ABS(AB36),0)</f>
        <v/>
      </c>
    </row>
    <row r="37" ht="13" customHeight="1">
      <c r="A37" s="25" t="inlineStr">
        <is>
          <t xml:space="preserve">    Cleaning</t>
        </is>
      </c>
      <c r="B37" s="26" t="n">
        <v>190.06</v>
      </c>
      <c r="C37" s="26" t="n">
        <v>202.06</v>
      </c>
      <c r="D37" s="26" t="n">
        <v>55.16999999999999</v>
      </c>
      <c r="E37" s="26" t="n">
        <v>160.01</v>
      </c>
      <c r="F37" s="26" t="n">
        <v>83.73999999999999</v>
      </c>
      <c r="G37" s="26" t="n">
        <v>65.2</v>
      </c>
      <c r="H37" s="26" t="n">
        <v>159.27</v>
      </c>
      <c r="I37" s="26" t="n">
        <v>99.89</v>
      </c>
      <c r="J37" s="26" t="n">
        <v>134.23</v>
      </c>
      <c r="K37" s="26" t="n">
        <v>129.5</v>
      </c>
      <c r="L37" s="26" t="n">
        <v>136.31</v>
      </c>
      <c r="M37" s="26" t="n">
        <v>5.71</v>
      </c>
      <c r="N37" s="26">
        <f>SUM(B37:M37)</f>
        <v/>
      </c>
      <c r="O37" s="26" t="n">
        <v>112.87</v>
      </c>
      <c r="P37" s="26" t="n">
        <v>33</v>
      </c>
      <c r="Q37" s="26" t="n">
        <v>77.39</v>
      </c>
      <c r="R37" s="26" t="n">
        <v>0</v>
      </c>
      <c r="S37" s="26" t="n">
        <v>194.26</v>
      </c>
      <c r="T37" s="26" t="n">
        <v>124.22</v>
      </c>
      <c r="U37" s="26" t="n">
        <v>0</v>
      </c>
      <c r="AA37" s="26">
        <f>SUM(O37:U37)</f>
        <v/>
      </c>
      <c r="AB37" s="26">
        <f>SUM(O37:Z37)</f>
        <v/>
      </c>
      <c r="AC37" s="26" t="n">
        <v>128</v>
      </c>
      <c r="AD37" s="26" t="n">
        <v>128</v>
      </c>
      <c r="AE37" s="26" t="n">
        <v>128</v>
      </c>
      <c r="AF37" s="26" t="n">
        <v>128</v>
      </c>
      <c r="AG37" s="26" t="n">
        <v>128</v>
      </c>
      <c r="AH37" s="26" t="n">
        <v>128</v>
      </c>
      <c r="AI37" s="34">
        <f>SUM(AC37:AH37)</f>
        <v/>
      </c>
      <c r="AJ37" s="26">
        <f>SUM(AC37:AH37)+AI37</f>
        <v/>
      </c>
      <c r="AK37" s="11">
        <f>IF(N37&lt;&gt;0,(AB37-N37)/ABS(N37),0)</f>
        <v/>
      </c>
      <c r="AL37" s="11">
        <f>IF(AB37&lt;&gt;0,(AJ37-AB37)/ABS(AB37),0)</f>
        <v/>
      </c>
    </row>
    <row r="38" ht="13" customHeight="1">
      <c r="A38" s="25" t="inlineStr">
        <is>
          <t xml:space="preserve">    Waste Disposal</t>
        </is>
      </c>
      <c r="B38" s="26" t="n">
        <v>370.63</v>
      </c>
      <c r="C38" s="26" t="n">
        <v>434.89</v>
      </c>
      <c r="D38" s="26" t="n">
        <v>421.63</v>
      </c>
      <c r="E38" s="26" t="n">
        <v>380.28</v>
      </c>
      <c r="F38" s="26" t="n">
        <v>383.48</v>
      </c>
      <c r="G38" s="26" t="n">
        <v>436.89</v>
      </c>
      <c r="H38" s="26" t="n">
        <v>383.48</v>
      </c>
      <c r="I38" s="26" t="n">
        <v>491.1800000000001</v>
      </c>
      <c r="J38" s="26" t="n">
        <v>436.89</v>
      </c>
      <c r="K38" s="26" t="n">
        <v>392.44</v>
      </c>
      <c r="L38" s="26" t="n">
        <v>399.43</v>
      </c>
      <c r="M38" s="26" t="n">
        <v>470.88</v>
      </c>
      <c r="N38" s="26">
        <f>SUM(B38:M38)</f>
        <v/>
      </c>
      <c r="O38" s="26" t="n">
        <v>399.42</v>
      </c>
      <c r="P38" s="26" t="n">
        <v>408.91</v>
      </c>
      <c r="Q38" s="26" t="n">
        <v>452.83</v>
      </c>
      <c r="R38" s="26" t="n">
        <v>507.47</v>
      </c>
      <c r="S38" s="26" t="n">
        <v>426.43</v>
      </c>
      <c r="T38" s="26" t="n">
        <v>317.77</v>
      </c>
      <c r="U38" s="26" t="n">
        <v>399.42</v>
      </c>
      <c r="AA38" s="26">
        <f>SUM(O38:U38)</f>
        <v/>
      </c>
      <c r="AB38" s="26">
        <f>SUM(O38:Z38)</f>
        <v/>
      </c>
      <c r="AC38" s="26" t="n">
        <v>414</v>
      </c>
      <c r="AD38" s="26" t="n">
        <v>414</v>
      </c>
      <c r="AE38" s="26" t="n">
        <v>414</v>
      </c>
      <c r="AF38" s="26" t="n">
        <v>414</v>
      </c>
      <c r="AG38" s="26" t="n">
        <v>414</v>
      </c>
      <c r="AH38" s="26" t="n">
        <v>414</v>
      </c>
      <c r="AI38" s="34">
        <f>SUM(AC38:AH38)</f>
        <v/>
      </c>
      <c r="AJ38" s="26">
        <f>SUM(AC38:AH38)+AI38</f>
        <v/>
      </c>
      <c r="AK38" s="11">
        <f>IF(N38&lt;&gt;0,(AB38-N38)/ABS(N38),0)</f>
        <v/>
      </c>
      <c r="AL38" s="11">
        <f>IF(AB38&lt;&gt;0,(AJ38-AB38)/ABS(AB38),0)</f>
        <v/>
      </c>
    </row>
    <row r="39" ht="13" customHeight="1">
      <c r="A39" s="25" t="inlineStr">
        <is>
          <t xml:space="preserve">    Postage/Printing/Stationery</t>
        </is>
      </c>
      <c r="B39" s="26" t="n">
        <v>48.91</v>
      </c>
      <c r="C39" s="26" t="n">
        <v>26.65</v>
      </c>
      <c r="D39" s="26" t="n">
        <v>48.28</v>
      </c>
      <c r="E39" s="26" t="n">
        <v>37.56</v>
      </c>
      <c r="F39" s="26" t="n">
        <v>22.48</v>
      </c>
      <c r="G39" s="26" t="n">
        <v>32.72</v>
      </c>
      <c r="H39" s="26" t="n">
        <v>59.91</v>
      </c>
      <c r="I39" s="26" t="n">
        <v>27.53</v>
      </c>
      <c r="J39" s="26" t="n">
        <v>29.07</v>
      </c>
      <c r="K39" s="26" t="n">
        <v>54.09999999999999</v>
      </c>
      <c r="L39" s="26" t="n">
        <v>30.14</v>
      </c>
      <c r="M39" s="26" t="n">
        <v>11.04</v>
      </c>
      <c r="N39" s="26">
        <f>SUM(B39:M39)</f>
        <v/>
      </c>
      <c r="O39" s="26" t="n">
        <v>35.03</v>
      </c>
      <c r="P39" s="26" t="n">
        <v>36.49</v>
      </c>
      <c r="Q39" s="26" t="n">
        <v>0</v>
      </c>
      <c r="R39" s="26" t="n">
        <v>25.46</v>
      </c>
      <c r="S39" s="26" t="n">
        <v>28.47</v>
      </c>
      <c r="T39" s="26" t="n">
        <v>37.06999999999999</v>
      </c>
      <c r="U39" s="26" t="n">
        <v>13.88</v>
      </c>
      <c r="AA39" s="26">
        <f>SUM(O39:U39)</f>
        <v/>
      </c>
      <c r="AB39" s="26">
        <f>SUM(O39:Z39)</f>
        <v/>
      </c>
      <c r="AC39" s="26" t="n">
        <v>0</v>
      </c>
      <c r="AD39" s="26" t="n">
        <v>0</v>
      </c>
      <c r="AE39" s="26" t="n">
        <v>0</v>
      </c>
      <c r="AF39" s="26" t="n">
        <v>0</v>
      </c>
      <c r="AG39" s="26" t="n">
        <v>0</v>
      </c>
      <c r="AH39" s="26" t="n">
        <v>0</v>
      </c>
      <c r="AI39" s="34">
        <f>SUM(AC39:AH39)</f>
        <v/>
      </c>
      <c r="AJ39" s="26">
        <f>SUM(AC39:AH39)+AI39</f>
        <v/>
      </c>
      <c r="AK39" s="11">
        <f>IF(N39&lt;&gt;0,(AB39-N39)/ABS(N39),0)</f>
        <v/>
      </c>
      <c r="AL39" s="11">
        <f>IF(AB39&lt;&gt;0,(AJ39-AB39)/ABS(AB39),0)</f>
        <v/>
      </c>
    </row>
    <row r="40" ht="13" customHeight="1">
      <c r="A40" s="25" t="inlineStr">
        <is>
          <t xml:space="preserve">    Telephone</t>
        </is>
      </c>
      <c r="B40" s="26" t="n">
        <v>0</v>
      </c>
      <c r="C40" s="26" t="n">
        <v>0</v>
      </c>
      <c r="D40" s="26" t="n">
        <v>0</v>
      </c>
      <c r="E40" s="26" t="n">
        <v>0</v>
      </c>
      <c r="F40" s="26" t="n">
        <v>0</v>
      </c>
      <c r="G40" s="26" t="n">
        <v>0</v>
      </c>
      <c r="H40" s="26" t="n">
        <v>0</v>
      </c>
      <c r="I40" s="26" t="n">
        <v>0</v>
      </c>
      <c r="J40" s="26" t="n">
        <v>0</v>
      </c>
      <c r="K40" s="26" t="n">
        <v>0</v>
      </c>
      <c r="L40" s="26" t="n">
        <v>0</v>
      </c>
      <c r="M40" s="26" t="n">
        <v>0</v>
      </c>
      <c r="N40" s="26">
        <f>SUM(B40:M40)</f>
        <v/>
      </c>
      <c r="O40" s="26" t="n">
        <v>25</v>
      </c>
      <c r="P40" s="26" t="n">
        <v>0</v>
      </c>
      <c r="Q40" s="26" t="n">
        <v>783.74</v>
      </c>
      <c r="R40" s="26" t="n">
        <v>1037</v>
      </c>
      <c r="S40" s="26" t="n">
        <v>237</v>
      </c>
      <c r="T40" s="26" t="n">
        <v>23</v>
      </c>
      <c r="U40" s="26" t="n">
        <v>56</v>
      </c>
      <c r="AA40" s="26">
        <f>SUM(O40:U40)</f>
        <v/>
      </c>
      <c r="AB40" s="26">
        <f>SUM(O40:Z40)</f>
        <v/>
      </c>
      <c r="AC40" s="26" t="n">
        <v>0</v>
      </c>
      <c r="AD40" s="26" t="n">
        <v>0</v>
      </c>
      <c r="AE40" s="26" t="n">
        <v>0</v>
      </c>
      <c r="AF40" s="26" t="n">
        <v>0</v>
      </c>
      <c r="AG40" s="26" t="n">
        <v>0</v>
      </c>
      <c r="AH40" s="26" t="n">
        <v>0</v>
      </c>
      <c r="AI40" s="34">
        <f>SUM(AC40:AH40)</f>
        <v/>
      </c>
      <c r="AJ40" s="26">
        <f>SUM(AC40:AH40)+AI40</f>
        <v/>
      </c>
      <c r="AK40" s="11">
        <f>IF(N40&lt;&gt;0,(AB40-N40)/ABS(N40),0)</f>
        <v/>
      </c>
      <c r="AL40" s="11">
        <f>IF(AB40&lt;&gt;0,(AJ40-AB40)/ABS(AB40),0)</f>
        <v/>
      </c>
    </row>
    <row r="41" ht="13" customHeight="1">
      <c r="A41" s="25" t="inlineStr">
        <is>
          <t xml:space="preserve">    Marketing</t>
        </is>
      </c>
      <c r="B41" s="26" t="n">
        <v>0</v>
      </c>
      <c r="C41" s="26" t="n">
        <v>0</v>
      </c>
      <c r="D41" s="26" t="n">
        <v>0</v>
      </c>
      <c r="E41" s="26" t="n">
        <v>0</v>
      </c>
      <c r="F41" s="26" t="n">
        <v>0</v>
      </c>
      <c r="G41" s="26" t="n">
        <v>0</v>
      </c>
      <c r="H41" s="26" t="n">
        <v>0</v>
      </c>
      <c r="I41" s="26" t="n">
        <v>0</v>
      </c>
      <c r="J41" s="26" t="n">
        <v>0</v>
      </c>
      <c r="K41" s="26" t="n">
        <v>137.5</v>
      </c>
      <c r="L41" s="26" t="n">
        <v>137.5</v>
      </c>
      <c r="M41" s="26" t="n">
        <v>137.5</v>
      </c>
      <c r="N41" s="26">
        <f>SUM(B41:M41)</f>
        <v/>
      </c>
      <c r="O41" s="26" t="n">
        <v>137.5</v>
      </c>
      <c r="P41" s="26" t="n">
        <v>137.5</v>
      </c>
      <c r="Q41" s="26" t="n">
        <v>137.5</v>
      </c>
      <c r="R41" s="26" t="n">
        <v>137.5</v>
      </c>
      <c r="S41" s="26" t="n">
        <v>137.5</v>
      </c>
      <c r="T41" s="26" t="n">
        <v>137.5</v>
      </c>
      <c r="U41" s="26" t="n">
        <v>137.5</v>
      </c>
      <c r="AA41" s="26">
        <f>SUM(O41:U41)</f>
        <v/>
      </c>
      <c r="AB41" s="26">
        <f>SUM(O41:Z41)</f>
        <v/>
      </c>
      <c r="AC41" s="26" t="n">
        <v>138</v>
      </c>
      <c r="AD41" s="26" t="n">
        <v>138</v>
      </c>
      <c r="AE41" s="26" t="n">
        <v>138</v>
      </c>
      <c r="AF41" s="26" t="n">
        <v>138</v>
      </c>
      <c r="AG41" s="26" t="n">
        <v>138</v>
      </c>
      <c r="AH41" s="26" t="n">
        <v>138</v>
      </c>
      <c r="AI41" s="34">
        <f>SUM(AC41:AH41)</f>
        <v/>
      </c>
      <c r="AJ41" s="26">
        <f>SUM(AC41:AH41)+AI41</f>
        <v/>
      </c>
      <c r="AK41" s="11">
        <f>IF(N41&lt;&gt;0,(AB41-N41)/ABS(N41),0)</f>
        <v/>
      </c>
      <c r="AL41" s="11">
        <f>IF(AB41&lt;&gt;0,(AJ41-AB41)/ABS(AB41),0)</f>
        <v/>
      </c>
    </row>
    <row r="42" ht="13" customHeight="1">
      <c r="A42" s="27" t="inlineStr">
        <is>
          <t>Total Premises &amp; Admin</t>
        </is>
      </c>
      <c r="B42" s="28">
        <f>B33+B34+B35+B36+B37+B38+B39+B40+B41</f>
        <v/>
      </c>
      <c r="C42" s="28">
        <f>C33+C34+C35+C36+C37+C38+C39+C40+C41</f>
        <v/>
      </c>
      <c r="D42" s="28">
        <f>D33+D34+D35+D36+D37+D38+D39+D40+D41</f>
        <v/>
      </c>
      <c r="E42" s="28">
        <f>E33+E34+E35+E36+E37+E38+E39+E40+E41</f>
        <v/>
      </c>
      <c r="F42" s="28">
        <f>F33+F34+F35+F36+F37+F38+F39+F40+F41</f>
        <v/>
      </c>
      <c r="G42" s="28">
        <f>G33+G34+G35+G36+G37+G38+G39+G40+G41</f>
        <v/>
      </c>
      <c r="H42" s="28">
        <f>H33+H34+H35+H36+H37+H38+H39+H40+H41</f>
        <v/>
      </c>
      <c r="I42" s="28">
        <f>I33+I34+I35+I36+I37+I38+I39+I40+I41</f>
        <v/>
      </c>
      <c r="J42" s="28">
        <f>J33+J34+J35+J36+J37+J38+J39+J40+J41</f>
        <v/>
      </c>
      <c r="K42" s="28">
        <f>K33+K34+K35+K36+K37+K38+K39+K40+K41</f>
        <v/>
      </c>
      <c r="L42" s="28">
        <f>L33+L34+L35+L36+L37+L38+L39+L40+L41</f>
        <v/>
      </c>
      <c r="M42" s="28">
        <f>M33+M34+M35+M36+M37+M38+M39+M40+M41</f>
        <v/>
      </c>
      <c r="N42" s="28">
        <f>N33+N34+N35+N36+N37+N38+N39+N40+N41</f>
        <v/>
      </c>
      <c r="O42" s="28">
        <f>O33+O34+O35+O36+O37+O38+O39+O40+O41</f>
        <v/>
      </c>
      <c r="P42" s="28">
        <f>P33+P34+P35+P36+P37+P38+P39+P40+P41</f>
        <v/>
      </c>
      <c r="Q42" s="28">
        <f>Q33+Q34+Q35+Q36+Q37+Q38+Q39+Q40+Q41</f>
        <v/>
      </c>
      <c r="R42" s="28">
        <f>R33+R34+R35+R36+R37+R38+R39+R40+R41</f>
        <v/>
      </c>
      <c r="S42" s="28">
        <f>S33+S34+S35+S36+S37+S38+S39+S40+S41</f>
        <v/>
      </c>
      <c r="T42" s="28">
        <f>T33+T34+T35+T36+T37+T38+T39+T40+T41</f>
        <v/>
      </c>
      <c r="U42" s="28">
        <f>U33+U34+U35+U36+U37+U38+U39+U40+U41</f>
        <v/>
      </c>
      <c r="V42" s="28">
        <f>V33+V34+V35+V36+V37+V38+V39+V40+V41</f>
        <v/>
      </c>
      <c r="W42" s="28">
        <f>W33+W34+W35+W36+W37+W38+W39+W40+W41</f>
        <v/>
      </c>
      <c r="X42" s="28">
        <f>X33+X34+X35+X36+X37+X38+X39+X40+X41</f>
        <v/>
      </c>
      <c r="Y42" s="28">
        <f>Y33+Y34+Y35+Y36+Y37+Y38+Y39+Y40+Y41</f>
        <v/>
      </c>
      <c r="Z42" s="28">
        <f>Z33+Z34+Z35+Z36+Z37+Z38+Z39+Z40+Z41</f>
        <v/>
      </c>
      <c r="AA42" s="28">
        <f>AA33+AA34+AA35+AA36+AA37+AA38+AA39+AA40+AA41</f>
        <v/>
      </c>
      <c r="AB42" s="28">
        <f>AB33+AB34+AB35+AB36+AB37+AB38+AB39+AB40+AB41</f>
        <v/>
      </c>
      <c r="AC42" s="28">
        <f>AC33+AC34+AC35+AC36+AC37+AC38+AC39+AC40+AC41</f>
        <v/>
      </c>
      <c r="AD42" s="28">
        <f>AD33+AD34+AD35+AD36+AD37+AD38+AD39+AD40+AD41</f>
        <v/>
      </c>
      <c r="AE42" s="28">
        <f>AE33+AE34+AE35+AE36+AE37+AE38+AE39+AE40+AE41</f>
        <v/>
      </c>
      <c r="AF42" s="28">
        <f>AF33+AF34+AF35+AF36+AF37+AF38+AF39+AF40+AF41</f>
        <v/>
      </c>
      <c r="AG42" s="28">
        <f>AG33+AG34+AG35+AG36+AG37+AG38+AG39+AG40+AG41</f>
        <v/>
      </c>
      <c r="AH42" s="28">
        <f>AH33+AH34+AH35+AH36+AH37+AH38+AH39+AH40+AH41</f>
        <v/>
      </c>
      <c r="AI42" s="28">
        <f>AI33+AI34+AI35+AI36+AI37+AI38+AI39+AI40+AI41</f>
        <v/>
      </c>
      <c r="AJ42" s="28">
        <f>AJ33+AJ34+AJ35+AJ36+AJ37+AJ38+AJ39+AJ40+AJ41</f>
        <v/>
      </c>
      <c r="AK42" s="11">
        <f>IF(N42&lt;&gt;0,(AB42-N42)/ABS(N42),0)</f>
        <v/>
      </c>
      <c r="AL42" s="11">
        <f>IF(AB42&lt;&gt;0,(AJ42-AB42)/ABS(AB42),0)</f>
        <v/>
      </c>
    </row>
    <row r="43" ht="5" customHeight="1"/>
    <row r="44" ht="13" customHeight="1">
      <c r="A44" s="29" t="inlineStr">
        <is>
          <t>Total Direct Costs</t>
        </is>
      </c>
      <c r="AK44" s="11">
        <f>IF(N44&lt;&gt;0,(AB44-N44)/ABS(N44),0)</f>
        <v/>
      </c>
      <c r="AL44" s="11">
        <f>IF(AB44&lt;&gt;0,(AJ44-AB44)/ABS(AB44),0)</f>
        <v/>
      </c>
    </row>
    <row r="45" ht="5" customHeight="1"/>
    <row r="46" ht="15" customHeight="1">
      <c r="A46" s="30" t="inlineStr">
        <is>
          <t>CONTRIBUTION</t>
        </is>
      </c>
      <c r="B46" s="31">
        <f>B7-B44</f>
        <v/>
      </c>
      <c r="C46" s="31">
        <f>C7-C44</f>
        <v/>
      </c>
      <c r="D46" s="31">
        <f>D7-D44</f>
        <v/>
      </c>
      <c r="E46" s="31">
        <f>E7-E44</f>
        <v/>
      </c>
      <c r="F46" s="31">
        <f>F7-F44</f>
        <v/>
      </c>
      <c r="G46" s="31">
        <f>G7-G44</f>
        <v/>
      </c>
      <c r="H46" s="31">
        <f>H7-H44</f>
        <v/>
      </c>
      <c r="I46" s="31">
        <f>I7-I44</f>
        <v/>
      </c>
      <c r="J46" s="31">
        <f>J7-J44</f>
        <v/>
      </c>
      <c r="K46" s="31">
        <f>K7-K44</f>
        <v/>
      </c>
      <c r="L46" s="31">
        <f>L7-L44</f>
        <v/>
      </c>
      <c r="M46" s="31">
        <f>M7-M44</f>
        <v/>
      </c>
      <c r="N46" s="31">
        <f>N7-N44</f>
        <v/>
      </c>
      <c r="O46" s="31">
        <f>O7-O44</f>
        <v/>
      </c>
      <c r="P46" s="31">
        <f>P7-P44</f>
        <v/>
      </c>
      <c r="Q46" s="31">
        <f>Q7-Q44</f>
        <v/>
      </c>
      <c r="R46" s="31">
        <f>R7-R44</f>
        <v/>
      </c>
      <c r="S46" s="31">
        <f>S7-S44</f>
        <v/>
      </c>
      <c r="T46" s="31">
        <f>T7-T44</f>
        <v/>
      </c>
      <c r="U46" s="31">
        <f>U7-U44</f>
        <v/>
      </c>
      <c r="V46" s="31">
        <f>V7-V44</f>
        <v/>
      </c>
      <c r="W46" s="31">
        <f>W7-W44</f>
        <v/>
      </c>
      <c r="X46" s="31">
        <f>X7-X44</f>
        <v/>
      </c>
      <c r="Y46" s="31">
        <f>Y7-Y44</f>
        <v/>
      </c>
      <c r="Z46" s="31">
        <f>Z7-Z44</f>
        <v/>
      </c>
      <c r="AA46" s="31">
        <f>AA7-AA44</f>
        <v/>
      </c>
      <c r="AB46" s="31">
        <f>AB7-AB44</f>
        <v/>
      </c>
      <c r="AC46" s="31">
        <f>AC7-AC44</f>
        <v/>
      </c>
      <c r="AD46" s="31">
        <f>AD7-AD44</f>
        <v/>
      </c>
      <c r="AE46" s="31">
        <f>AE7-AE44</f>
        <v/>
      </c>
      <c r="AF46" s="31">
        <f>AF7-AF44</f>
        <v/>
      </c>
      <c r="AG46" s="31">
        <f>AG7-AG44</f>
        <v/>
      </c>
      <c r="AH46" s="31">
        <f>AH7-AH44</f>
        <v/>
      </c>
      <c r="AI46" s="31">
        <f>AI7-AI44</f>
        <v/>
      </c>
      <c r="AJ46" s="31">
        <f>AJ7-AJ44</f>
        <v/>
      </c>
      <c r="AK46" s="11">
        <f>IF(N46&lt;&gt;0,(AB46-N46)/ABS(N46),0)</f>
        <v/>
      </c>
      <c r="AL46" s="11">
        <f>IF(AB46&lt;&gt;0,(AJ46-AB46)/ABS(AB46),0)</f>
        <v/>
      </c>
    </row>
  </sheetData>
  <mergeCells count="8">
    <mergeCell ref="A10:AL10"/>
    <mergeCell ref="B1:N1"/>
    <mergeCell ref="A23:AL23"/>
    <mergeCell ref="A32:AL32"/>
    <mergeCell ref="AC1:AJ1"/>
    <mergeCell ref="A9:AL9"/>
    <mergeCell ref="A3:AL3"/>
    <mergeCell ref="O1:AB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L6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9.5" customWidth="1" min="27" max="27"/>
    <col width="9.5" customWidth="1" min="28" max="28"/>
    <col width="9.5" customWidth="1" min="29" max="29"/>
    <col width="9.5" customWidth="1" min="30" max="30"/>
    <col width="9.5" customWidth="1" min="31" max="31"/>
    <col width="9.5" customWidth="1" min="32" max="32"/>
    <col width="9.5" customWidth="1" min="33" max="33"/>
    <col width="9.5" customWidth="1" min="34" max="34"/>
    <col width="9.5" customWidth="1" min="35" max="35"/>
    <col width="11" customWidth="1" min="36" max="36"/>
    <col width="10" customWidth="1" min="37" max="37"/>
    <col width="10" customWidth="1" min="38" max="38"/>
  </cols>
  <sheetData>
    <row r="1" ht="18" customHeight="1">
      <c r="A1" s="1" t="inlineStr">
        <is>
          <t>Complete Childcare Group</t>
        </is>
      </c>
      <c r="B1" s="2" t="inlineStr">
        <is>
          <t>Actuals 2025</t>
        </is>
      </c>
      <c r="O1" s="2" t="inlineStr">
        <is>
          <t>2026 Actual / Forecast</t>
        </is>
      </c>
      <c r="AC1" s="2" t="inlineStr">
        <is>
          <t>2027 Forecast</t>
        </is>
      </c>
      <c r="AK1" s="3" t="inlineStr">
        <is>
          <t>YoY</t>
        </is>
      </c>
      <c r="AL1" s="3" t="inlineStr">
        <is>
          <t>YoY</t>
        </is>
      </c>
    </row>
    <row r="2" ht="22" customHeight="1">
      <c r="B2" s="4" t="inlineStr">
        <is>
          <t>Jan</t>
        </is>
      </c>
      <c r="C2" s="4" t="inlineStr">
        <is>
          <t>Feb</t>
        </is>
      </c>
      <c r="D2" s="4" t="inlineStr">
        <is>
          <t>Mar</t>
        </is>
      </c>
      <c r="E2" s="4" t="inlineStr">
        <is>
          <t>Apr</t>
        </is>
      </c>
      <c r="F2" s="4" t="inlineStr">
        <is>
          <t>May</t>
        </is>
      </c>
      <c r="G2" s="4" t="inlineStr">
        <is>
          <t>Jun</t>
        </is>
      </c>
      <c r="H2" s="4" t="inlineStr">
        <is>
          <t>Jul</t>
        </is>
      </c>
      <c r="I2" s="4" t="inlineStr">
        <is>
          <t>Aug</t>
        </is>
      </c>
      <c r="J2" s="4" t="inlineStr">
        <is>
          <t>Sep</t>
        </is>
      </c>
      <c r="K2" s="4" t="inlineStr">
        <is>
          <t>Oct</t>
        </is>
      </c>
      <c r="L2" s="4" t="inlineStr">
        <is>
          <t>Nov</t>
        </is>
      </c>
      <c r="M2" s="4" t="inlineStr">
        <is>
          <t>Dec</t>
        </is>
      </c>
      <c r="N2" s="5" t="inlineStr">
        <is>
          <t>FY2025
Total</t>
        </is>
      </c>
      <c r="O2" s="4" t="inlineStr">
        <is>
          <t>Jan</t>
        </is>
      </c>
      <c r="P2" s="4" t="inlineStr">
        <is>
          <t>Feb</t>
        </is>
      </c>
      <c r="Q2" s="4" t="inlineStr">
        <is>
          <t>Mar</t>
        </is>
      </c>
      <c r="R2" s="4" t="inlineStr">
        <is>
          <t>Apr</t>
        </is>
      </c>
      <c r="S2" s="4" t="inlineStr">
        <is>
          <t>May</t>
        </is>
      </c>
      <c r="T2" s="4" t="inlineStr">
        <is>
          <t>Jun</t>
        </is>
      </c>
      <c r="U2" s="4" t="inlineStr">
        <is>
          <t>Jul</t>
        </is>
      </c>
      <c r="V2" s="4" t="inlineStr">
        <is>
          <t>Aug</t>
        </is>
      </c>
      <c r="W2" s="4" t="inlineStr">
        <is>
          <t>Sep</t>
        </is>
      </c>
      <c r="X2" s="4" t="inlineStr">
        <is>
          <t>Oct</t>
        </is>
      </c>
      <c r="Y2" s="4" t="inlineStr">
        <is>
          <t>Nov</t>
        </is>
      </c>
      <c r="Z2" s="4" t="inlineStr">
        <is>
          <t>Dec</t>
        </is>
      </c>
      <c r="AA2" s="4" t="inlineStr">
        <is>
          <t>YTD</t>
        </is>
      </c>
      <c r="AB2" s="5" t="inlineStr">
        <is>
          <t>FY2026
Outlook</t>
        </is>
      </c>
      <c r="AC2" s="4" t="inlineStr">
        <is>
          <t>Jan</t>
        </is>
      </c>
      <c r="AD2" s="4" t="inlineStr">
        <is>
          <t>Feb</t>
        </is>
      </c>
      <c r="AE2" s="4" t="inlineStr">
        <is>
          <t>Mar</t>
        </is>
      </c>
      <c r="AF2" s="4" t="inlineStr">
        <is>
          <t>Apr</t>
        </is>
      </c>
      <c r="AG2" s="4" t="inlineStr">
        <is>
          <t>May</t>
        </is>
      </c>
      <c r="AH2" s="4" t="inlineStr">
        <is>
          <t>Jun</t>
        </is>
      </c>
      <c r="AI2" s="6" t="inlineStr">
        <is>
          <t>Jul-Dec
Proj.</t>
        </is>
      </c>
      <c r="AJ2" s="4" t="inlineStr">
        <is>
          <t>FY2027</t>
        </is>
      </c>
      <c r="AK2" s="6" t="inlineStr">
        <is>
          <t>25→26
%</t>
        </is>
      </c>
      <c r="AL2" s="6" t="inlineStr">
        <is>
          <t>26→27
%</t>
        </is>
      </c>
    </row>
    <row r="3" ht="15" customHeight="1">
      <c r="A3" s="7" t="inlineStr">
        <is>
          <t>INCOME</t>
        </is>
      </c>
    </row>
    <row r="4" ht="13" customHeight="1">
      <c r="A4" s="8" t="inlineStr">
        <is>
          <t xml:space="preserve">    Fee Income Regular</t>
        </is>
      </c>
      <c r="B4" s="9">
        <f>'ABA'!B4+'BK'!B4+'BW'!B4+'CED'!B4+'HAB'!B4+'HB'!B4+'OD'!B4+'HDN'!B4+'KIN'!B4+'LE'!B4+'MER'!B4+'NDN'!B4+'SALT'!B4+'SDN'!B4+'SST'!B4+'WH'!B4+'FH'!B4</f>
        <v/>
      </c>
      <c r="C4" s="9">
        <f>'ABA'!C4+'BK'!C4+'BW'!C4+'CED'!C4+'HAB'!C4+'HB'!C4+'OD'!C4+'HDN'!C4+'KIN'!C4+'LE'!C4+'MER'!C4+'NDN'!C4+'SALT'!C4+'SDN'!C4+'SST'!C4+'WH'!C4+'FH'!C4</f>
        <v/>
      </c>
      <c r="D4" s="9">
        <f>'ABA'!D4+'BK'!D4+'BW'!D4+'CED'!D4+'HAB'!D4+'HB'!D4+'OD'!D4+'HDN'!D4+'KIN'!D4+'LE'!D4+'MER'!D4+'NDN'!D4+'SALT'!D4+'SDN'!D4+'SST'!D4+'WH'!D4+'FH'!D4</f>
        <v/>
      </c>
      <c r="E4" s="9">
        <f>'ABA'!E4+'BK'!E4+'BW'!E4+'CED'!E4+'HAB'!E4+'HB'!E4+'OD'!E4+'HDN'!E4+'KIN'!E4+'LE'!E4+'MER'!E4+'NDN'!E4+'SALT'!E4+'SDN'!E4+'SST'!E4+'WH'!E4+'FH'!E4</f>
        <v/>
      </c>
      <c r="F4" s="9">
        <f>'ABA'!F4+'BK'!F4+'BW'!F4+'CED'!F4+'HAB'!F4+'HB'!F4+'OD'!F4+'HDN'!F4+'KIN'!F4+'LE'!F4+'MER'!F4+'NDN'!F4+'SALT'!F4+'SDN'!F4+'SST'!F4+'WH'!F4+'FH'!F4</f>
        <v/>
      </c>
      <c r="G4" s="9">
        <f>'ABA'!G4+'BK'!G4+'BW'!G4+'CED'!G4+'HAB'!G4+'HB'!G4+'OD'!G4+'HDN'!G4+'KIN'!G4+'LE'!G4+'MER'!G4+'NDN'!G4+'SALT'!G4+'SDN'!G4+'SST'!G4+'WH'!G4+'FH'!G4</f>
        <v/>
      </c>
      <c r="H4" s="9">
        <f>'ABA'!H4+'BK'!H4+'BW'!H4+'CED'!H4+'HAB'!H4+'HB'!H4+'OD'!H4+'HDN'!H4+'KIN'!H4+'LE'!H4+'MER'!H4+'NDN'!H4+'SALT'!H4+'SDN'!H4+'SST'!H4+'WH'!H4+'FH'!H4</f>
        <v/>
      </c>
      <c r="I4" s="9">
        <f>'ABA'!I4+'BK'!I4+'BW'!I4+'CED'!I4+'HAB'!I4+'HB'!I4+'OD'!I4+'HDN'!I4+'KIN'!I4+'LE'!I4+'MER'!I4+'NDN'!I4+'SALT'!I4+'SDN'!I4+'SST'!I4+'WH'!I4+'FH'!I4</f>
        <v/>
      </c>
      <c r="J4" s="9">
        <f>'ABA'!J4+'BK'!J4+'BW'!J4+'CED'!J4+'HAB'!J4+'HB'!J4+'OD'!J4+'HDN'!J4+'KIN'!J4+'LE'!J4+'MER'!J4+'NDN'!J4+'SALT'!J4+'SDN'!J4+'SST'!J4+'WH'!J4+'FH'!J4</f>
        <v/>
      </c>
      <c r="K4" s="9">
        <f>'ABA'!K4+'BK'!K4+'BW'!K4+'CED'!K4+'HAB'!K4+'HB'!K4+'OD'!K4+'HDN'!K4+'KIN'!K4+'LE'!K4+'MER'!K4+'NDN'!K4+'SALT'!K4+'SDN'!K4+'SST'!K4+'WH'!K4+'FH'!K4</f>
        <v/>
      </c>
      <c r="L4" s="9">
        <f>'ABA'!L4+'BK'!L4+'BW'!L4+'CED'!L4+'HAB'!L4+'HB'!L4+'OD'!L4+'HDN'!L4+'KIN'!L4+'LE'!L4+'MER'!L4+'NDN'!L4+'SALT'!L4+'SDN'!L4+'SST'!L4+'WH'!L4+'FH'!L4</f>
        <v/>
      </c>
      <c r="M4" s="9">
        <f>'ABA'!M4+'BK'!M4+'BW'!M4+'CED'!M4+'HAB'!M4+'HB'!M4+'OD'!M4+'HDN'!M4+'KIN'!M4+'LE'!M4+'MER'!M4+'NDN'!M4+'SALT'!M4+'SDN'!M4+'SST'!M4+'WH'!M4+'FH'!M4</f>
        <v/>
      </c>
      <c r="N4" s="9">
        <f>'ABA'!N4+'BK'!N4+'BW'!N4+'CED'!N4+'HAB'!N4+'HB'!N4+'OD'!N4+'HDN'!N4+'KIN'!N4+'LE'!N4+'MER'!N4+'NDN'!N4+'SALT'!N4+'SDN'!N4+'SST'!N4+'WH'!N4+'FH'!N4</f>
        <v/>
      </c>
      <c r="O4" s="9">
        <f>'ABA'!O4+'BK'!O4+'BW'!O4+'CED'!O4+'HAB'!O4+'HB'!O4+'OD'!O4+'HDN'!O4+'KIN'!O4+'LE'!O4+'MER'!O4+'NDN'!O4+'SALT'!O4+'SDN'!O4+'SST'!O4+'WH'!O4+'FH'!O4</f>
        <v/>
      </c>
      <c r="P4" s="9">
        <f>'ABA'!P4+'BK'!P4+'BW'!P4+'CED'!P4+'HAB'!P4+'HB'!P4+'OD'!P4+'HDN'!P4+'KIN'!P4+'LE'!P4+'MER'!P4+'NDN'!P4+'SALT'!P4+'SDN'!P4+'SST'!P4+'WH'!P4+'FH'!P4</f>
        <v/>
      </c>
      <c r="Q4" s="9">
        <f>'ABA'!Q4+'BK'!Q4+'BW'!Q4+'CED'!Q4+'HAB'!Q4+'HB'!Q4+'OD'!Q4+'HDN'!Q4+'KIN'!Q4+'LE'!Q4+'MER'!Q4+'NDN'!Q4+'SALT'!Q4+'SDN'!Q4+'SST'!Q4+'WH'!Q4+'FH'!Q4</f>
        <v/>
      </c>
      <c r="R4" s="9">
        <f>'ABA'!R4+'BK'!R4+'BW'!R4+'CED'!R4+'HAB'!R4+'HB'!R4+'OD'!R4+'HDN'!R4+'KIN'!R4+'LE'!R4+'MER'!R4+'NDN'!R4+'SALT'!R4+'SDN'!R4+'SST'!R4+'WH'!R4+'FH'!R4</f>
        <v/>
      </c>
      <c r="S4" s="9">
        <f>'ABA'!S4+'BK'!S4+'BW'!S4+'CED'!S4+'HAB'!S4+'HB'!S4+'OD'!S4+'HDN'!S4+'KIN'!S4+'LE'!S4+'MER'!S4+'NDN'!S4+'SALT'!S4+'SDN'!S4+'SST'!S4+'WH'!S4+'FH'!S4</f>
        <v/>
      </c>
      <c r="T4" s="9">
        <f>'ABA'!T4+'BK'!T4+'BW'!T4+'CED'!T4+'HAB'!T4+'HB'!T4+'OD'!T4+'HDN'!T4+'KIN'!T4+'LE'!T4+'MER'!T4+'NDN'!T4+'SALT'!T4+'SDN'!T4+'SST'!T4+'WH'!T4+'FH'!T4</f>
        <v/>
      </c>
      <c r="U4" s="9">
        <f>'ABA'!U4+'BK'!U4+'BW'!U4+'CED'!U4+'HAB'!U4+'HB'!U4+'OD'!U4+'HDN'!U4+'KIN'!U4+'LE'!U4+'MER'!U4+'NDN'!U4+'SALT'!U4+'SDN'!U4+'SST'!U4+'WH'!U4+'FH'!U4</f>
        <v/>
      </c>
      <c r="V4" s="9">
        <f>'ABA'!V4+'BK'!V4+'BW'!V4+'CED'!V4+'HAB'!V4+'HB'!V4+'OD'!V4+'HDN'!V4+'KIN'!V4+'LE'!V4+'MER'!V4+'NDN'!V4+'SALT'!V4+'SDN'!V4+'SST'!V4+'WH'!V4+'FH'!V4</f>
        <v/>
      </c>
      <c r="W4" s="9">
        <f>'ABA'!W4+'BK'!W4+'BW'!W4+'CED'!W4+'HAB'!W4+'HB'!W4+'OD'!W4+'HDN'!W4+'KIN'!W4+'LE'!W4+'MER'!W4+'NDN'!W4+'SALT'!W4+'SDN'!W4+'SST'!W4+'WH'!W4+'FH'!W4</f>
        <v/>
      </c>
      <c r="X4" s="9">
        <f>'ABA'!X4+'BK'!X4+'BW'!X4+'CED'!X4+'HAB'!X4+'HB'!X4+'OD'!X4+'HDN'!X4+'KIN'!X4+'LE'!X4+'MER'!X4+'NDN'!X4+'SALT'!X4+'SDN'!X4+'SST'!X4+'WH'!X4+'FH'!X4</f>
        <v/>
      </c>
      <c r="Y4" s="9">
        <f>'ABA'!Y4+'BK'!Y4+'BW'!Y4+'CED'!Y4+'HAB'!Y4+'HB'!Y4+'OD'!Y4+'HDN'!Y4+'KIN'!Y4+'LE'!Y4+'MER'!Y4+'NDN'!Y4+'SALT'!Y4+'SDN'!Y4+'SST'!Y4+'WH'!Y4+'FH'!Y4</f>
        <v/>
      </c>
      <c r="Z4" s="9">
        <f>'ABA'!Z4+'BK'!Z4+'BW'!Z4+'CED'!Z4+'HAB'!Z4+'HB'!Z4+'OD'!Z4+'HDN'!Z4+'KIN'!Z4+'LE'!Z4+'MER'!Z4+'NDN'!Z4+'SALT'!Z4+'SDN'!Z4+'SST'!Z4+'WH'!Z4+'FH'!Z4</f>
        <v/>
      </c>
      <c r="AA4" s="9">
        <f>'ABA'!AA4+'BK'!AA4+'BW'!AA4+'CED'!AA4+'HAB'!AA4+'HB'!AA4+'OD'!AA4+'HDN'!AA4+'KIN'!AA4+'LE'!AA4+'MER'!AA4+'NDN'!AA4+'SALT'!AA4+'SDN'!AA4+'SST'!AA4+'WH'!AA4+'FH'!AA4</f>
        <v/>
      </c>
      <c r="AB4" s="9">
        <f>'ABA'!AB4+'BK'!AB4+'BW'!AB4+'CED'!AB4+'HAB'!AB4+'HB'!AB4+'OD'!AB4+'HDN'!AB4+'KIN'!AB4+'LE'!AB4+'MER'!AB4+'NDN'!AB4+'SALT'!AB4+'SDN'!AB4+'SST'!AB4+'WH'!AB4+'FH'!AB4</f>
        <v/>
      </c>
      <c r="AC4" s="9">
        <f>'ABA'!AC4+'BK'!AC4+'BW'!AC4+'CED'!AC4+'HAB'!AC4+'HB'!AC4+'OD'!AC4+'HDN'!AC4+'KIN'!AC4+'LE'!AC4+'MER'!AC4+'NDN'!AC4+'SALT'!AC4+'SDN'!AC4+'SST'!AC4+'WH'!AC4+'FH'!AC4</f>
        <v/>
      </c>
      <c r="AD4" s="9">
        <f>'ABA'!AD4+'BK'!AD4+'BW'!AD4+'CED'!AD4+'HAB'!AD4+'HB'!AD4+'OD'!AD4+'HDN'!AD4+'KIN'!AD4+'LE'!AD4+'MER'!AD4+'NDN'!AD4+'SALT'!AD4+'SDN'!AD4+'SST'!AD4+'WH'!AD4+'FH'!AD4</f>
        <v/>
      </c>
      <c r="AE4" s="9">
        <f>'ABA'!AE4+'BK'!AE4+'BW'!AE4+'CED'!AE4+'HAB'!AE4+'HB'!AE4+'OD'!AE4+'HDN'!AE4+'KIN'!AE4+'LE'!AE4+'MER'!AE4+'NDN'!AE4+'SALT'!AE4+'SDN'!AE4+'SST'!AE4+'WH'!AE4+'FH'!AE4</f>
        <v/>
      </c>
      <c r="AF4" s="9">
        <f>'ABA'!AF4+'BK'!AF4+'BW'!AF4+'CED'!AF4+'HAB'!AF4+'HB'!AF4+'OD'!AF4+'HDN'!AF4+'KIN'!AF4+'LE'!AF4+'MER'!AF4+'NDN'!AF4+'SALT'!AF4+'SDN'!AF4+'SST'!AF4+'WH'!AF4+'FH'!AF4</f>
        <v/>
      </c>
      <c r="AG4" s="9">
        <f>'ABA'!AG4+'BK'!AG4+'BW'!AG4+'CED'!AG4+'HAB'!AG4+'HB'!AG4+'OD'!AG4+'HDN'!AG4+'KIN'!AG4+'LE'!AG4+'MER'!AG4+'NDN'!AG4+'SALT'!AG4+'SDN'!AG4+'SST'!AG4+'WH'!AG4+'FH'!AG4</f>
        <v/>
      </c>
      <c r="AH4" s="9">
        <f>'ABA'!AH4+'BK'!AH4+'BW'!AH4+'CED'!AH4+'HAB'!AH4+'HB'!AH4+'OD'!AH4+'HDN'!AH4+'KIN'!AH4+'LE'!AH4+'MER'!AH4+'NDN'!AH4+'SALT'!AH4+'SDN'!AH4+'SST'!AH4+'WH'!AH4+'FH'!AH4</f>
        <v/>
      </c>
      <c r="AI4" s="9">
        <f>'ABA'!AI4+'BK'!AI4+'BW'!AI4+'CED'!AI4+'HAB'!AI4+'HB'!AI4+'OD'!AI4+'HDN'!AI4+'KIN'!AI4+'LE'!AI4+'MER'!AI4+'NDN'!AI4+'SALT'!AI4+'SDN'!AI4+'SST'!AI4+'WH'!AI4+'FH'!AI4</f>
        <v/>
      </c>
      <c r="AJ4" s="9">
        <f>'ABA'!AJ4+'BK'!AJ4+'BW'!AJ4+'CED'!AJ4+'HAB'!AJ4+'HB'!AJ4+'OD'!AJ4+'HDN'!AJ4+'KIN'!AJ4+'LE'!AJ4+'MER'!AJ4+'NDN'!AJ4+'SALT'!AJ4+'SDN'!AJ4+'SST'!AJ4+'WH'!AJ4+'FH'!AJ4</f>
        <v/>
      </c>
      <c r="AK4" s="11">
        <f>IF(N4&lt;&gt;0,(AB4-N4)/ABS(N4),0)</f>
        <v/>
      </c>
      <c r="AL4" s="11">
        <f>IF(AB4&lt;&gt;0,(AJ4-AB4)/ABS(AB4),0)</f>
        <v/>
      </c>
    </row>
    <row r="5" ht="13" customHeight="1">
      <c r="A5" s="8" t="inlineStr">
        <is>
          <t xml:space="preserve">    EEEF Embedded</t>
        </is>
      </c>
      <c r="B5" s="9">
        <f>'ABA'!B5+'BK'!B5+'BW'!B5+'CED'!B5+'HAB'!B5+'HB'!B5+'OD'!B5+'HDN'!B5+'KIN'!B5+'LE'!B5+'MER'!B5+'NDN'!B5+'SALT'!B5+'SDN'!B5+'SST'!B5+'WH'!B5+'FH'!B5</f>
        <v/>
      </c>
      <c r="C5" s="9">
        <f>'ABA'!C5+'BK'!C5+'BW'!C5+'CED'!C5+'HAB'!C5+'HB'!C5+'OD'!C5+'HDN'!C5+'KIN'!C5+'LE'!C5+'MER'!C5+'NDN'!C5+'SALT'!C5+'SDN'!C5+'SST'!C5+'WH'!C5+'FH'!C5</f>
        <v/>
      </c>
      <c r="D5" s="9">
        <f>'ABA'!D5+'BK'!D5+'BW'!D5+'CED'!D5+'HAB'!D5+'HB'!D5+'OD'!D5+'HDN'!D5+'KIN'!D5+'LE'!D5+'MER'!D5+'NDN'!D5+'SALT'!D5+'SDN'!D5+'SST'!D5+'WH'!D5+'FH'!D5</f>
        <v/>
      </c>
      <c r="E5" s="9">
        <f>'ABA'!E5+'BK'!E5+'BW'!E5+'CED'!E5+'HAB'!E5+'HB'!E5+'OD'!E5+'HDN'!E5+'KIN'!E5+'LE'!E5+'MER'!E5+'NDN'!E5+'SALT'!E5+'SDN'!E5+'SST'!E5+'WH'!E5+'FH'!E5</f>
        <v/>
      </c>
      <c r="F5" s="9">
        <f>'ABA'!F5+'BK'!F5+'BW'!F5+'CED'!F5+'HAB'!F5+'HB'!F5+'OD'!F5+'HDN'!F5+'KIN'!F5+'LE'!F5+'MER'!F5+'NDN'!F5+'SALT'!F5+'SDN'!F5+'SST'!F5+'WH'!F5+'FH'!F5</f>
        <v/>
      </c>
      <c r="G5" s="9">
        <f>'ABA'!G5+'BK'!G5+'BW'!G5+'CED'!G5+'HAB'!G5+'HB'!G5+'OD'!G5+'HDN'!G5+'KIN'!G5+'LE'!G5+'MER'!G5+'NDN'!G5+'SALT'!G5+'SDN'!G5+'SST'!G5+'WH'!G5+'FH'!G5</f>
        <v/>
      </c>
      <c r="H5" s="9">
        <f>'ABA'!H5+'BK'!H5+'BW'!H5+'CED'!H5+'HAB'!H5+'HB'!H5+'OD'!H5+'HDN'!H5+'KIN'!H5+'LE'!H5+'MER'!H5+'NDN'!H5+'SALT'!H5+'SDN'!H5+'SST'!H5+'WH'!H5+'FH'!H5</f>
        <v/>
      </c>
      <c r="I5" s="9">
        <f>'ABA'!I5+'BK'!I5+'BW'!I5+'CED'!I5+'HAB'!I5+'HB'!I5+'OD'!I5+'HDN'!I5+'KIN'!I5+'LE'!I5+'MER'!I5+'NDN'!I5+'SALT'!I5+'SDN'!I5+'SST'!I5+'WH'!I5+'FH'!I5</f>
        <v/>
      </c>
      <c r="J5" s="9">
        <f>'ABA'!J5+'BK'!J5+'BW'!J5+'CED'!J5+'HAB'!J5+'HB'!J5+'OD'!J5+'HDN'!J5+'KIN'!J5+'LE'!J5+'MER'!J5+'NDN'!J5+'SALT'!J5+'SDN'!J5+'SST'!J5+'WH'!J5+'FH'!J5</f>
        <v/>
      </c>
      <c r="K5" s="9">
        <f>'ABA'!K5+'BK'!K5+'BW'!K5+'CED'!K5+'HAB'!K5+'HB'!K5+'OD'!K5+'HDN'!K5+'KIN'!K5+'LE'!K5+'MER'!K5+'NDN'!K5+'SALT'!K5+'SDN'!K5+'SST'!K5+'WH'!K5+'FH'!K5</f>
        <v/>
      </c>
      <c r="L5" s="9">
        <f>'ABA'!L5+'BK'!L5+'BW'!L5+'CED'!L5+'HAB'!L5+'HB'!L5+'OD'!L5+'HDN'!L5+'KIN'!L5+'LE'!L5+'MER'!L5+'NDN'!L5+'SALT'!L5+'SDN'!L5+'SST'!L5+'WH'!L5+'FH'!L5</f>
        <v/>
      </c>
      <c r="M5" s="9">
        <f>'ABA'!M5+'BK'!M5+'BW'!M5+'CED'!M5+'HAB'!M5+'HB'!M5+'OD'!M5+'HDN'!M5+'KIN'!M5+'LE'!M5+'MER'!M5+'NDN'!M5+'SALT'!M5+'SDN'!M5+'SST'!M5+'WH'!M5+'FH'!M5</f>
        <v/>
      </c>
      <c r="N5" s="9">
        <f>'ABA'!N5+'BK'!N5+'BW'!N5+'CED'!N5+'HAB'!N5+'HB'!N5+'OD'!N5+'HDN'!N5+'KIN'!N5+'LE'!N5+'MER'!N5+'NDN'!N5+'SALT'!N5+'SDN'!N5+'SST'!N5+'WH'!N5+'FH'!N5</f>
        <v/>
      </c>
      <c r="O5" s="9">
        <f>'ABA'!O5+'BK'!O5+'BW'!O5+'CED'!O5+'HAB'!O5+'HB'!O5+'OD'!O5+'HDN'!O5+'KIN'!O5+'LE'!O5+'MER'!O5+'NDN'!O5+'SALT'!O5+'SDN'!O5+'SST'!O5+'WH'!O5+'FH'!O5</f>
        <v/>
      </c>
      <c r="P5" s="9">
        <f>'ABA'!P5+'BK'!P5+'BW'!P5+'CED'!P5+'HAB'!P5+'HB'!P5+'OD'!P5+'HDN'!P5+'KIN'!P5+'LE'!P5+'MER'!P5+'NDN'!P5+'SALT'!P5+'SDN'!P5+'SST'!P5+'WH'!P5+'FH'!P5</f>
        <v/>
      </c>
      <c r="Q5" s="9">
        <f>'ABA'!Q5+'BK'!Q5+'BW'!Q5+'CED'!Q5+'HAB'!Q5+'HB'!Q5+'OD'!Q5+'HDN'!Q5+'KIN'!Q5+'LE'!Q5+'MER'!Q5+'NDN'!Q5+'SALT'!Q5+'SDN'!Q5+'SST'!Q5+'WH'!Q5+'FH'!Q5</f>
        <v/>
      </c>
      <c r="R5" s="9">
        <f>'ABA'!R5+'BK'!R5+'BW'!R5+'CED'!R5+'HAB'!R5+'HB'!R5+'OD'!R5+'HDN'!R5+'KIN'!R5+'LE'!R5+'MER'!R5+'NDN'!R5+'SALT'!R5+'SDN'!R5+'SST'!R5+'WH'!R5+'FH'!R5</f>
        <v/>
      </c>
      <c r="S5" s="9">
        <f>'ABA'!S5+'BK'!S5+'BW'!S5+'CED'!S5+'HAB'!S5+'HB'!S5+'OD'!S5+'HDN'!S5+'KIN'!S5+'LE'!S5+'MER'!S5+'NDN'!S5+'SALT'!S5+'SDN'!S5+'SST'!S5+'WH'!S5+'FH'!S5</f>
        <v/>
      </c>
      <c r="T5" s="9">
        <f>'ABA'!T5+'BK'!T5+'BW'!T5+'CED'!T5+'HAB'!T5+'HB'!T5+'OD'!T5+'HDN'!T5+'KIN'!T5+'LE'!T5+'MER'!T5+'NDN'!T5+'SALT'!T5+'SDN'!T5+'SST'!T5+'WH'!T5+'FH'!T5</f>
        <v/>
      </c>
      <c r="U5" s="9">
        <f>'ABA'!U5+'BK'!U5+'BW'!U5+'CED'!U5+'HAB'!U5+'HB'!U5+'OD'!U5+'HDN'!U5+'KIN'!U5+'LE'!U5+'MER'!U5+'NDN'!U5+'SALT'!U5+'SDN'!U5+'SST'!U5+'WH'!U5+'FH'!U5</f>
        <v/>
      </c>
      <c r="V5" s="9">
        <f>'ABA'!V5+'BK'!V5+'BW'!V5+'CED'!V5+'HAB'!V5+'HB'!V5+'OD'!V5+'HDN'!V5+'KIN'!V5+'LE'!V5+'MER'!V5+'NDN'!V5+'SALT'!V5+'SDN'!V5+'SST'!V5+'WH'!V5+'FH'!V5</f>
        <v/>
      </c>
      <c r="W5" s="9">
        <f>'ABA'!W5+'BK'!W5+'BW'!W5+'CED'!W5+'HAB'!W5+'HB'!W5+'OD'!W5+'HDN'!W5+'KIN'!W5+'LE'!W5+'MER'!W5+'NDN'!W5+'SALT'!W5+'SDN'!W5+'SST'!W5+'WH'!W5+'FH'!W5</f>
        <v/>
      </c>
      <c r="X5" s="9">
        <f>'ABA'!X5+'BK'!X5+'BW'!X5+'CED'!X5+'HAB'!X5+'HB'!X5+'OD'!X5+'HDN'!X5+'KIN'!X5+'LE'!X5+'MER'!X5+'NDN'!X5+'SALT'!X5+'SDN'!X5+'SST'!X5+'WH'!X5+'FH'!X5</f>
        <v/>
      </c>
      <c r="Y5" s="9">
        <f>'ABA'!Y5+'BK'!Y5+'BW'!Y5+'CED'!Y5+'HAB'!Y5+'HB'!Y5+'OD'!Y5+'HDN'!Y5+'KIN'!Y5+'LE'!Y5+'MER'!Y5+'NDN'!Y5+'SALT'!Y5+'SDN'!Y5+'SST'!Y5+'WH'!Y5+'FH'!Y5</f>
        <v/>
      </c>
      <c r="Z5" s="9">
        <f>'ABA'!Z5+'BK'!Z5+'BW'!Z5+'CED'!Z5+'HAB'!Z5+'HB'!Z5+'OD'!Z5+'HDN'!Z5+'KIN'!Z5+'LE'!Z5+'MER'!Z5+'NDN'!Z5+'SALT'!Z5+'SDN'!Z5+'SST'!Z5+'WH'!Z5+'FH'!Z5</f>
        <v/>
      </c>
      <c r="AA5" s="9">
        <f>'ABA'!AA5+'BK'!AA5+'BW'!AA5+'CED'!AA5+'HAB'!AA5+'HB'!AA5+'OD'!AA5+'HDN'!AA5+'KIN'!AA5+'LE'!AA5+'MER'!AA5+'NDN'!AA5+'SALT'!AA5+'SDN'!AA5+'SST'!AA5+'WH'!AA5+'FH'!AA5</f>
        <v/>
      </c>
      <c r="AB5" s="9">
        <f>'ABA'!AB5+'BK'!AB5+'BW'!AB5+'CED'!AB5+'HAB'!AB5+'HB'!AB5+'OD'!AB5+'HDN'!AB5+'KIN'!AB5+'LE'!AB5+'MER'!AB5+'NDN'!AB5+'SALT'!AB5+'SDN'!AB5+'SST'!AB5+'WH'!AB5+'FH'!AB5</f>
        <v/>
      </c>
      <c r="AC5" s="9">
        <f>'ABA'!AC5+'BK'!AC5+'BW'!AC5+'CED'!AC5+'HAB'!AC5+'HB'!AC5+'OD'!AC5+'HDN'!AC5+'KIN'!AC5+'LE'!AC5+'MER'!AC5+'NDN'!AC5+'SALT'!AC5+'SDN'!AC5+'SST'!AC5+'WH'!AC5+'FH'!AC5</f>
        <v/>
      </c>
      <c r="AD5" s="9">
        <f>'ABA'!AD5+'BK'!AD5+'BW'!AD5+'CED'!AD5+'HAB'!AD5+'HB'!AD5+'OD'!AD5+'HDN'!AD5+'KIN'!AD5+'LE'!AD5+'MER'!AD5+'NDN'!AD5+'SALT'!AD5+'SDN'!AD5+'SST'!AD5+'WH'!AD5+'FH'!AD5</f>
        <v/>
      </c>
      <c r="AE5" s="9">
        <f>'ABA'!AE5+'BK'!AE5+'BW'!AE5+'CED'!AE5+'HAB'!AE5+'HB'!AE5+'OD'!AE5+'HDN'!AE5+'KIN'!AE5+'LE'!AE5+'MER'!AE5+'NDN'!AE5+'SALT'!AE5+'SDN'!AE5+'SST'!AE5+'WH'!AE5+'FH'!AE5</f>
        <v/>
      </c>
      <c r="AF5" s="9">
        <f>'ABA'!AF5+'BK'!AF5+'BW'!AF5+'CED'!AF5+'HAB'!AF5+'HB'!AF5+'OD'!AF5+'HDN'!AF5+'KIN'!AF5+'LE'!AF5+'MER'!AF5+'NDN'!AF5+'SALT'!AF5+'SDN'!AF5+'SST'!AF5+'WH'!AF5+'FH'!AF5</f>
        <v/>
      </c>
      <c r="AG5" s="9">
        <f>'ABA'!AG5+'BK'!AG5+'BW'!AG5+'CED'!AG5+'HAB'!AG5+'HB'!AG5+'OD'!AG5+'HDN'!AG5+'KIN'!AG5+'LE'!AG5+'MER'!AG5+'NDN'!AG5+'SALT'!AG5+'SDN'!AG5+'SST'!AG5+'WH'!AG5+'FH'!AG5</f>
        <v/>
      </c>
      <c r="AH5" s="9">
        <f>'ABA'!AH5+'BK'!AH5+'BW'!AH5+'CED'!AH5+'HAB'!AH5+'HB'!AH5+'OD'!AH5+'HDN'!AH5+'KIN'!AH5+'LE'!AH5+'MER'!AH5+'NDN'!AH5+'SALT'!AH5+'SDN'!AH5+'SST'!AH5+'WH'!AH5+'FH'!AH5</f>
        <v/>
      </c>
      <c r="AI5" s="9">
        <f>'ABA'!AI5+'BK'!AI5+'BW'!AI5+'CED'!AI5+'HAB'!AI5+'HB'!AI5+'OD'!AI5+'HDN'!AI5+'KIN'!AI5+'LE'!AI5+'MER'!AI5+'NDN'!AI5+'SALT'!AI5+'SDN'!AI5+'SST'!AI5+'WH'!AI5+'FH'!AI5</f>
        <v/>
      </c>
      <c r="AJ5" s="9">
        <f>'ABA'!AJ5+'BK'!AJ5+'BW'!AJ5+'CED'!AJ5+'HAB'!AJ5+'HB'!AJ5+'OD'!AJ5+'HDN'!AJ5+'KIN'!AJ5+'LE'!AJ5+'MER'!AJ5+'NDN'!AJ5+'SALT'!AJ5+'SDN'!AJ5+'SST'!AJ5+'WH'!AJ5+'FH'!AJ5</f>
        <v/>
      </c>
      <c r="AK5" s="11">
        <f>IF(N5&lt;&gt;0,(AB5-N5)/ABS(N5),0)</f>
        <v/>
      </c>
      <c r="AL5" s="11">
        <f>IF(AB5&lt;&gt;0,(AJ5-AB5)/ABS(AB5),0)</f>
        <v/>
      </c>
    </row>
    <row r="6" ht="13" customHeight="1">
      <c r="A6" s="8" t="inlineStr">
        <is>
          <t xml:space="preserve">    Other Income</t>
        </is>
      </c>
      <c r="B6" s="9">
        <f>'ABA'!B6+'BK'!B6+'BW'!B6+'CED'!B6+'HAB'!B6+'HB'!B6+'OD'!B6+'HDN'!B6+'KIN'!B6+'LE'!B6+'MER'!B6+'NDN'!B6+'SALT'!B6+'SDN'!B6+'SST'!B6+'WH'!B6+'FH'!B6</f>
        <v/>
      </c>
      <c r="C6" s="9">
        <f>'ABA'!C6+'BK'!C6+'BW'!C6+'CED'!C6+'HAB'!C6+'HB'!C6+'OD'!C6+'HDN'!C6+'KIN'!C6+'LE'!C6+'MER'!C6+'NDN'!C6+'SALT'!C6+'SDN'!C6+'SST'!C6+'WH'!C6+'FH'!C6</f>
        <v/>
      </c>
      <c r="D6" s="9">
        <f>'ABA'!D6+'BK'!D6+'BW'!D6+'CED'!D6+'HAB'!D6+'HB'!D6+'OD'!D6+'HDN'!D6+'KIN'!D6+'LE'!D6+'MER'!D6+'NDN'!D6+'SALT'!D6+'SDN'!D6+'SST'!D6+'WH'!D6+'FH'!D6</f>
        <v/>
      </c>
      <c r="E6" s="9">
        <f>'ABA'!E6+'BK'!E6+'BW'!E6+'CED'!E6+'HAB'!E6+'HB'!E6+'OD'!E6+'HDN'!E6+'KIN'!E6+'LE'!E6+'MER'!E6+'NDN'!E6+'SALT'!E6+'SDN'!E6+'SST'!E6+'WH'!E6+'FH'!E6</f>
        <v/>
      </c>
      <c r="F6" s="9">
        <f>'ABA'!F6+'BK'!F6+'BW'!F6+'CED'!F6+'HAB'!F6+'HB'!F6+'OD'!F6+'HDN'!F6+'KIN'!F6+'LE'!F6+'MER'!F6+'NDN'!F6+'SALT'!F6+'SDN'!F6+'SST'!F6+'WH'!F6+'FH'!F6</f>
        <v/>
      </c>
      <c r="G6" s="9">
        <f>'ABA'!G6+'BK'!G6+'BW'!G6+'CED'!G6+'HAB'!G6+'HB'!G6+'OD'!G6+'HDN'!G6+'KIN'!G6+'LE'!G6+'MER'!G6+'NDN'!G6+'SALT'!G6+'SDN'!G6+'SST'!G6+'WH'!G6+'FH'!G6</f>
        <v/>
      </c>
      <c r="H6" s="9">
        <f>'ABA'!H6+'BK'!H6+'BW'!H6+'CED'!H6+'HAB'!H6+'HB'!H6+'OD'!H6+'HDN'!H6+'KIN'!H6+'LE'!H6+'MER'!H6+'NDN'!H6+'SALT'!H6+'SDN'!H6+'SST'!H6+'WH'!H6+'FH'!H6</f>
        <v/>
      </c>
      <c r="I6" s="9">
        <f>'ABA'!I6+'BK'!I6+'BW'!I6+'CED'!I6+'HAB'!I6+'HB'!I6+'OD'!I6+'HDN'!I6+'KIN'!I6+'LE'!I6+'MER'!I6+'NDN'!I6+'SALT'!I6+'SDN'!I6+'SST'!I6+'WH'!I6+'FH'!I6</f>
        <v/>
      </c>
      <c r="J6" s="9">
        <f>'ABA'!J6+'BK'!J6+'BW'!J6+'CED'!J6+'HAB'!J6+'HB'!J6+'OD'!J6+'HDN'!J6+'KIN'!J6+'LE'!J6+'MER'!J6+'NDN'!J6+'SALT'!J6+'SDN'!J6+'SST'!J6+'WH'!J6+'FH'!J6</f>
        <v/>
      </c>
      <c r="K6" s="9">
        <f>'ABA'!K6+'BK'!K6+'BW'!K6+'CED'!K6+'HAB'!K6+'HB'!K6+'OD'!K6+'HDN'!K6+'KIN'!K6+'LE'!K6+'MER'!K6+'NDN'!K6+'SALT'!K6+'SDN'!K6+'SST'!K6+'WH'!K6+'FH'!K6</f>
        <v/>
      </c>
      <c r="L6" s="9">
        <f>'ABA'!L6+'BK'!L6+'BW'!L6+'CED'!L6+'HAB'!L6+'HB'!L6+'OD'!L6+'HDN'!L6+'KIN'!L6+'LE'!L6+'MER'!L6+'NDN'!L6+'SALT'!L6+'SDN'!L6+'SST'!L6+'WH'!L6+'FH'!L6</f>
        <v/>
      </c>
      <c r="M6" s="9">
        <f>'ABA'!M6+'BK'!M6+'BW'!M6+'CED'!M6+'HAB'!M6+'HB'!M6+'OD'!M6+'HDN'!M6+'KIN'!M6+'LE'!M6+'MER'!M6+'NDN'!M6+'SALT'!M6+'SDN'!M6+'SST'!M6+'WH'!M6+'FH'!M6</f>
        <v/>
      </c>
      <c r="N6" s="9">
        <f>'ABA'!N6+'BK'!N6+'BW'!N6+'CED'!N6+'HAB'!N6+'HB'!N6+'OD'!N6+'HDN'!N6+'KIN'!N6+'LE'!N6+'MER'!N6+'NDN'!N6+'SALT'!N6+'SDN'!N6+'SST'!N6+'WH'!N6+'FH'!N6</f>
        <v/>
      </c>
      <c r="O6" s="9">
        <f>'ABA'!O6+'BK'!O6+'BW'!O6+'CED'!O6+'HAB'!O6+'HB'!O6+'OD'!O6+'HDN'!O6+'KIN'!O6+'LE'!O6+'MER'!O6+'NDN'!O6+'SALT'!O6+'SDN'!O6+'SST'!O6+'WH'!O6+'FH'!O6</f>
        <v/>
      </c>
      <c r="P6" s="9">
        <f>'ABA'!P6+'BK'!P6+'BW'!P6+'CED'!P6+'HAB'!P6+'HB'!P6+'OD'!P6+'HDN'!P6+'KIN'!P6+'LE'!P6+'MER'!P6+'NDN'!P6+'SALT'!P6+'SDN'!P6+'SST'!P6+'WH'!P6+'FH'!P6</f>
        <v/>
      </c>
      <c r="Q6" s="9">
        <f>'ABA'!Q6+'BK'!Q6+'BW'!Q6+'CED'!Q6+'HAB'!Q6+'HB'!Q6+'OD'!Q6+'HDN'!Q6+'KIN'!Q6+'LE'!Q6+'MER'!Q6+'NDN'!Q6+'SALT'!Q6+'SDN'!Q6+'SST'!Q6+'WH'!Q6+'FH'!Q6</f>
        <v/>
      </c>
      <c r="R6" s="9">
        <f>'ABA'!R6+'BK'!R6+'BW'!R6+'CED'!R6+'HAB'!R6+'HB'!R6+'OD'!R6+'HDN'!R6+'KIN'!R6+'LE'!R6+'MER'!R6+'NDN'!R6+'SALT'!R6+'SDN'!R6+'SST'!R6+'WH'!R6+'FH'!R6</f>
        <v/>
      </c>
      <c r="S6" s="9">
        <f>'ABA'!S6+'BK'!S6+'BW'!S6+'CED'!S6+'HAB'!S6+'HB'!S6+'OD'!S6+'HDN'!S6+'KIN'!S6+'LE'!S6+'MER'!S6+'NDN'!S6+'SALT'!S6+'SDN'!S6+'SST'!S6+'WH'!S6+'FH'!S6</f>
        <v/>
      </c>
      <c r="T6" s="9">
        <f>'ABA'!T6+'BK'!T6+'BW'!T6+'CED'!T6+'HAB'!T6+'HB'!T6+'OD'!T6+'HDN'!T6+'KIN'!T6+'LE'!T6+'MER'!T6+'NDN'!T6+'SALT'!T6+'SDN'!T6+'SST'!T6+'WH'!T6+'FH'!T6</f>
        <v/>
      </c>
      <c r="U6" s="9">
        <f>'ABA'!U6+'BK'!U6+'BW'!U6+'CED'!U6+'HAB'!U6+'HB'!U6+'OD'!U6+'HDN'!U6+'KIN'!U6+'LE'!U6+'MER'!U6+'NDN'!U6+'SALT'!U6+'SDN'!U6+'SST'!U6+'WH'!U6+'FH'!U6</f>
        <v/>
      </c>
      <c r="V6" s="9">
        <f>'ABA'!V6+'BK'!V6+'BW'!V6+'CED'!V6+'HAB'!V6+'HB'!V6+'OD'!V6+'HDN'!V6+'KIN'!V6+'LE'!V6+'MER'!V6+'NDN'!V6+'SALT'!V6+'SDN'!V6+'SST'!V6+'WH'!V6+'FH'!V6</f>
        <v/>
      </c>
      <c r="W6" s="9">
        <f>'ABA'!W6+'BK'!W6+'BW'!W6+'CED'!W6+'HAB'!W6+'HB'!W6+'OD'!W6+'HDN'!W6+'KIN'!W6+'LE'!W6+'MER'!W6+'NDN'!W6+'SALT'!W6+'SDN'!W6+'SST'!W6+'WH'!W6+'FH'!W6</f>
        <v/>
      </c>
      <c r="X6" s="9">
        <f>'ABA'!X6+'BK'!X6+'BW'!X6+'CED'!X6+'HAB'!X6+'HB'!X6+'OD'!X6+'HDN'!X6+'KIN'!X6+'LE'!X6+'MER'!X6+'NDN'!X6+'SALT'!X6+'SDN'!X6+'SST'!X6+'WH'!X6+'FH'!X6</f>
        <v/>
      </c>
      <c r="Y6" s="9">
        <f>'ABA'!Y6+'BK'!Y6+'BW'!Y6+'CED'!Y6+'HAB'!Y6+'HB'!Y6+'OD'!Y6+'HDN'!Y6+'KIN'!Y6+'LE'!Y6+'MER'!Y6+'NDN'!Y6+'SALT'!Y6+'SDN'!Y6+'SST'!Y6+'WH'!Y6+'FH'!Y6</f>
        <v/>
      </c>
      <c r="Z6" s="9">
        <f>'ABA'!Z6+'BK'!Z6+'BW'!Z6+'CED'!Z6+'HAB'!Z6+'HB'!Z6+'OD'!Z6+'HDN'!Z6+'KIN'!Z6+'LE'!Z6+'MER'!Z6+'NDN'!Z6+'SALT'!Z6+'SDN'!Z6+'SST'!Z6+'WH'!Z6+'FH'!Z6</f>
        <v/>
      </c>
      <c r="AA6" s="9">
        <f>'ABA'!AA6+'BK'!AA6+'BW'!AA6+'CED'!AA6+'HAB'!AA6+'HB'!AA6+'OD'!AA6+'HDN'!AA6+'KIN'!AA6+'LE'!AA6+'MER'!AA6+'NDN'!AA6+'SALT'!AA6+'SDN'!AA6+'SST'!AA6+'WH'!AA6+'FH'!AA6</f>
        <v/>
      </c>
      <c r="AB6" s="9">
        <f>'ABA'!AB6+'BK'!AB6+'BW'!AB6+'CED'!AB6+'HAB'!AB6+'HB'!AB6+'OD'!AB6+'HDN'!AB6+'KIN'!AB6+'LE'!AB6+'MER'!AB6+'NDN'!AB6+'SALT'!AB6+'SDN'!AB6+'SST'!AB6+'WH'!AB6+'FH'!AB6</f>
        <v/>
      </c>
      <c r="AC6" s="9">
        <f>'ABA'!AC6+'BK'!AC6+'BW'!AC6+'CED'!AC6+'HAB'!AC6+'HB'!AC6+'OD'!AC6+'HDN'!AC6+'KIN'!AC6+'LE'!AC6+'MER'!AC6+'NDN'!AC6+'SALT'!AC6+'SDN'!AC6+'SST'!AC6+'WH'!AC6+'FH'!AC6</f>
        <v/>
      </c>
      <c r="AD6" s="9">
        <f>'ABA'!AD6+'BK'!AD6+'BW'!AD6+'CED'!AD6+'HAB'!AD6+'HB'!AD6+'OD'!AD6+'HDN'!AD6+'KIN'!AD6+'LE'!AD6+'MER'!AD6+'NDN'!AD6+'SALT'!AD6+'SDN'!AD6+'SST'!AD6+'WH'!AD6+'FH'!AD6</f>
        <v/>
      </c>
      <c r="AE6" s="9">
        <f>'ABA'!AE6+'BK'!AE6+'BW'!AE6+'CED'!AE6+'HAB'!AE6+'HB'!AE6+'OD'!AE6+'HDN'!AE6+'KIN'!AE6+'LE'!AE6+'MER'!AE6+'NDN'!AE6+'SALT'!AE6+'SDN'!AE6+'SST'!AE6+'WH'!AE6+'FH'!AE6</f>
        <v/>
      </c>
      <c r="AF6" s="9">
        <f>'ABA'!AF6+'BK'!AF6+'BW'!AF6+'CED'!AF6+'HAB'!AF6+'HB'!AF6+'OD'!AF6+'HDN'!AF6+'KIN'!AF6+'LE'!AF6+'MER'!AF6+'NDN'!AF6+'SALT'!AF6+'SDN'!AF6+'SST'!AF6+'WH'!AF6+'FH'!AF6</f>
        <v/>
      </c>
      <c r="AG6" s="9">
        <f>'ABA'!AG6+'BK'!AG6+'BW'!AG6+'CED'!AG6+'HAB'!AG6+'HB'!AG6+'OD'!AG6+'HDN'!AG6+'KIN'!AG6+'LE'!AG6+'MER'!AG6+'NDN'!AG6+'SALT'!AG6+'SDN'!AG6+'SST'!AG6+'WH'!AG6+'FH'!AG6</f>
        <v/>
      </c>
      <c r="AH6" s="9">
        <f>'ABA'!AH6+'BK'!AH6+'BW'!AH6+'CED'!AH6+'HAB'!AH6+'HB'!AH6+'OD'!AH6+'HDN'!AH6+'KIN'!AH6+'LE'!AH6+'MER'!AH6+'NDN'!AH6+'SALT'!AH6+'SDN'!AH6+'SST'!AH6+'WH'!AH6+'FH'!AH6</f>
        <v/>
      </c>
      <c r="AI6" s="9">
        <f>'ABA'!AI6+'BK'!AI6+'BW'!AI6+'CED'!AI6+'HAB'!AI6+'HB'!AI6+'OD'!AI6+'HDN'!AI6+'KIN'!AI6+'LE'!AI6+'MER'!AI6+'NDN'!AI6+'SALT'!AI6+'SDN'!AI6+'SST'!AI6+'WH'!AI6+'FH'!AI6</f>
        <v/>
      </c>
      <c r="AJ6" s="9">
        <f>'ABA'!AJ6+'BK'!AJ6+'BW'!AJ6+'CED'!AJ6+'HAB'!AJ6+'HB'!AJ6+'OD'!AJ6+'HDN'!AJ6+'KIN'!AJ6+'LE'!AJ6+'MER'!AJ6+'NDN'!AJ6+'SALT'!AJ6+'SDN'!AJ6+'SST'!AJ6+'WH'!AJ6+'FH'!AJ6</f>
        <v/>
      </c>
      <c r="AK6" s="11">
        <f>IF(N6&lt;&gt;0,(AB6-N6)/ABS(N6),0)</f>
        <v/>
      </c>
      <c r="AL6" s="11">
        <f>IF(AB6&lt;&gt;0,(AJ6-AB6)/ABS(AB6),0)</f>
        <v/>
      </c>
    </row>
    <row r="7" ht="13" customHeight="1">
      <c r="A7" s="12" t="inlineStr">
        <is>
          <t>Total Income</t>
        </is>
      </c>
      <c r="B7" s="13">
        <f>'ABA'!B7+'BK'!B7+'BW'!B7+'CED'!B7+'HAB'!B7+'HB'!B7+'OD'!B7+'HDN'!B7+'KIN'!B7+'LE'!B7+'MER'!B7+'NDN'!B7+'SALT'!B7+'SDN'!B7+'SST'!B7+'WH'!B7+'FH'!B7</f>
        <v/>
      </c>
      <c r="C7" s="13">
        <f>'ABA'!C7+'BK'!C7+'BW'!C7+'CED'!C7+'HAB'!C7+'HB'!C7+'OD'!C7+'HDN'!C7+'KIN'!C7+'LE'!C7+'MER'!C7+'NDN'!C7+'SALT'!C7+'SDN'!C7+'SST'!C7+'WH'!C7+'FH'!C7</f>
        <v/>
      </c>
      <c r="D7" s="13">
        <f>'ABA'!D7+'BK'!D7+'BW'!D7+'CED'!D7+'HAB'!D7+'HB'!D7+'OD'!D7+'HDN'!D7+'KIN'!D7+'LE'!D7+'MER'!D7+'NDN'!D7+'SALT'!D7+'SDN'!D7+'SST'!D7+'WH'!D7+'FH'!D7</f>
        <v/>
      </c>
      <c r="E7" s="13">
        <f>'ABA'!E7+'BK'!E7+'BW'!E7+'CED'!E7+'HAB'!E7+'HB'!E7+'OD'!E7+'HDN'!E7+'KIN'!E7+'LE'!E7+'MER'!E7+'NDN'!E7+'SALT'!E7+'SDN'!E7+'SST'!E7+'WH'!E7+'FH'!E7</f>
        <v/>
      </c>
      <c r="F7" s="13">
        <f>'ABA'!F7+'BK'!F7+'BW'!F7+'CED'!F7+'HAB'!F7+'HB'!F7+'OD'!F7+'HDN'!F7+'KIN'!F7+'LE'!F7+'MER'!F7+'NDN'!F7+'SALT'!F7+'SDN'!F7+'SST'!F7+'WH'!F7+'FH'!F7</f>
        <v/>
      </c>
      <c r="G7" s="13">
        <f>'ABA'!G7+'BK'!G7+'BW'!G7+'CED'!G7+'HAB'!G7+'HB'!G7+'OD'!G7+'HDN'!G7+'KIN'!G7+'LE'!G7+'MER'!G7+'NDN'!G7+'SALT'!G7+'SDN'!G7+'SST'!G7+'WH'!G7+'FH'!G7</f>
        <v/>
      </c>
      <c r="H7" s="13">
        <f>'ABA'!H7+'BK'!H7+'BW'!H7+'CED'!H7+'HAB'!H7+'HB'!H7+'OD'!H7+'HDN'!H7+'KIN'!H7+'LE'!H7+'MER'!H7+'NDN'!H7+'SALT'!H7+'SDN'!H7+'SST'!H7+'WH'!H7+'FH'!H7</f>
        <v/>
      </c>
      <c r="I7" s="13">
        <f>'ABA'!I7+'BK'!I7+'BW'!I7+'CED'!I7+'HAB'!I7+'HB'!I7+'OD'!I7+'HDN'!I7+'KIN'!I7+'LE'!I7+'MER'!I7+'NDN'!I7+'SALT'!I7+'SDN'!I7+'SST'!I7+'WH'!I7+'FH'!I7</f>
        <v/>
      </c>
      <c r="J7" s="13">
        <f>'ABA'!J7+'BK'!J7+'BW'!J7+'CED'!J7+'HAB'!J7+'HB'!J7+'OD'!J7+'HDN'!J7+'KIN'!J7+'LE'!J7+'MER'!J7+'NDN'!J7+'SALT'!J7+'SDN'!J7+'SST'!J7+'WH'!J7+'FH'!J7</f>
        <v/>
      </c>
      <c r="K7" s="13">
        <f>'ABA'!K7+'BK'!K7+'BW'!K7+'CED'!K7+'HAB'!K7+'HB'!K7+'OD'!K7+'HDN'!K7+'KIN'!K7+'LE'!K7+'MER'!K7+'NDN'!K7+'SALT'!K7+'SDN'!K7+'SST'!K7+'WH'!K7+'FH'!K7</f>
        <v/>
      </c>
      <c r="L7" s="13">
        <f>'ABA'!L7+'BK'!L7+'BW'!L7+'CED'!L7+'HAB'!L7+'HB'!L7+'OD'!L7+'HDN'!L7+'KIN'!L7+'LE'!L7+'MER'!L7+'NDN'!L7+'SALT'!L7+'SDN'!L7+'SST'!L7+'WH'!L7+'FH'!L7</f>
        <v/>
      </c>
      <c r="M7" s="13">
        <f>'ABA'!M7+'BK'!M7+'BW'!M7+'CED'!M7+'HAB'!M7+'HB'!M7+'OD'!M7+'HDN'!M7+'KIN'!M7+'LE'!M7+'MER'!M7+'NDN'!M7+'SALT'!M7+'SDN'!M7+'SST'!M7+'WH'!M7+'FH'!M7</f>
        <v/>
      </c>
      <c r="N7" s="13">
        <f>'ABA'!N7+'BK'!N7+'BW'!N7+'CED'!N7+'HAB'!N7+'HB'!N7+'OD'!N7+'HDN'!N7+'KIN'!N7+'LE'!N7+'MER'!N7+'NDN'!N7+'SALT'!N7+'SDN'!N7+'SST'!N7+'WH'!N7+'FH'!N7</f>
        <v/>
      </c>
      <c r="O7" s="13">
        <f>'ABA'!O7+'BK'!O7+'BW'!O7+'CED'!O7+'HAB'!O7+'HB'!O7+'OD'!O7+'HDN'!O7+'KIN'!O7+'LE'!O7+'MER'!O7+'NDN'!O7+'SALT'!O7+'SDN'!O7+'SST'!O7+'WH'!O7+'FH'!O7</f>
        <v/>
      </c>
      <c r="P7" s="13">
        <f>'ABA'!P7+'BK'!P7+'BW'!P7+'CED'!P7+'HAB'!P7+'HB'!P7+'OD'!P7+'HDN'!P7+'KIN'!P7+'LE'!P7+'MER'!P7+'NDN'!P7+'SALT'!P7+'SDN'!P7+'SST'!P7+'WH'!P7+'FH'!P7</f>
        <v/>
      </c>
      <c r="Q7" s="13">
        <f>'ABA'!Q7+'BK'!Q7+'BW'!Q7+'CED'!Q7+'HAB'!Q7+'HB'!Q7+'OD'!Q7+'HDN'!Q7+'KIN'!Q7+'LE'!Q7+'MER'!Q7+'NDN'!Q7+'SALT'!Q7+'SDN'!Q7+'SST'!Q7+'WH'!Q7+'FH'!Q7</f>
        <v/>
      </c>
      <c r="R7" s="13">
        <f>'ABA'!R7+'BK'!R7+'BW'!R7+'CED'!R7+'HAB'!R7+'HB'!R7+'OD'!R7+'HDN'!R7+'KIN'!R7+'LE'!R7+'MER'!R7+'NDN'!R7+'SALT'!R7+'SDN'!R7+'SST'!R7+'WH'!R7+'FH'!R7</f>
        <v/>
      </c>
      <c r="S7" s="13">
        <f>'ABA'!S7+'BK'!S7+'BW'!S7+'CED'!S7+'HAB'!S7+'HB'!S7+'OD'!S7+'HDN'!S7+'KIN'!S7+'LE'!S7+'MER'!S7+'NDN'!S7+'SALT'!S7+'SDN'!S7+'SST'!S7+'WH'!S7+'FH'!S7</f>
        <v/>
      </c>
      <c r="T7" s="13">
        <f>'ABA'!T7+'BK'!T7+'BW'!T7+'CED'!T7+'HAB'!T7+'HB'!T7+'OD'!T7+'HDN'!T7+'KIN'!T7+'LE'!T7+'MER'!T7+'NDN'!T7+'SALT'!T7+'SDN'!T7+'SST'!T7+'WH'!T7+'FH'!T7</f>
        <v/>
      </c>
      <c r="U7" s="13">
        <f>'ABA'!U7+'BK'!U7+'BW'!U7+'CED'!U7+'HAB'!U7+'HB'!U7+'OD'!U7+'HDN'!U7+'KIN'!U7+'LE'!U7+'MER'!U7+'NDN'!U7+'SALT'!U7+'SDN'!U7+'SST'!U7+'WH'!U7+'FH'!U7</f>
        <v/>
      </c>
      <c r="V7" s="13">
        <f>'ABA'!V7+'BK'!V7+'BW'!V7+'CED'!V7+'HAB'!V7+'HB'!V7+'OD'!V7+'HDN'!V7+'KIN'!V7+'LE'!V7+'MER'!V7+'NDN'!V7+'SALT'!V7+'SDN'!V7+'SST'!V7+'WH'!V7+'FH'!V7</f>
        <v/>
      </c>
      <c r="W7" s="13">
        <f>'ABA'!W7+'BK'!W7+'BW'!W7+'CED'!W7+'HAB'!W7+'HB'!W7+'OD'!W7+'HDN'!W7+'KIN'!W7+'LE'!W7+'MER'!W7+'NDN'!W7+'SALT'!W7+'SDN'!W7+'SST'!W7+'WH'!W7+'FH'!W7</f>
        <v/>
      </c>
      <c r="X7" s="13">
        <f>'ABA'!X7+'BK'!X7+'BW'!X7+'CED'!X7+'HAB'!X7+'HB'!X7+'OD'!X7+'HDN'!X7+'KIN'!X7+'LE'!X7+'MER'!X7+'NDN'!X7+'SALT'!X7+'SDN'!X7+'SST'!X7+'WH'!X7+'FH'!X7</f>
        <v/>
      </c>
      <c r="Y7" s="13">
        <f>'ABA'!Y7+'BK'!Y7+'BW'!Y7+'CED'!Y7+'HAB'!Y7+'HB'!Y7+'OD'!Y7+'HDN'!Y7+'KIN'!Y7+'LE'!Y7+'MER'!Y7+'NDN'!Y7+'SALT'!Y7+'SDN'!Y7+'SST'!Y7+'WH'!Y7+'FH'!Y7</f>
        <v/>
      </c>
      <c r="Z7" s="13">
        <f>'ABA'!Z7+'BK'!Z7+'BW'!Z7+'CED'!Z7+'HAB'!Z7+'HB'!Z7+'OD'!Z7+'HDN'!Z7+'KIN'!Z7+'LE'!Z7+'MER'!Z7+'NDN'!Z7+'SALT'!Z7+'SDN'!Z7+'SST'!Z7+'WH'!Z7+'FH'!Z7</f>
        <v/>
      </c>
      <c r="AA7" s="13">
        <f>'ABA'!AA7+'BK'!AA7+'BW'!AA7+'CED'!AA7+'HAB'!AA7+'HB'!AA7+'OD'!AA7+'HDN'!AA7+'KIN'!AA7+'LE'!AA7+'MER'!AA7+'NDN'!AA7+'SALT'!AA7+'SDN'!AA7+'SST'!AA7+'WH'!AA7+'FH'!AA7</f>
        <v/>
      </c>
      <c r="AB7" s="13">
        <f>'ABA'!AB7+'BK'!AB7+'BW'!AB7+'CED'!AB7+'HAB'!AB7+'HB'!AB7+'OD'!AB7+'HDN'!AB7+'KIN'!AB7+'LE'!AB7+'MER'!AB7+'NDN'!AB7+'SALT'!AB7+'SDN'!AB7+'SST'!AB7+'WH'!AB7+'FH'!AB7</f>
        <v/>
      </c>
      <c r="AC7" s="13">
        <f>'ABA'!AC7+'BK'!AC7+'BW'!AC7+'CED'!AC7+'HAB'!AC7+'HB'!AC7+'OD'!AC7+'HDN'!AC7+'KIN'!AC7+'LE'!AC7+'MER'!AC7+'NDN'!AC7+'SALT'!AC7+'SDN'!AC7+'SST'!AC7+'WH'!AC7+'FH'!AC7</f>
        <v/>
      </c>
      <c r="AD7" s="13">
        <f>'ABA'!AD7+'BK'!AD7+'BW'!AD7+'CED'!AD7+'HAB'!AD7+'HB'!AD7+'OD'!AD7+'HDN'!AD7+'KIN'!AD7+'LE'!AD7+'MER'!AD7+'NDN'!AD7+'SALT'!AD7+'SDN'!AD7+'SST'!AD7+'WH'!AD7+'FH'!AD7</f>
        <v/>
      </c>
      <c r="AE7" s="13">
        <f>'ABA'!AE7+'BK'!AE7+'BW'!AE7+'CED'!AE7+'HAB'!AE7+'HB'!AE7+'OD'!AE7+'HDN'!AE7+'KIN'!AE7+'LE'!AE7+'MER'!AE7+'NDN'!AE7+'SALT'!AE7+'SDN'!AE7+'SST'!AE7+'WH'!AE7+'FH'!AE7</f>
        <v/>
      </c>
      <c r="AF7" s="13">
        <f>'ABA'!AF7+'BK'!AF7+'BW'!AF7+'CED'!AF7+'HAB'!AF7+'HB'!AF7+'OD'!AF7+'HDN'!AF7+'KIN'!AF7+'LE'!AF7+'MER'!AF7+'NDN'!AF7+'SALT'!AF7+'SDN'!AF7+'SST'!AF7+'WH'!AF7+'FH'!AF7</f>
        <v/>
      </c>
      <c r="AG7" s="13">
        <f>'ABA'!AG7+'BK'!AG7+'BW'!AG7+'CED'!AG7+'HAB'!AG7+'HB'!AG7+'OD'!AG7+'HDN'!AG7+'KIN'!AG7+'LE'!AG7+'MER'!AG7+'NDN'!AG7+'SALT'!AG7+'SDN'!AG7+'SST'!AG7+'WH'!AG7+'FH'!AG7</f>
        <v/>
      </c>
      <c r="AH7" s="13">
        <f>'ABA'!AH7+'BK'!AH7+'BW'!AH7+'CED'!AH7+'HAB'!AH7+'HB'!AH7+'OD'!AH7+'HDN'!AH7+'KIN'!AH7+'LE'!AH7+'MER'!AH7+'NDN'!AH7+'SALT'!AH7+'SDN'!AH7+'SST'!AH7+'WH'!AH7+'FH'!AH7</f>
        <v/>
      </c>
      <c r="AI7" s="13">
        <f>'ABA'!AI7+'BK'!AI7+'BW'!AI7+'CED'!AI7+'HAB'!AI7+'HB'!AI7+'OD'!AI7+'HDN'!AI7+'KIN'!AI7+'LE'!AI7+'MER'!AI7+'NDN'!AI7+'SALT'!AI7+'SDN'!AI7+'SST'!AI7+'WH'!AI7+'FH'!AI7</f>
        <v/>
      </c>
      <c r="AJ7" s="13">
        <f>'ABA'!AJ7+'BK'!AJ7+'BW'!AJ7+'CED'!AJ7+'HAB'!AJ7+'HB'!AJ7+'OD'!AJ7+'HDN'!AJ7+'KIN'!AJ7+'LE'!AJ7+'MER'!AJ7+'NDN'!AJ7+'SALT'!AJ7+'SDN'!AJ7+'SST'!AJ7+'WH'!AJ7+'FH'!AJ7</f>
        <v/>
      </c>
      <c r="AK7" s="11">
        <f>IF(N7&lt;&gt;0,(AB7-N7)/ABS(N7),0)</f>
        <v/>
      </c>
      <c r="AL7" s="11">
        <f>IF(AB7&lt;&gt;0,(AJ7-AB7)/ABS(AB7),0)</f>
        <v/>
      </c>
    </row>
    <row r="8" ht="5" customHeight="1"/>
    <row r="9" ht="15" customHeight="1">
      <c r="A9" s="7" t="inlineStr">
        <is>
          <t>DIRECT COSTS</t>
        </is>
      </c>
    </row>
    <row r="10" ht="13" customHeight="1">
      <c r="A10" s="14" t="inlineStr">
        <is>
          <t>Personnel</t>
        </is>
      </c>
    </row>
    <row r="11" ht="13" customHeight="1">
      <c r="A11" s="15" t="inlineStr">
        <is>
          <t xml:space="preserve">    Nursery Salaries</t>
        </is>
      </c>
      <c r="B11" s="16">
        <f>'ABA'!B11+'BK'!B11+'BW'!B11+'CED'!B11+'HAB'!B11+'HB'!B11+'OD'!B11+'HDN'!B11+'KIN'!B11+'LE'!B11+'MER'!B11+'NDN'!B11+'SALT'!B11+'SDN'!B11+'SST'!B11+'WH'!B11+'FH'!B11</f>
        <v/>
      </c>
      <c r="C11" s="16">
        <f>'ABA'!C11+'BK'!C11+'BW'!C11+'CED'!C11+'HAB'!C11+'HB'!C11+'OD'!C11+'HDN'!C11+'KIN'!C11+'LE'!C11+'MER'!C11+'NDN'!C11+'SALT'!C11+'SDN'!C11+'SST'!C11+'WH'!C11+'FH'!C11</f>
        <v/>
      </c>
      <c r="D11" s="16">
        <f>'ABA'!D11+'BK'!D11+'BW'!D11+'CED'!D11+'HAB'!D11+'HB'!D11+'OD'!D11+'HDN'!D11+'KIN'!D11+'LE'!D11+'MER'!D11+'NDN'!D11+'SALT'!D11+'SDN'!D11+'SST'!D11+'WH'!D11+'FH'!D11</f>
        <v/>
      </c>
      <c r="E11" s="16">
        <f>'ABA'!E11+'BK'!E11+'BW'!E11+'CED'!E11+'HAB'!E11+'HB'!E11+'OD'!E11+'HDN'!E11+'KIN'!E11+'LE'!E11+'MER'!E11+'NDN'!E11+'SALT'!E11+'SDN'!E11+'SST'!E11+'WH'!E11+'FH'!E11</f>
        <v/>
      </c>
      <c r="F11" s="16">
        <f>'ABA'!F11+'BK'!F11+'BW'!F11+'CED'!F11+'HAB'!F11+'HB'!F11+'OD'!F11+'HDN'!F11+'KIN'!F11+'LE'!F11+'MER'!F11+'NDN'!F11+'SALT'!F11+'SDN'!F11+'SST'!F11+'WH'!F11+'FH'!F11</f>
        <v/>
      </c>
      <c r="G11" s="16">
        <f>'ABA'!G11+'BK'!G11+'BW'!G11+'CED'!G11+'HAB'!G11+'HB'!G11+'OD'!G11+'HDN'!G11+'KIN'!G11+'LE'!G11+'MER'!G11+'NDN'!G11+'SALT'!G11+'SDN'!G11+'SST'!G11+'WH'!G11+'FH'!G11</f>
        <v/>
      </c>
      <c r="H11" s="16">
        <f>'ABA'!H11+'BK'!H11+'BW'!H11+'CED'!H11+'HAB'!H11+'HB'!H11+'OD'!H11+'HDN'!H11+'KIN'!H11+'LE'!H11+'MER'!H11+'NDN'!H11+'SALT'!H11+'SDN'!H11+'SST'!H11+'WH'!H11+'FH'!H11</f>
        <v/>
      </c>
      <c r="I11" s="16">
        <f>'ABA'!I11+'BK'!I11+'BW'!I11+'CED'!I11+'HAB'!I11+'HB'!I11+'OD'!I11+'HDN'!I11+'KIN'!I11+'LE'!I11+'MER'!I11+'NDN'!I11+'SALT'!I11+'SDN'!I11+'SST'!I11+'WH'!I11+'FH'!I11</f>
        <v/>
      </c>
      <c r="J11" s="16">
        <f>'ABA'!J11+'BK'!J11+'BW'!J11+'CED'!J11+'HAB'!J11+'HB'!J11+'OD'!J11+'HDN'!J11+'KIN'!J11+'LE'!J11+'MER'!J11+'NDN'!J11+'SALT'!J11+'SDN'!J11+'SST'!J11+'WH'!J11+'FH'!J11</f>
        <v/>
      </c>
      <c r="K11" s="16">
        <f>'ABA'!K11+'BK'!K11+'BW'!K11+'CED'!K11+'HAB'!K11+'HB'!K11+'OD'!K11+'HDN'!K11+'KIN'!K11+'LE'!K11+'MER'!K11+'NDN'!K11+'SALT'!K11+'SDN'!K11+'SST'!K11+'WH'!K11+'FH'!K11</f>
        <v/>
      </c>
      <c r="L11" s="16">
        <f>'ABA'!L11+'BK'!L11+'BW'!L11+'CED'!L11+'HAB'!L11+'HB'!L11+'OD'!L11+'HDN'!L11+'KIN'!L11+'LE'!L11+'MER'!L11+'NDN'!L11+'SALT'!L11+'SDN'!L11+'SST'!L11+'WH'!L11+'FH'!L11</f>
        <v/>
      </c>
      <c r="M11" s="16">
        <f>'ABA'!M11+'BK'!M11+'BW'!M11+'CED'!M11+'HAB'!M11+'HB'!M11+'OD'!M11+'HDN'!M11+'KIN'!M11+'LE'!M11+'MER'!M11+'NDN'!M11+'SALT'!M11+'SDN'!M11+'SST'!M11+'WH'!M11+'FH'!M11</f>
        <v/>
      </c>
      <c r="N11" s="16">
        <f>'ABA'!N11+'BK'!N11+'BW'!N11+'CED'!N11+'HAB'!N11+'HB'!N11+'OD'!N11+'HDN'!N11+'KIN'!N11+'LE'!N11+'MER'!N11+'NDN'!N11+'SALT'!N11+'SDN'!N11+'SST'!N11+'WH'!N11+'FH'!N11</f>
        <v/>
      </c>
      <c r="O11" s="16">
        <f>'ABA'!O11+'BK'!O11+'BW'!O11+'CED'!O11+'HAB'!O11+'HB'!O11+'OD'!O11+'HDN'!O11+'KIN'!O11+'LE'!O11+'MER'!O11+'NDN'!O11+'SALT'!O11+'SDN'!O11+'SST'!O11+'WH'!O11+'FH'!O11</f>
        <v/>
      </c>
      <c r="P11" s="16">
        <f>'ABA'!P11+'BK'!P11+'BW'!P11+'CED'!P11+'HAB'!P11+'HB'!P11+'OD'!P11+'HDN'!P11+'KIN'!P11+'LE'!P11+'MER'!P11+'NDN'!P11+'SALT'!P11+'SDN'!P11+'SST'!P11+'WH'!P11+'FH'!P11</f>
        <v/>
      </c>
      <c r="Q11" s="16">
        <f>'ABA'!Q11+'BK'!Q11+'BW'!Q11+'CED'!Q11+'HAB'!Q11+'HB'!Q11+'OD'!Q11+'HDN'!Q11+'KIN'!Q11+'LE'!Q11+'MER'!Q11+'NDN'!Q11+'SALT'!Q11+'SDN'!Q11+'SST'!Q11+'WH'!Q11+'FH'!Q11</f>
        <v/>
      </c>
      <c r="R11" s="16">
        <f>'ABA'!R11+'BK'!R11+'BW'!R11+'CED'!R11+'HAB'!R11+'HB'!R11+'OD'!R11+'HDN'!R11+'KIN'!R11+'LE'!R11+'MER'!R11+'NDN'!R11+'SALT'!R11+'SDN'!R11+'SST'!R11+'WH'!R11+'FH'!R11</f>
        <v/>
      </c>
      <c r="S11" s="16">
        <f>'ABA'!S11+'BK'!S11+'BW'!S11+'CED'!S11+'HAB'!S11+'HB'!S11+'OD'!S11+'HDN'!S11+'KIN'!S11+'LE'!S11+'MER'!S11+'NDN'!S11+'SALT'!S11+'SDN'!S11+'SST'!S11+'WH'!S11+'FH'!S11</f>
        <v/>
      </c>
      <c r="T11" s="16">
        <f>'ABA'!T11+'BK'!T11+'BW'!T11+'CED'!T11+'HAB'!T11+'HB'!T11+'OD'!T11+'HDN'!T11+'KIN'!T11+'LE'!T11+'MER'!T11+'NDN'!T11+'SALT'!T11+'SDN'!T11+'SST'!T11+'WH'!T11+'FH'!T11</f>
        <v/>
      </c>
      <c r="U11" s="16">
        <f>'ABA'!U11+'BK'!U11+'BW'!U11+'CED'!U11+'HAB'!U11+'HB'!U11+'OD'!U11+'HDN'!U11+'KIN'!U11+'LE'!U11+'MER'!U11+'NDN'!U11+'SALT'!U11+'SDN'!U11+'SST'!U11+'WH'!U11+'FH'!U11</f>
        <v/>
      </c>
      <c r="V11" s="16">
        <f>'ABA'!V11+'BK'!V11+'BW'!V11+'CED'!V11+'HAB'!V11+'HB'!V11+'OD'!V11+'HDN'!V11+'KIN'!V11+'LE'!V11+'MER'!V11+'NDN'!V11+'SALT'!V11+'SDN'!V11+'SST'!V11+'WH'!V11+'FH'!V11</f>
        <v/>
      </c>
      <c r="W11" s="16">
        <f>'ABA'!W11+'BK'!W11+'BW'!W11+'CED'!W11+'HAB'!W11+'HB'!W11+'OD'!W11+'HDN'!W11+'KIN'!W11+'LE'!W11+'MER'!W11+'NDN'!W11+'SALT'!W11+'SDN'!W11+'SST'!W11+'WH'!W11+'FH'!W11</f>
        <v/>
      </c>
      <c r="X11" s="16">
        <f>'ABA'!X11+'BK'!X11+'BW'!X11+'CED'!X11+'HAB'!X11+'HB'!X11+'OD'!X11+'HDN'!X11+'KIN'!X11+'LE'!X11+'MER'!X11+'NDN'!X11+'SALT'!X11+'SDN'!X11+'SST'!X11+'WH'!X11+'FH'!X11</f>
        <v/>
      </c>
      <c r="Y11" s="16">
        <f>'ABA'!Y11+'BK'!Y11+'BW'!Y11+'CED'!Y11+'HAB'!Y11+'HB'!Y11+'OD'!Y11+'HDN'!Y11+'KIN'!Y11+'LE'!Y11+'MER'!Y11+'NDN'!Y11+'SALT'!Y11+'SDN'!Y11+'SST'!Y11+'WH'!Y11+'FH'!Y11</f>
        <v/>
      </c>
      <c r="Z11" s="16">
        <f>'ABA'!Z11+'BK'!Z11+'BW'!Z11+'CED'!Z11+'HAB'!Z11+'HB'!Z11+'OD'!Z11+'HDN'!Z11+'KIN'!Z11+'LE'!Z11+'MER'!Z11+'NDN'!Z11+'SALT'!Z11+'SDN'!Z11+'SST'!Z11+'WH'!Z11+'FH'!Z11</f>
        <v/>
      </c>
      <c r="AA11" s="16">
        <f>'ABA'!AA11+'BK'!AA11+'BW'!AA11+'CED'!AA11+'HAB'!AA11+'HB'!AA11+'OD'!AA11+'HDN'!AA11+'KIN'!AA11+'LE'!AA11+'MER'!AA11+'NDN'!AA11+'SALT'!AA11+'SDN'!AA11+'SST'!AA11+'WH'!AA11+'FH'!AA11</f>
        <v/>
      </c>
      <c r="AB11" s="16">
        <f>'ABA'!AB11+'BK'!AB11+'BW'!AB11+'CED'!AB11+'HAB'!AB11+'HB'!AB11+'OD'!AB11+'HDN'!AB11+'KIN'!AB11+'LE'!AB11+'MER'!AB11+'NDN'!AB11+'SALT'!AB11+'SDN'!AB11+'SST'!AB11+'WH'!AB11+'FH'!AB11</f>
        <v/>
      </c>
      <c r="AC11" s="16">
        <f>'ABA'!AC11+'BK'!AC11+'BW'!AC11+'CED'!AC11+'HAB'!AC11+'HB'!AC11+'OD'!AC11+'HDN'!AC11+'KIN'!AC11+'LE'!AC11+'MER'!AC11+'NDN'!AC11+'SALT'!AC11+'SDN'!AC11+'SST'!AC11+'WH'!AC11+'FH'!AC11</f>
        <v/>
      </c>
      <c r="AD11" s="16">
        <f>'ABA'!AD11+'BK'!AD11+'BW'!AD11+'CED'!AD11+'HAB'!AD11+'HB'!AD11+'OD'!AD11+'HDN'!AD11+'KIN'!AD11+'LE'!AD11+'MER'!AD11+'NDN'!AD11+'SALT'!AD11+'SDN'!AD11+'SST'!AD11+'WH'!AD11+'FH'!AD11</f>
        <v/>
      </c>
      <c r="AE11" s="16">
        <f>'ABA'!AE11+'BK'!AE11+'BW'!AE11+'CED'!AE11+'HAB'!AE11+'HB'!AE11+'OD'!AE11+'HDN'!AE11+'KIN'!AE11+'LE'!AE11+'MER'!AE11+'NDN'!AE11+'SALT'!AE11+'SDN'!AE11+'SST'!AE11+'WH'!AE11+'FH'!AE11</f>
        <v/>
      </c>
      <c r="AF11" s="16">
        <f>'ABA'!AF11+'BK'!AF11+'BW'!AF11+'CED'!AF11+'HAB'!AF11+'HB'!AF11+'OD'!AF11+'HDN'!AF11+'KIN'!AF11+'LE'!AF11+'MER'!AF11+'NDN'!AF11+'SALT'!AF11+'SDN'!AF11+'SST'!AF11+'WH'!AF11+'FH'!AF11</f>
        <v/>
      </c>
      <c r="AG11" s="16">
        <f>'ABA'!AG11+'BK'!AG11+'BW'!AG11+'CED'!AG11+'HAB'!AG11+'HB'!AG11+'OD'!AG11+'HDN'!AG11+'KIN'!AG11+'LE'!AG11+'MER'!AG11+'NDN'!AG11+'SALT'!AG11+'SDN'!AG11+'SST'!AG11+'WH'!AG11+'FH'!AG11</f>
        <v/>
      </c>
      <c r="AH11" s="16">
        <f>'ABA'!AH11+'BK'!AH11+'BW'!AH11+'CED'!AH11+'HAB'!AH11+'HB'!AH11+'OD'!AH11+'HDN'!AH11+'KIN'!AH11+'LE'!AH11+'MER'!AH11+'NDN'!AH11+'SALT'!AH11+'SDN'!AH11+'SST'!AH11+'WH'!AH11+'FH'!AH11</f>
        <v/>
      </c>
      <c r="AI11" s="16">
        <f>'ABA'!AI11+'BK'!AI11+'BW'!AI11+'CED'!AI11+'HAB'!AI11+'HB'!AI11+'OD'!AI11+'HDN'!AI11+'KIN'!AI11+'LE'!AI11+'MER'!AI11+'NDN'!AI11+'SALT'!AI11+'SDN'!AI11+'SST'!AI11+'WH'!AI11+'FH'!AI11</f>
        <v/>
      </c>
      <c r="AJ11" s="16">
        <f>'ABA'!AJ11+'BK'!AJ11+'BW'!AJ11+'CED'!AJ11+'HAB'!AJ11+'HB'!AJ11+'OD'!AJ11+'HDN'!AJ11+'KIN'!AJ11+'LE'!AJ11+'MER'!AJ11+'NDN'!AJ11+'SALT'!AJ11+'SDN'!AJ11+'SST'!AJ11+'WH'!AJ11+'FH'!AJ11</f>
        <v/>
      </c>
      <c r="AK11" s="11">
        <f>IF(N11&lt;&gt;0,(AB11-N11)/ABS(N11),0)</f>
        <v/>
      </c>
      <c r="AL11" s="11">
        <f>IF(AB11&lt;&gt;0,(AJ11-AB11)/ABS(AB11),0)</f>
        <v/>
      </c>
    </row>
    <row r="12" ht="13" customHeight="1">
      <c r="A12" s="15" t="inlineStr">
        <is>
          <t xml:space="preserve">    Nursery NI</t>
        </is>
      </c>
      <c r="B12" s="16">
        <f>'ABA'!B12+'BK'!B12+'BW'!B12+'CED'!B12+'HAB'!B12+'HB'!B12+'OD'!B12+'HDN'!B12+'KIN'!B12+'LE'!B12+'MER'!B12+'NDN'!B12+'SALT'!B12+'SDN'!B12+'SST'!B12+'WH'!B12+'FH'!B12</f>
        <v/>
      </c>
      <c r="C12" s="16">
        <f>'ABA'!C12+'BK'!C12+'BW'!C12+'CED'!C12+'HAB'!C12+'HB'!C12+'OD'!C12+'HDN'!C12+'KIN'!C12+'LE'!C12+'MER'!C12+'NDN'!C12+'SALT'!C12+'SDN'!C12+'SST'!C12+'WH'!C12+'FH'!C12</f>
        <v/>
      </c>
      <c r="D12" s="16">
        <f>'ABA'!D12+'BK'!D12+'BW'!D12+'CED'!D12+'HAB'!D12+'HB'!D12+'OD'!D12+'HDN'!D12+'KIN'!D12+'LE'!D12+'MER'!D12+'NDN'!D12+'SALT'!D12+'SDN'!D12+'SST'!D12+'WH'!D12+'FH'!D12</f>
        <v/>
      </c>
      <c r="E12" s="16">
        <f>'ABA'!E12+'BK'!E12+'BW'!E12+'CED'!E12+'HAB'!E12+'HB'!E12+'OD'!E12+'HDN'!E12+'KIN'!E12+'LE'!E12+'MER'!E12+'NDN'!E12+'SALT'!E12+'SDN'!E12+'SST'!E12+'WH'!E12+'FH'!E12</f>
        <v/>
      </c>
      <c r="F12" s="16">
        <f>'ABA'!F12+'BK'!F12+'BW'!F12+'CED'!F12+'HAB'!F12+'HB'!F12+'OD'!F12+'HDN'!F12+'KIN'!F12+'LE'!F12+'MER'!F12+'NDN'!F12+'SALT'!F12+'SDN'!F12+'SST'!F12+'WH'!F12+'FH'!F12</f>
        <v/>
      </c>
      <c r="G12" s="16">
        <f>'ABA'!G12+'BK'!G12+'BW'!G12+'CED'!G12+'HAB'!G12+'HB'!G12+'OD'!G12+'HDN'!G12+'KIN'!G12+'LE'!G12+'MER'!G12+'NDN'!G12+'SALT'!G12+'SDN'!G12+'SST'!G12+'WH'!G12+'FH'!G12</f>
        <v/>
      </c>
      <c r="H12" s="16">
        <f>'ABA'!H12+'BK'!H12+'BW'!H12+'CED'!H12+'HAB'!H12+'HB'!H12+'OD'!H12+'HDN'!H12+'KIN'!H12+'LE'!H12+'MER'!H12+'NDN'!H12+'SALT'!H12+'SDN'!H12+'SST'!H12+'WH'!H12+'FH'!H12</f>
        <v/>
      </c>
      <c r="I12" s="16">
        <f>'ABA'!I12+'BK'!I12+'BW'!I12+'CED'!I12+'HAB'!I12+'HB'!I12+'OD'!I12+'HDN'!I12+'KIN'!I12+'LE'!I12+'MER'!I12+'NDN'!I12+'SALT'!I12+'SDN'!I12+'SST'!I12+'WH'!I12+'FH'!I12</f>
        <v/>
      </c>
      <c r="J12" s="16">
        <f>'ABA'!J12+'BK'!J12+'BW'!J12+'CED'!J12+'HAB'!J12+'HB'!J12+'OD'!J12+'HDN'!J12+'KIN'!J12+'LE'!J12+'MER'!J12+'NDN'!J12+'SALT'!J12+'SDN'!J12+'SST'!J12+'WH'!J12+'FH'!J12</f>
        <v/>
      </c>
      <c r="K12" s="16">
        <f>'ABA'!K12+'BK'!K12+'BW'!K12+'CED'!K12+'HAB'!K12+'HB'!K12+'OD'!K12+'HDN'!K12+'KIN'!K12+'LE'!K12+'MER'!K12+'NDN'!K12+'SALT'!K12+'SDN'!K12+'SST'!K12+'WH'!K12+'FH'!K12</f>
        <v/>
      </c>
      <c r="L12" s="16">
        <f>'ABA'!L12+'BK'!L12+'BW'!L12+'CED'!L12+'HAB'!L12+'HB'!L12+'OD'!L12+'HDN'!L12+'KIN'!L12+'LE'!L12+'MER'!L12+'NDN'!L12+'SALT'!L12+'SDN'!L12+'SST'!L12+'WH'!L12+'FH'!L12</f>
        <v/>
      </c>
      <c r="M12" s="16">
        <f>'ABA'!M12+'BK'!M12+'BW'!M12+'CED'!M12+'HAB'!M12+'HB'!M12+'OD'!M12+'HDN'!M12+'KIN'!M12+'LE'!M12+'MER'!M12+'NDN'!M12+'SALT'!M12+'SDN'!M12+'SST'!M12+'WH'!M12+'FH'!M12</f>
        <v/>
      </c>
      <c r="N12" s="16">
        <f>'ABA'!N12+'BK'!N12+'BW'!N12+'CED'!N12+'HAB'!N12+'HB'!N12+'OD'!N12+'HDN'!N12+'KIN'!N12+'LE'!N12+'MER'!N12+'NDN'!N12+'SALT'!N12+'SDN'!N12+'SST'!N12+'WH'!N12+'FH'!N12</f>
        <v/>
      </c>
      <c r="O12" s="16">
        <f>'ABA'!O12+'BK'!O12+'BW'!O12+'CED'!O12+'HAB'!O12+'HB'!O12+'OD'!O12+'HDN'!O12+'KIN'!O12+'LE'!O12+'MER'!O12+'NDN'!O12+'SALT'!O12+'SDN'!O12+'SST'!O12+'WH'!O12+'FH'!O12</f>
        <v/>
      </c>
      <c r="P12" s="16">
        <f>'ABA'!P12+'BK'!P12+'BW'!P12+'CED'!P12+'HAB'!P12+'HB'!P12+'OD'!P12+'HDN'!P12+'KIN'!P12+'LE'!P12+'MER'!P12+'NDN'!P12+'SALT'!P12+'SDN'!P12+'SST'!P12+'WH'!P12+'FH'!P12</f>
        <v/>
      </c>
      <c r="Q12" s="16">
        <f>'ABA'!Q12+'BK'!Q12+'BW'!Q12+'CED'!Q12+'HAB'!Q12+'HB'!Q12+'OD'!Q12+'HDN'!Q12+'KIN'!Q12+'LE'!Q12+'MER'!Q12+'NDN'!Q12+'SALT'!Q12+'SDN'!Q12+'SST'!Q12+'WH'!Q12+'FH'!Q12</f>
        <v/>
      </c>
      <c r="R12" s="16">
        <f>'ABA'!R12+'BK'!R12+'BW'!R12+'CED'!R12+'HAB'!R12+'HB'!R12+'OD'!R12+'HDN'!R12+'KIN'!R12+'LE'!R12+'MER'!R12+'NDN'!R12+'SALT'!R12+'SDN'!R12+'SST'!R12+'WH'!R12+'FH'!R12</f>
        <v/>
      </c>
      <c r="S12" s="16">
        <f>'ABA'!S12+'BK'!S12+'BW'!S12+'CED'!S12+'HAB'!S12+'HB'!S12+'OD'!S12+'HDN'!S12+'KIN'!S12+'LE'!S12+'MER'!S12+'NDN'!S12+'SALT'!S12+'SDN'!S12+'SST'!S12+'WH'!S12+'FH'!S12</f>
        <v/>
      </c>
      <c r="T12" s="16">
        <f>'ABA'!T12+'BK'!T12+'BW'!T12+'CED'!T12+'HAB'!T12+'HB'!T12+'OD'!T12+'HDN'!T12+'KIN'!T12+'LE'!T12+'MER'!T12+'NDN'!T12+'SALT'!T12+'SDN'!T12+'SST'!T12+'WH'!T12+'FH'!T12</f>
        <v/>
      </c>
      <c r="U12" s="16">
        <f>'ABA'!U12+'BK'!U12+'BW'!U12+'CED'!U12+'HAB'!U12+'HB'!U12+'OD'!U12+'HDN'!U12+'KIN'!U12+'LE'!U12+'MER'!U12+'NDN'!U12+'SALT'!U12+'SDN'!U12+'SST'!U12+'WH'!U12+'FH'!U12</f>
        <v/>
      </c>
      <c r="V12" s="16">
        <f>'ABA'!V12+'BK'!V12+'BW'!V12+'CED'!V12+'HAB'!V12+'HB'!V12+'OD'!V12+'HDN'!V12+'KIN'!V12+'LE'!V12+'MER'!V12+'NDN'!V12+'SALT'!V12+'SDN'!V12+'SST'!V12+'WH'!V12+'FH'!V12</f>
        <v/>
      </c>
      <c r="W12" s="16">
        <f>'ABA'!W12+'BK'!W12+'BW'!W12+'CED'!W12+'HAB'!W12+'HB'!W12+'OD'!W12+'HDN'!W12+'KIN'!W12+'LE'!W12+'MER'!W12+'NDN'!W12+'SALT'!W12+'SDN'!W12+'SST'!W12+'WH'!W12+'FH'!W12</f>
        <v/>
      </c>
      <c r="X12" s="16">
        <f>'ABA'!X12+'BK'!X12+'BW'!X12+'CED'!X12+'HAB'!X12+'HB'!X12+'OD'!X12+'HDN'!X12+'KIN'!X12+'LE'!X12+'MER'!X12+'NDN'!X12+'SALT'!X12+'SDN'!X12+'SST'!X12+'WH'!X12+'FH'!X12</f>
        <v/>
      </c>
      <c r="Y12" s="16">
        <f>'ABA'!Y12+'BK'!Y12+'BW'!Y12+'CED'!Y12+'HAB'!Y12+'HB'!Y12+'OD'!Y12+'HDN'!Y12+'KIN'!Y12+'LE'!Y12+'MER'!Y12+'NDN'!Y12+'SALT'!Y12+'SDN'!Y12+'SST'!Y12+'WH'!Y12+'FH'!Y12</f>
        <v/>
      </c>
      <c r="Z12" s="16">
        <f>'ABA'!Z12+'BK'!Z12+'BW'!Z12+'CED'!Z12+'HAB'!Z12+'HB'!Z12+'OD'!Z12+'HDN'!Z12+'KIN'!Z12+'LE'!Z12+'MER'!Z12+'NDN'!Z12+'SALT'!Z12+'SDN'!Z12+'SST'!Z12+'WH'!Z12+'FH'!Z12</f>
        <v/>
      </c>
      <c r="AA12" s="16">
        <f>'ABA'!AA12+'BK'!AA12+'BW'!AA12+'CED'!AA12+'HAB'!AA12+'HB'!AA12+'OD'!AA12+'HDN'!AA12+'KIN'!AA12+'LE'!AA12+'MER'!AA12+'NDN'!AA12+'SALT'!AA12+'SDN'!AA12+'SST'!AA12+'WH'!AA12+'FH'!AA12</f>
        <v/>
      </c>
      <c r="AB12" s="16">
        <f>'ABA'!AB12+'BK'!AB12+'BW'!AB12+'CED'!AB12+'HAB'!AB12+'HB'!AB12+'OD'!AB12+'HDN'!AB12+'KIN'!AB12+'LE'!AB12+'MER'!AB12+'NDN'!AB12+'SALT'!AB12+'SDN'!AB12+'SST'!AB12+'WH'!AB12+'FH'!AB12</f>
        <v/>
      </c>
      <c r="AC12" s="16">
        <f>'ABA'!AC12+'BK'!AC12+'BW'!AC12+'CED'!AC12+'HAB'!AC12+'HB'!AC12+'OD'!AC12+'HDN'!AC12+'KIN'!AC12+'LE'!AC12+'MER'!AC12+'NDN'!AC12+'SALT'!AC12+'SDN'!AC12+'SST'!AC12+'WH'!AC12+'FH'!AC12</f>
        <v/>
      </c>
      <c r="AD12" s="16">
        <f>'ABA'!AD12+'BK'!AD12+'BW'!AD12+'CED'!AD12+'HAB'!AD12+'HB'!AD12+'OD'!AD12+'HDN'!AD12+'KIN'!AD12+'LE'!AD12+'MER'!AD12+'NDN'!AD12+'SALT'!AD12+'SDN'!AD12+'SST'!AD12+'WH'!AD12+'FH'!AD12</f>
        <v/>
      </c>
      <c r="AE12" s="16">
        <f>'ABA'!AE12+'BK'!AE12+'BW'!AE12+'CED'!AE12+'HAB'!AE12+'HB'!AE12+'OD'!AE12+'HDN'!AE12+'KIN'!AE12+'LE'!AE12+'MER'!AE12+'NDN'!AE12+'SALT'!AE12+'SDN'!AE12+'SST'!AE12+'WH'!AE12+'FH'!AE12</f>
        <v/>
      </c>
      <c r="AF12" s="16">
        <f>'ABA'!AF12+'BK'!AF12+'BW'!AF12+'CED'!AF12+'HAB'!AF12+'HB'!AF12+'OD'!AF12+'HDN'!AF12+'KIN'!AF12+'LE'!AF12+'MER'!AF12+'NDN'!AF12+'SALT'!AF12+'SDN'!AF12+'SST'!AF12+'WH'!AF12+'FH'!AF12</f>
        <v/>
      </c>
      <c r="AG12" s="16">
        <f>'ABA'!AG12+'BK'!AG12+'BW'!AG12+'CED'!AG12+'HAB'!AG12+'HB'!AG12+'OD'!AG12+'HDN'!AG12+'KIN'!AG12+'LE'!AG12+'MER'!AG12+'NDN'!AG12+'SALT'!AG12+'SDN'!AG12+'SST'!AG12+'WH'!AG12+'FH'!AG12</f>
        <v/>
      </c>
      <c r="AH12" s="16">
        <f>'ABA'!AH12+'BK'!AH12+'BW'!AH12+'CED'!AH12+'HAB'!AH12+'HB'!AH12+'OD'!AH12+'HDN'!AH12+'KIN'!AH12+'LE'!AH12+'MER'!AH12+'NDN'!AH12+'SALT'!AH12+'SDN'!AH12+'SST'!AH12+'WH'!AH12+'FH'!AH12</f>
        <v/>
      </c>
      <c r="AI12" s="16">
        <f>'ABA'!AI12+'BK'!AI12+'BW'!AI12+'CED'!AI12+'HAB'!AI12+'HB'!AI12+'OD'!AI12+'HDN'!AI12+'KIN'!AI12+'LE'!AI12+'MER'!AI12+'NDN'!AI12+'SALT'!AI12+'SDN'!AI12+'SST'!AI12+'WH'!AI12+'FH'!AI12</f>
        <v/>
      </c>
      <c r="AJ12" s="16">
        <f>'ABA'!AJ12+'BK'!AJ12+'BW'!AJ12+'CED'!AJ12+'HAB'!AJ12+'HB'!AJ12+'OD'!AJ12+'HDN'!AJ12+'KIN'!AJ12+'LE'!AJ12+'MER'!AJ12+'NDN'!AJ12+'SALT'!AJ12+'SDN'!AJ12+'SST'!AJ12+'WH'!AJ12+'FH'!AJ12</f>
        <v/>
      </c>
      <c r="AK12" s="11">
        <f>IF(N12&lt;&gt;0,(AB12-N12)/ABS(N12),0)</f>
        <v/>
      </c>
      <c r="AL12" s="11">
        <f>IF(AB12&lt;&gt;0,(AJ12-AB12)/ABS(AB12),0)</f>
        <v/>
      </c>
    </row>
    <row r="13" ht="13" customHeight="1">
      <c r="A13" s="15" t="inlineStr">
        <is>
          <t xml:space="preserve">    Nursery Pension</t>
        </is>
      </c>
      <c r="B13" s="16">
        <f>'ABA'!B13+'BK'!B13+'BW'!B13+'CED'!B13+'HAB'!B13+'HB'!B13+'OD'!B13+'HDN'!B13+'KIN'!B13+'LE'!B13+'MER'!B13+'NDN'!B13+'SALT'!B13+'SDN'!B13+'SST'!B13+'WH'!B13+'FH'!B13</f>
        <v/>
      </c>
      <c r="C13" s="16">
        <f>'ABA'!C13+'BK'!C13+'BW'!C13+'CED'!C13+'HAB'!C13+'HB'!C13+'OD'!C13+'HDN'!C13+'KIN'!C13+'LE'!C13+'MER'!C13+'NDN'!C13+'SALT'!C13+'SDN'!C13+'SST'!C13+'WH'!C13+'FH'!C13</f>
        <v/>
      </c>
      <c r="D13" s="16">
        <f>'ABA'!D13+'BK'!D13+'BW'!D13+'CED'!D13+'HAB'!D13+'HB'!D13+'OD'!D13+'HDN'!D13+'KIN'!D13+'LE'!D13+'MER'!D13+'NDN'!D13+'SALT'!D13+'SDN'!D13+'SST'!D13+'WH'!D13+'FH'!D13</f>
        <v/>
      </c>
      <c r="E13" s="16">
        <f>'ABA'!E13+'BK'!E13+'BW'!E13+'CED'!E13+'HAB'!E13+'HB'!E13+'OD'!E13+'HDN'!E13+'KIN'!E13+'LE'!E13+'MER'!E13+'NDN'!E13+'SALT'!E13+'SDN'!E13+'SST'!E13+'WH'!E13+'FH'!E13</f>
        <v/>
      </c>
      <c r="F13" s="16">
        <f>'ABA'!F13+'BK'!F13+'BW'!F13+'CED'!F13+'HAB'!F13+'HB'!F13+'OD'!F13+'HDN'!F13+'KIN'!F13+'LE'!F13+'MER'!F13+'NDN'!F13+'SALT'!F13+'SDN'!F13+'SST'!F13+'WH'!F13+'FH'!F13</f>
        <v/>
      </c>
      <c r="G13" s="16">
        <f>'ABA'!G13+'BK'!G13+'BW'!G13+'CED'!G13+'HAB'!G13+'HB'!G13+'OD'!G13+'HDN'!G13+'KIN'!G13+'LE'!G13+'MER'!G13+'NDN'!G13+'SALT'!G13+'SDN'!G13+'SST'!G13+'WH'!G13+'FH'!G13</f>
        <v/>
      </c>
      <c r="H13" s="16">
        <f>'ABA'!H13+'BK'!H13+'BW'!H13+'CED'!H13+'HAB'!H13+'HB'!H13+'OD'!H13+'HDN'!H13+'KIN'!H13+'LE'!H13+'MER'!H13+'NDN'!H13+'SALT'!H13+'SDN'!H13+'SST'!H13+'WH'!H13+'FH'!H13</f>
        <v/>
      </c>
      <c r="I13" s="16">
        <f>'ABA'!I13+'BK'!I13+'BW'!I13+'CED'!I13+'HAB'!I13+'HB'!I13+'OD'!I13+'HDN'!I13+'KIN'!I13+'LE'!I13+'MER'!I13+'NDN'!I13+'SALT'!I13+'SDN'!I13+'SST'!I13+'WH'!I13+'FH'!I13</f>
        <v/>
      </c>
      <c r="J13" s="16">
        <f>'ABA'!J13+'BK'!J13+'BW'!J13+'CED'!J13+'HAB'!J13+'HB'!J13+'OD'!J13+'HDN'!J13+'KIN'!J13+'LE'!J13+'MER'!J13+'NDN'!J13+'SALT'!J13+'SDN'!J13+'SST'!J13+'WH'!J13+'FH'!J13</f>
        <v/>
      </c>
      <c r="K13" s="16">
        <f>'ABA'!K13+'BK'!K13+'BW'!K13+'CED'!K13+'HAB'!K13+'HB'!K13+'OD'!K13+'HDN'!K13+'KIN'!K13+'LE'!K13+'MER'!K13+'NDN'!K13+'SALT'!K13+'SDN'!K13+'SST'!K13+'WH'!K13+'FH'!K13</f>
        <v/>
      </c>
      <c r="L13" s="16">
        <f>'ABA'!L13+'BK'!L13+'BW'!L13+'CED'!L13+'HAB'!L13+'HB'!L13+'OD'!L13+'HDN'!L13+'KIN'!L13+'LE'!L13+'MER'!L13+'NDN'!L13+'SALT'!L13+'SDN'!L13+'SST'!L13+'WH'!L13+'FH'!L13</f>
        <v/>
      </c>
      <c r="M13" s="16">
        <f>'ABA'!M13+'BK'!M13+'BW'!M13+'CED'!M13+'HAB'!M13+'HB'!M13+'OD'!M13+'HDN'!M13+'KIN'!M13+'LE'!M13+'MER'!M13+'NDN'!M13+'SALT'!M13+'SDN'!M13+'SST'!M13+'WH'!M13+'FH'!M13</f>
        <v/>
      </c>
      <c r="N13" s="16">
        <f>'ABA'!N13+'BK'!N13+'BW'!N13+'CED'!N13+'HAB'!N13+'HB'!N13+'OD'!N13+'HDN'!N13+'KIN'!N13+'LE'!N13+'MER'!N13+'NDN'!N13+'SALT'!N13+'SDN'!N13+'SST'!N13+'WH'!N13+'FH'!N13</f>
        <v/>
      </c>
      <c r="O13" s="16">
        <f>'ABA'!O13+'BK'!O13+'BW'!O13+'CED'!O13+'HAB'!O13+'HB'!O13+'OD'!O13+'HDN'!O13+'KIN'!O13+'LE'!O13+'MER'!O13+'NDN'!O13+'SALT'!O13+'SDN'!O13+'SST'!O13+'WH'!O13+'FH'!O13</f>
        <v/>
      </c>
      <c r="P13" s="16">
        <f>'ABA'!P13+'BK'!P13+'BW'!P13+'CED'!P13+'HAB'!P13+'HB'!P13+'OD'!P13+'HDN'!P13+'KIN'!P13+'LE'!P13+'MER'!P13+'NDN'!P13+'SALT'!P13+'SDN'!P13+'SST'!P13+'WH'!P13+'FH'!P13</f>
        <v/>
      </c>
      <c r="Q13" s="16">
        <f>'ABA'!Q13+'BK'!Q13+'BW'!Q13+'CED'!Q13+'HAB'!Q13+'HB'!Q13+'OD'!Q13+'HDN'!Q13+'KIN'!Q13+'LE'!Q13+'MER'!Q13+'NDN'!Q13+'SALT'!Q13+'SDN'!Q13+'SST'!Q13+'WH'!Q13+'FH'!Q13</f>
        <v/>
      </c>
      <c r="R13" s="16">
        <f>'ABA'!R13+'BK'!R13+'BW'!R13+'CED'!R13+'HAB'!R13+'HB'!R13+'OD'!R13+'HDN'!R13+'KIN'!R13+'LE'!R13+'MER'!R13+'NDN'!R13+'SALT'!R13+'SDN'!R13+'SST'!R13+'WH'!R13+'FH'!R13</f>
        <v/>
      </c>
      <c r="S13" s="16">
        <f>'ABA'!S13+'BK'!S13+'BW'!S13+'CED'!S13+'HAB'!S13+'HB'!S13+'OD'!S13+'HDN'!S13+'KIN'!S13+'LE'!S13+'MER'!S13+'NDN'!S13+'SALT'!S13+'SDN'!S13+'SST'!S13+'WH'!S13+'FH'!S13</f>
        <v/>
      </c>
      <c r="T13" s="16">
        <f>'ABA'!T13+'BK'!T13+'BW'!T13+'CED'!T13+'HAB'!T13+'HB'!T13+'OD'!T13+'HDN'!T13+'KIN'!T13+'LE'!T13+'MER'!T13+'NDN'!T13+'SALT'!T13+'SDN'!T13+'SST'!T13+'WH'!T13+'FH'!T13</f>
        <v/>
      </c>
      <c r="U13" s="16">
        <f>'ABA'!U13+'BK'!U13+'BW'!U13+'CED'!U13+'HAB'!U13+'HB'!U13+'OD'!U13+'HDN'!U13+'KIN'!U13+'LE'!U13+'MER'!U13+'NDN'!U13+'SALT'!U13+'SDN'!U13+'SST'!U13+'WH'!U13+'FH'!U13</f>
        <v/>
      </c>
      <c r="V13" s="16">
        <f>'ABA'!V13+'BK'!V13+'BW'!V13+'CED'!V13+'HAB'!V13+'HB'!V13+'OD'!V13+'HDN'!V13+'KIN'!V13+'LE'!V13+'MER'!V13+'NDN'!V13+'SALT'!V13+'SDN'!V13+'SST'!V13+'WH'!V13+'FH'!V13</f>
        <v/>
      </c>
      <c r="W13" s="16">
        <f>'ABA'!W13+'BK'!W13+'BW'!W13+'CED'!W13+'HAB'!W13+'HB'!W13+'OD'!W13+'HDN'!W13+'KIN'!W13+'LE'!W13+'MER'!W13+'NDN'!W13+'SALT'!W13+'SDN'!W13+'SST'!W13+'WH'!W13+'FH'!W13</f>
        <v/>
      </c>
      <c r="X13" s="16">
        <f>'ABA'!X13+'BK'!X13+'BW'!X13+'CED'!X13+'HAB'!X13+'HB'!X13+'OD'!X13+'HDN'!X13+'KIN'!X13+'LE'!X13+'MER'!X13+'NDN'!X13+'SALT'!X13+'SDN'!X13+'SST'!X13+'WH'!X13+'FH'!X13</f>
        <v/>
      </c>
      <c r="Y13" s="16">
        <f>'ABA'!Y13+'BK'!Y13+'BW'!Y13+'CED'!Y13+'HAB'!Y13+'HB'!Y13+'OD'!Y13+'HDN'!Y13+'KIN'!Y13+'LE'!Y13+'MER'!Y13+'NDN'!Y13+'SALT'!Y13+'SDN'!Y13+'SST'!Y13+'WH'!Y13+'FH'!Y13</f>
        <v/>
      </c>
      <c r="Z13" s="16">
        <f>'ABA'!Z13+'BK'!Z13+'BW'!Z13+'CED'!Z13+'HAB'!Z13+'HB'!Z13+'OD'!Z13+'HDN'!Z13+'KIN'!Z13+'LE'!Z13+'MER'!Z13+'NDN'!Z13+'SALT'!Z13+'SDN'!Z13+'SST'!Z13+'WH'!Z13+'FH'!Z13</f>
        <v/>
      </c>
      <c r="AA13" s="16">
        <f>'ABA'!AA13+'BK'!AA13+'BW'!AA13+'CED'!AA13+'HAB'!AA13+'HB'!AA13+'OD'!AA13+'HDN'!AA13+'KIN'!AA13+'LE'!AA13+'MER'!AA13+'NDN'!AA13+'SALT'!AA13+'SDN'!AA13+'SST'!AA13+'WH'!AA13+'FH'!AA13</f>
        <v/>
      </c>
      <c r="AB13" s="16">
        <f>'ABA'!AB13+'BK'!AB13+'BW'!AB13+'CED'!AB13+'HAB'!AB13+'HB'!AB13+'OD'!AB13+'HDN'!AB13+'KIN'!AB13+'LE'!AB13+'MER'!AB13+'NDN'!AB13+'SALT'!AB13+'SDN'!AB13+'SST'!AB13+'WH'!AB13+'FH'!AB13</f>
        <v/>
      </c>
      <c r="AC13" s="16">
        <f>'ABA'!AC13+'BK'!AC13+'BW'!AC13+'CED'!AC13+'HAB'!AC13+'HB'!AC13+'OD'!AC13+'HDN'!AC13+'KIN'!AC13+'LE'!AC13+'MER'!AC13+'NDN'!AC13+'SALT'!AC13+'SDN'!AC13+'SST'!AC13+'WH'!AC13+'FH'!AC13</f>
        <v/>
      </c>
      <c r="AD13" s="16">
        <f>'ABA'!AD13+'BK'!AD13+'BW'!AD13+'CED'!AD13+'HAB'!AD13+'HB'!AD13+'OD'!AD13+'HDN'!AD13+'KIN'!AD13+'LE'!AD13+'MER'!AD13+'NDN'!AD13+'SALT'!AD13+'SDN'!AD13+'SST'!AD13+'WH'!AD13+'FH'!AD13</f>
        <v/>
      </c>
      <c r="AE13" s="16">
        <f>'ABA'!AE13+'BK'!AE13+'BW'!AE13+'CED'!AE13+'HAB'!AE13+'HB'!AE13+'OD'!AE13+'HDN'!AE13+'KIN'!AE13+'LE'!AE13+'MER'!AE13+'NDN'!AE13+'SALT'!AE13+'SDN'!AE13+'SST'!AE13+'WH'!AE13+'FH'!AE13</f>
        <v/>
      </c>
      <c r="AF13" s="16">
        <f>'ABA'!AF13+'BK'!AF13+'BW'!AF13+'CED'!AF13+'HAB'!AF13+'HB'!AF13+'OD'!AF13+'HDN'!AF13+'KIN'!AF13+'LE'!AF13+'MER'!AF13+'NDN'!AF13+'SALT'!AF13+'SDN'!AF13+'SST'!AF13+'WH'!AF13+'FH'!AF13</f>
        <v/>
      </c>
      <c r="AG13" s="16">
        <f>'ABA'!AG13+'BK'!AG13+'BW'!AG13+'CED'!AG13+'HAB'!AG13+'HB'!AG13+'OD'!AG13+'HDN'!AG13+'KIN'!AG13+'LE'!AG13+'MER'!AG13+'NDN'!AG13+'SALT'!AG13+'SDN'!AG13+'SST'!AG13+'WH'!AG13+'FH'!AG13</f>
        <v/>
      </c>
      <c r="AH13" s="16">
        <f>'ABA'!AH13+'BK'!AH13+'BW'!AH13+'CED'!AH13+'HAB'!AH13+'HB'!AH13+'OD'!AH13+'HDN'!AH13+'KIN'!AH13+'LE'!AH13+'MER'!AH13+'NDN'!AH13+'SALT'!AH13+'SDN'!AH13+'SST'!AH13+'WH'!AH13+'FH'!AH13</f>
        <v/>
      </c>
      <c r="AI13" s="16">
        <f>'ABA'!AI13+'BK'!AI13+'BW'!AI13+'CED'!AI13+'HAB'!AI13+'HB'!AI13+'OD'!AI13+'HDN'!AI13+'KIN'!AI13+'LE'!AI13+'MER'!AI13+'NDN'!AI13+'SALT'!AI13+'SDN'!AI13+'SST'!AI13+'WH'!AI13+'FH'!AI13</f>
        <v/>
      </c>
      <c r="AJ13" s="16">
        <f>'ABA'!AJ13+'BK'!AJ13+'BW'!AJ13+'CED'!AJ13+'HAB'!AJ13+'HB'!AJ13+'OD'!AJ13+'HDN'!AJ13+'KIN'!AJ13+'LE'!AJ13+'MER'!AJ13+'NDN'!AJ13+'SALT'!AJ13+'SDN'!AJ13+'SST'!AJ13+'WH'!AJ13+'FH'!AJ13</f>
        <v/>
      </c>
      <c r="AK13" s="11">
        <f>IF(N13&lt;&gt;0,(AB13-N13)/ABS(N13),0)</f>
        <v/>
      </c>
      <c r="AL13" s="11">
        <f>IF(AB13&lt;&gt;0,(AJ13-AB13)/ABS(AB13),0)</f>
        <v/>
      </c>
    </row>
    <row r="14" ht="13" customHeight="1">
      <c r="A14" s="15" t="inlineStr">
        <is>
          <t xml:space="preserve">    Uniform</t>
        </is>
      </c>
      <c r="B14" s="16">
        <f>'ABA'!B14+'BK'!B14+'BW'!B14+'CED'!B14+'HAB'!B14+'HB'!B14+'OD'!B14+'HDN'!B14+'KIN'!B14+'LE'!B14+'MER'!B14+'NDN'!B14+'SALT'!B14+'SDN'!B14+'SST'!B14+'WH'!B14+'FH'!B14</f>
        <v/>
      </c>
      <c r="C14" s="16">
        <f>'ABA'!C14+'BK'!C14+'BW'!C14+'CED'!C14+'HAB'!C14+'HB'!C14+'OD'!C14+'HDN'!C14+'KIN'!C14+'LE'!C14+'MER'!C14+'NDN'!C14+'SALT'!C14+'SDN'!C14+'SST'!C14+'WH'!C14+'FH'!C14</f>
        <v/>
      </c>
      <c r="D14" s="16">
        <f>'ABA'!D14+'BK'!D14+'BW'!D14+'CED'!D14+'HAB'!D14+'HB'!D14+'OD'!D14+'HDN'!D14+'KIN'!D14+'LE'!D14+'MER'!D14+'NDN'!D14+'SALT'!D14+'SDN'!D14+'SST'!D14+'WH'!D14+'FH'!D14</f>
        <v/>
      </c>
      <c r="E14" s="16">
        <f>'ABA'!E14+'BK'!E14+'BW'!E14+'CED'!E14+'HAB'!E14+'HB'!E14+'OD'!E14+'HDN'!E14+'KIN'!E14+'LE'!E14+'MER'!E14+'NDN'!E14+'SALT'!E14+'SDN'!E14+'SST'!E14+'WH'!E14+'FH'!E14</f>
        <v/>
      </c>
      <c r="F14" s="16">
        <f>'ABA'!F14+'BK'!F14+'BW'!F14+'CED'!F14+'HAB'!F14+'HB'!F14+'OD'!F14+'HDN'!F14+'KIN'!F14+'LE'!F14+'MER'!F14+'NDN'!F14+'SALT'!F14+'SDN'!F14+'SST'!F14+'WH'!F14+'FH'!F14</f>
        <v/>
      </c>
      <c r="G14" s="16">
        <f>'ABA'!G14+'BK'!G14+'BW'!G14+'CED'!G14+'HAB'!G14+'HB'!G14+'OD'!G14+'HDN'!G14+'KIN'!G14+'LE'!G14+'MER'!G14+'NDN'!G14+'SALT'!G14+'SDN'!G14+'SST'!G14+'WH'!G14+'FH'!G14</f>
        <v/>
      </c>
      <c r="H14" s="16">
        <f>'ABA'!H14+'BK'!H14+'BW'!H14+'CED'!H14+'HAB'!H14+'HB'!H14+'OD'!H14+'HDN'!H14+'KIN'!H14+'LE'!H14+'MER'!H14+'NDN'!H14+'SALT'!H14+'SDN'!H14+'SST'!H14+'WH'!H14+'FH'!H14</f>
        <v/>
      </c>
      <c r="I14" s="16">
        <f>'ABA'!I14+'BK'!I14+'BW'!I14+'CED'!I14+'HAB'!I14+'HB'!I14+'OD'!I14+'HDN'!I14+'KIN'!I14+'LE'!I14+'MER'!I14+'NDN'!I14+'SALT'!I14+'SDN'!I14+'SST'!I14+'WH'!I14+'FH'!I14</f>
        <v/>
      </c>
      <c r="J14" s="16">
        <f>'ABA'!J14+'BK'!J14+'BW'!J14+'CED'!J14+'HAB'!J14+'HB'!J14+'OD'!J14+'HDN'!J14+'KIN'!J14+'LE'!J14+'MER'!J14+'NDN'!J14+'SALT'!J14+'SDN'!J14+'SST'!J14+'WH'!J14+'FH'!J14</f>
        <v/>
      </c>
      <c r="K14" s="16">
        <f>'ABA'!K14+'BK'!K14+'BW'!K14+'CED'!K14+'HAB'!K14+'HB'!K14+'OD'!K14+'HDN'!K14+'KIN'!K14+'LE'!K14+'MER'!K14+'NDN'!K14+'SALT'!K14+'SDN'!K14+'SST'!K14+'WH'!K14+'FH'!K14</f>
        <v/>
      </c>
      <c r="L14" s="16">
        <f>'ABA'!L14+'BK'!L14+'BW'!L14+'CED'!L14+'HAB'!L14+'HB'!L14+'OD'!L14+'HDN'!L14+'KIN'!L14+'LE'!L14+'MER'!L14+'NDN'!L14+'SALT'!L14+'SDN'!L14+'SST'!L14+'WH'!L14+'FH'!L14</f>
        <v/>
      </c>
      <c r="M14" s="16">
        <f>'ABA'!M14+'BK'!M14+'BW'!M14+'CED'!M14+'HAB'!M14+'HB'!M14+'OD'!M14+'HDN'!M14+'KIN'!M14+'LE'!M14+'MER'!M14+'NDN'!M14+'SALT'!M14+'SDN'!M14+'SST'!M14+'WH'!M14+'FH'!M14</f>
        <v/>
      </c>
      <c r="N14" s="16">
        <f>'ABA'!N14+'BK'!N14+'BW'!N14+'CED'!N14+'HAB'!N14+'HB'!N14+'OD'!N14+'HDN'!N14+'KIN'!N14+'LE'!N14+'MER'!N14+'NDN'!N14+'SALT'!N14+'SDN'!N14+'SST'!N14+'WH'!N14+'FH'!N14</f>
        <v/>
      </c>
      <c r="O14" s="16">
        <f>'ABA'!O14+'BK'!O14+'BW'!O14+'CED'!O14+'HAB'!O14+'HB'!O14+'OD'!O14+'HDN'!O14+'KIN'!O14+'LE'!O14+'MER'!O14+'NDN'!O14+'SALT'!O14+'SDN'!O14+'SST'!O14+'WH'!O14+'FH'!O14</f>
        <v/>
      </c>
      <c r="P14" s="16">
        <f>'ABA'!P14+'BK'!P14+'BW'!P14+'CED'!P14+'HAB'!P14+'HB'!P14+'OD'!P14+'HDN'!P14+'KIN'!P14+'LE'!P14+'MER'!P14+'NDN'!P14+'SALT'!P14+'SDN'!P14+'SST'!P14+'WH'!P14+'FH'!P14</f>
        <v/>
      </c>
      <c r="Q14" s="16">
        <f>'ABA'!Q14+'BK'!Q14+'BW'!Q14+'CED'!Q14+'HAB'!Q14+'HB'!Q14+'OD'!Q14+'HDN'!Q14+'KIN'!Q14+'LE'!Q14+'MER'!Q14+'NDN'!Q14+'SALT'!Q14+'SDN'!Q14+'SST'!Q14+'WH'!Q14+'FH'!Q14</f>
        <v/>
      </c>
      <c r="R14" s="16">
        <f>'ABA'!R14+'BK'!R14+'BW'!R14+'CED'!R14+'HAB'!R14+'HB'!R14+'OD'!R14+'HDN'!R14+'KIN'!R14+'LE'!R14+'MER'!R14+'NDN'!R14+'SALT'!R14+'SDN'!R14+'SST'!R14+'WH'!R14+'FH'!R14</f>
        <v/>
      </c>
      <c r="S14" s="16">
        <f>'ABA'!S14+'BK'!S14+'BW'!S14+'CED'!S14+'HAB'!S14+'HB'!S14+'OD'!S14+'HDN'!S14+'KIN'!S14+'LE'!S14+'MER'!S14+'NDN'!S14+'SALT'!S14+'SDN'!S14+'SST'!S14+'WH'!S14+'FH'!S14</f>
        <v/>
      </c>
      <c r="T14" s="16">
        <f>'ABA'!T14+'BK'!T14+'BW'!T14+'CED'!T14+'HAB'!T14+'HB'!T14+'OD'!T14+'HDN'!T14+'KIN'!T14+'LE'!T14+'MER'!T14+'NDN'!T14+'SALT'!T14+'SDN'!T14+'SST'!T14+'WH'!T14+'FH'!T14</f>
        <v/>
      </c>
      <c r="U14" s="16">
        <f>'ABA'!U14+'BK'!U14+'BW'!U14+'CED'!U14+'HAB'!U14+'HB'!U14+'OD'!U14+'HDN'!U14+'KIN'!U14+'LE'!U14+'MER'!U14+'NDN'!U14+'SALT'!U14+'SDN'!U14+'SST'!U14+'WH'!U14+'FH'!U14</f>
        <v/>
      </c>
      <c r="V14" s="16">
        <f>'ABA'!V14+'BK'!V14+'BW'!V14+'CED'!V14+'HAB'!V14+'HB'!V14+'OD'!V14+'HDN'!V14+'KIN'!V14+'LE'!V14+'MER'!V14+'NDN'!V14+'SALT'!V14+'SDN'!V14+'SST'!V14+'WH'!V14+'FH'!V14</f>
        <v/>
      </c>
      <c r="W14" s="16">
        <f>'ABA'!W14+'BK'!W14+'BW'!W14+'CED'!W14+'HAB'!W14+'HB'!W14+'OD'!W14+'HDN'!W14+'KIN'!W14+'LE'!W14+'MER'!W14+'NDN'!W14+'SALT'!W14+'SDN'!W14+'SST'!W14+'WH'!W14+'FH'!W14</f>
        <v/>
      </c>
      <c r="X14" s="16">
        <f>'ABA'!X14+'BK'!X14+'BW'!X14+'CED'!X14+'HAB'!X14+'HB'!X14+'OD'!X14+'HDN'!X14+'KIN'!X14+'LE'!X14+'MER'!X14+'NDN'!X14+'SALT'!X14+'SDN'!X14+'SST'!X14+'WH'!X14+'FH'!X14</f>
        <v/>
      </c>
      <c r="Y14" s="16">
        <f>'ABA'!Y14+'BK'!Y14+'BW'!Y14+'CED'!Y14+'HAB'!Y14+'HB'!Y14+'OD'!Y14+'HDN'!Y14+'KIN'!Y14+'LE'!Y14+'MER'!Y14+'NDN'!Y14+'SALT'!Y14+'SDN'!Y14+'SST'!Y14+'WH'!Y14+'FH'!Y14</f>
        <v/>
      </c>
      <c r="Z14" s="16">
        <f>'ABA'!Z14+'BK'!Z14+'BW'!Z14+'CED'!Z14+'HAB'!Z14+'HB'!Z14+'OD'!Z14+'HDN'!Z14+'KIN'!Z14+'LE'!Z14+'MER'!Z14+'NDN'!Z14+'SALT'!Z14+'SDN'!Z14+'SST'!Z14+'WH'!Z14+'FH'!Z14</f>
        <v/>
      </c>
      <c r="AA14" s="16">
        <f>'ABA'!AA14+'BK'!AA14+'BW'!AA14+'CED'!AA14+'HAB'!AA14+'HB'!AA14+'OD'!AA14+'HDN'!AA14+'KIN'!AA14+'LE'!AA14+'MER'!AA14+'NDN'!AA14+'SALT'!AA14+'SDN'!AA14+'SST'!AA14+'WH'!AA14+'FH'!AA14</f>
        <v/>
      </c>
      <c r="AB14" s="16">
        <f>'ABA'!AB14+'BK'!AB14+'BW'!AB14+'CED'!AB14+'HAB'!AB14+'HB'!AB14+'OD'!AB14+'HDN'!AB14+'KIN'!AB14+'LE'!AB14+'MER'!AB14+'NDN'!AB14+'SALT'!AB14+'SDN'!AB14+'SST'!AB14+'WH'!AB14+'FH'!AB14</f>
        <v/>
      </c>
      <c r="AC14" s="16">
        <f>'ABA'!AC14+'BK'!AC14+'BW'!AC14+'CED'!AC14+'HAB'!AC14+'HB'!AC14+'OD'!AC14+'HDN'!AC14+'KIN'!AC14+'LE'!AC14+'MER'!AC14+'NDN'!AC14+'SALT'!AC14+'SDN'!AC14+'SST'!AC14+'WH'!AC14+'FH'!AC14</f>
        <v/>
      </c>
      <c r="AD14" s="16">
        <f>'ABA'!AD14+'BK'!AD14+'BW'!AD14+'CED'!AD14+'HAB'!AD14+'HB'!AD14+'OD'!AD14+'HDN'!AD14+'KIN'!AD14+'LE'!AD14+'MER'!AD14+'NDN'!AD14+'SALT'!AD14+'SDN'!AD14+'SST'!AD14+'WH'!AD14+'FH'!AD14</f>
        <v/>
      </c>
      <c r="AE14" s="16">
        <f>'ABA'!AE14+'BK'!AE14+'BW'!AE14+'CED'!AE14+'HAB'!AE14+'HB'!AE14+'OD'!AE14+'HDN'!AE14+'KIN'!AE14+'LE'!AE14+'MER'!AE14+'NDN'!AE14+'SALT'!AE14+'SDN'!AE14+'SST'!AE14+'WH'!AE14+'FH'!AE14</f>
        <v/>
      </c>
      <c r="AF14" s="16">
        <f>'ABA'!AF14+'BK'!AF14+'BW'!AF14+'CED'!AF14+'HAB'!AF14+'HB'!AF14+'OD'!AF14+'HDN'!AF14+'KIN'!AF14+'LE'!AF14+'MER'!AF14+'NDN'!AF14+'SALT'!AF14+'SDN'!AF14+'SST'!AF14+'WH'!AF14+'FH'!AF14</f>
        <v/>
      </c>
      <c r="AG14" s="16">
        <f>'ABA'!AG14+'BK'!AG14+'BW'!AG14+'CED'!AG14+'HAB'!AG14+'HB'!AG14+'OD'!AG14+'HDN'!AG14+'KIN'!AG14+'LE'!AG14+'MER'!AG14+'NDN'!AG14+'SALT'!AG14+'SDN'!AG14+'SST'!AG14+'WH'!AG14+'FH'!AG14</f>
        <v/>
      </c>
      <c r="AH14" s="16">
        <f>'ABA'!AH14+'BK'!AH14+'BW'!AH14+'CED'!AH14+'HAB'!AH14+'HB'!AH14+'OD'!AH14+'HDN'!AH14+'KIN'!AH14+'LE'!AH14+'MER'!AH14+'NDN'!AH14+'SALT'!AH14+'SDN'!AH14+'SST'!AH14+'WH'!AH14+'FH'!AH14</f>
        <v/>
      </c>
      <c r="AI14" s="16">
        <f>'ABA'!AI14+'BK'!AI14+'BW'!AI14+'CED'!AI14+'HAB'!AI14+'HB'!AI14+'OD'!AI14+'HDN'!AI14+'KIN'!AI14+'LE'!AI14+'MER'!AI14+'NDN'!AI14+'SALT'!AI14+'SDN'!AI14+'SST'!AI14+'WH'!AI14+'FH'!AI14</f>
        <v/>
      </c>
      <c r="AJ14" s="16">
        <f>'ABA'!AJ14+'BK'!AJ14+'BW'!AJ14+'CED'!AJ14+'HAB'!AJ14+'HB'!AJ14+'OD'!AJ14+'HDN'!AJ14+'KIN'!AJ14+'LE'!AJ14+'MER'!AJ14+'NDN'!AJ14+'SALT'!AJ14+'SDN'!AJ14+'SST'!AJ14+'WH'!AJ14+'FH'!AJ14</f>
        <v/>
      </c>
      <c r="AK14" s="11">
        <f>IF(N14&lt;&gt;0,(AB14-N14)/ABS(N14),0)</f>
        <v/>
      </c>
      <c r="AL14" s="11">
        <f>IF(AB14&lt;&gt;0,(AJ14-AB14)/ABS(AB14),0)</f>
        <v/>
      </c>
    </row>
    <row r="15" ht="13" customHeight="1">
      <c r="A15" s="15" t="inlineStr">
        <is>
          <t xml:space="preserve">    Training</t>
        </is>
      </c>
      <c r="B15" s="16">
        <f>'ABA'!B15+'BK'!B15+'BW'!B15+'CED'!B15+'HAB'!B15+'HB'!B15+'OD'!B15+'HDN'!B15+'KIN'!B15+'LE'!B15+'MER'!B15+'NDN'!B15+'SALT'!B15+'SDN'!B15+'SST'!B15+'WH'!B15+'FH'!B15</f>
        <v/>
      </c>
      <c r="C15" s="16">
        <f>'ABA'!C15+'BK'!C15+'BW'!C15+'CED'!C15+'HAB'!C15+'HB'!C15+'OD'!C15+'HDN'!C15+'KIN'!C15+'LE'!C15+'MER'!C15+'NDN'!C15+'SALT'!C15+'SDN'!C15+'SST'!C15+'WH'!C15+'FH'!C15</f>
        <v/>
      </c>
      <c r="D15" s="16">
        <f>'ABA'!D15+'BK'!D15+'BW'!D15+'CED'!D15+'HAB'!D15+'HB'!D15+'OD'!D15+'HDN'!D15+'KIN'!D15+'LE'!D15+'MER'!D15+'NDN'!D15+'SALT'!D15+'SDN'!D15+'SST'!D15+'WH'!D15+'FH'!D15</f>
        <v/>
      </c>
      <c r="E15" s="16">
        <f>'ABA'!E15+'BK'!E15+'BW'!E15+'CED'!E15+'HAB'!E15+'HB'!E15+'OD'!E15+'HDN'!E15+'KIN'!E15+'LE'!E15+'MER'!E15+'NDN'!E15+'SALT'!E15+'SDN'!E15+'SST'!E15+'WH'!E15+'FH'!E15</f>
        <v/>
      </c>
      <c r="F15" s="16">
        <f>'ABA'!F15+'BK'!F15+'BW'!F15+'CED'!F15+'HAB'!F15+'HB'!F15+'OD'!F15+'HDN'!F15+'KIN'!F15+'LE'!F15+'MER'!F15+'NDN'!F15+'SALT'!F15+'SDN'!F15+'SST'!F15+'WH'!F15+'FH'!F15</f>
        <v/>
      </c>
      <c r="G15" s="16">
        <f>'ABA'!G15+'BK'!G15+'BW'!G15+'CED'!G15+'HAB'!G15+'HB'!G15+'OD'!G15+'HDN'!G15+'KIN'!G15+'LE'!G15+'MER'!G15+'NDN'!G15+'SALT'!G15+'SDN'!G15+'SST'!G15+'WH'!G15+'FH'!G15</f>
        <v/>
      </c>
      <c r="H15" s="16">
        <f>'ABA'!H15+'BK'!H15+'BW'!H15+'CED'!H15+'HAB'!H15+'HB'!H15+'OD'!H15+'HDN'!H15+'KIN'!H15+'LE'!H15+'MER'!H15+'NDN'!H15+'SALT'!H15+'SDN'!H15+'SST'!H15+'WH'!H15+'FH'!H15</f>
        <v/>
      </c>
      <c r="I15" s="16">
        <f>'ABA'!I15+'BK'!I15+'BW'!I15+'CED'!I15+'HAB'!I15+'HB'!I15+'OD'!I15+'HDN'!I15+'KIN'!I15+'LE'!I15+'MER'!I15+'NDN'!I15+'SALT'!I15+'SDN'!I15+'SST'!I15+'WH'!I15+'FH'!I15</f>
        <v/>
      </c>
      <c r="J15" s="16">
        <f>'ABA'!J15+'BK'!J15+'BW'!J15+'CED'!J15+'HAB'!J15+'HB'!J15+'OD'!J15+'HDN'!J15+'KIN'!J15+'LE'!J15+'MER'!J15+'NDN'!J15+'SALT'!J15+'SDN'!J15+'SST'!J15+'WH'!J15+'FH'!J15</f>
        <v/>
      </c>
      <c r="K15" s="16">
        <f>'ABA'!K15+'BK'!K15+'BW'!K15+'CED'!K15+'HAB'!K15+'HB'!K15+'OD'!K15+'HDN'!K15+'KIN'!K15+'LE'!K15+'MER'!K15+'NDN'!K15+'SALT'!K15+'SDN'!K15+'SST'!K15+'WH'!K15+'FH'!K15</f>
        <v/>
      </c>
      <c r="L15" s="16">
        <f>'ABA'!L15+'BK'!L15+'BW'!L15+'CED'!L15+'HAB'!L15+'HB'!L15+'OD'!L15+'HDN'!L15+'KIN'!L15+'LE'!L15+'MER'!L15+'NDN'!L15+'SALT'!L15+'SDN'!L15+'SST'!L15+'WH'!L15+'FH'!L15</f>
        <v/>
      </c>
      <c r="M15" s="16">
        <f>'ABA'!M15+'BK'!M15+'BW'!M15+'CED'!M15+'HAB'!M15+'HB'!M15+'OD'!M15+'HDN'!M15+'KIN'!M15+'LE'!M15+'MER'!M15+'NDN'!M15+'SALT'!M15+'SDN'!M15+'SST'!M15+'WH'!M15+'FH'!M15</f>
        <v/>
      </c>
      <c r="N15" s="16">
        <f>'ABA'!N15+'BK'!N15+'BW'!N15+'CED'!N15+'HAB'!N15+'HB'!N15+'OD'!N15+'HDN'!N15+'KIN'!N15+'LE'!N15+'MER'!N15+'NDN'!N15+'SALT'!N15+'SDN'!N15+'SST'!N15+'WH'!N15+'FH'!N15</f>
        <v/>
      </c>
      <c r="O15" s="16">
        <f>'ABA'!O15+'BK'!O15+'BW'!O15+'CED'!O15+'HAB'!O15+'HB'!O15+'OD'!O15+'HDN'!O15+'KIN'!O15+'LE'!O15+'MER'!O15+'NDN'!O15+'SALT'!O15+'SDN'!O15+'SST'!O15+'WH'!O15+'FH'!O15</f>
        <v/>
      </c>
      <c r="P15" s="16">
        <f>'ABA'!P15+'BK'!P15+'BW'!P15+'CED'!P15+'HAB'!P15+'HB'!P15+'OD'!P15+'HDN'!P15+'KIN'!P15+'LE'!P15+'MER'!P15+'NDN'!P15+'SALT'!P15+'SDN'!P15+'SST'!P15+'WH'!P15+'FH'!P15</f>
        <v/>
      </c>
      <c r="Q15" s="16">
        <f>'ABA'!Q15+'BK'!Q15+'BW'!Q15+'CED'!Q15+'HAB'!Q15+'HB'!Q15+'OD'!Q15+'HDN'!Q15+'KIN'!Q15+'LE'!Q15+'MER'!Q15+'NDN'!Q15+'SALT'!Q15+'SDN'!Q15+'SST'!Q15+'WH'!Q15+'FH'!Q15</f>
        <v/>
      </c>
      <c r="R15" s="16">
        <f>'ABA'!R15+'BK'!R15+'BW'!R15+'CED'!R15+'HAB'!R15+'HB'!R15+'OD'!R15+'HDN'!R15+'KIN'!R15+'LE'!R15+'MER'!R15+'NDN'!R15+'SALT'!R15+'SDN'!R15+'SST'!R15+'WH'!R15+'FH'!R15</f>
        <v/>
      </c>
      <c r="S15" s="16">
        <f>'ABA'!S15+'BK'!S15+'BW'!S15+'CED'!S15+'HAB'!S15+'HB'!S15+'OD'!S15+'HDN'!S15+'KIN'!S15+'LE'!S15+'MER'!S15+'NDN'!S15+'SALT'!S15+'SDN'!S15+'SST'!S15+'WH'!S15+'FH'!S15</f>
        <v/>
      </c>
      <c r="T15" s="16">
        <f>'ABA'!T15+'BK'!T15+'BW'!T15+'CED'!T15+'HAB'!T15+'HB'!T15+'OD'!T15+'HDN'!T15+'KIN'!T15+'LE'!T15+'MER'!T15+'NDN'!T15+'SALT'!T15+'SDN'!T15+'SST'!T15+'WH'!T15+'FH'!T15</f>
        <v/>
      </c>
      <c r="U15" s="16">
        <f>'ABA'!U15+'BK'!U15+'BW'!U15+'CED'!U15+'HAB'!U15+'HB'!U15+'OD'!U15+'HDN'!U15+'KIN'!U15+'LE'!U15+'MER'!U15+'NDN'!U15+'SALT'!U15+'SDN'!U15+'SST'!U15+'WH'!U15+'FH'!U15</f>
        <v/>
      </c>
      <c r="V15" s="16">
        <f>'ABA'!V15+'BK'!V15+'BW'!V15+'CED'!V15+'HAB'!V15+'HB'!V15+'OD'!V15+'HDN'!V15+'KIN'!V15+'LE'!V15+'MER'!V15+'NDN'!V15+'SALT'!V15+'SDN'!V15+'SST'!V15+'WH'!V15+'FH'!V15</f>
        <v/>
      </c>
      <c r="W15" s="16">
        <f>'ABA'!W15+'BK'!W15+'BW'!W15+'CED'!W15+'HAB'!W15+'HB'!W15+'OD'!W15+'HDN'!W15+'KIN'!W15+'LE'!W15+'MER'!W15+'NDN'!W15+'SALT'!W15+'SDN'!W15+'SST'!W15+'WH'!W15+'FH'!W15</f>
        <v/>
      </c>
      <c r="X15" s="16">
        <f>'ABA'!X15+'BK'!X15+'BW'!X15+'CED'!X15+'HAB'!X15+'HB'!X15+'OD'!X15+'HDN'!X15+'KIN'!X15+'LE'!X15+'MER'!X15+'NDN'!X15+'SALT'!X15+'SDN'!X15+'SST'!X15+'WH'!X15+'FH'!X15</f>
        <v/>
      </c>
      <c r="Y15" s="16">
        <f>'ABA'!Y15+'BK'!Y15+'BW'!Y15+'CED'!Y15+'HAB'!Y15+'HB'!Y15+'OD'!Y15+'HDN'!Y15+'KIN'!Y15+'LE'!Y15+'MER'!Y15+'NDN'!Y15+'SALT'!Y15+'SDN'!Y15+'SST'!Y15+'WH'!Y15+'FH'!Y15</f>
        <v/>
      </c>
      <c r="Z15" s="16">
        <f>'ABA'!Z15+'BK'!Z15+'BW'!Z15+'CED'!Z15+'HAB'!Z15+'HB'!Z15+'OD'!Z15+'HDN'!Z15+'KIN'!Z15+'LE'!Z15+'MER'!Z15+'NDN'!Z15+'SALT'!Z15+'SDN'!Z15+'SST'!Z15+'WH'!Z15+'FH'!Z15</f>
        <v/>
      </c>
      <c r="AA15" s="16">
        <f>'ABA'!AA15+'BK'!AA15+'BW'!AA15+'CED'!AA15+'HAB'!AA15+'HB'!AA15+'OD'!AA15+'HDN'!AA15+'KIN'!AA15+'LE'!AA15+'MER'!AA15+'NDN'!AA15+'SALT'!AA15+'SDN'!AA15+'SST'!AA15+'WH'!AA15+'FH'!AA15</f>
        <v/>
      </c>
      <c r="AB15" s="16">
        <f>'ABA'!AB15+'BK'!AB15+'BW'!AB15+'CED'!AB15+'HAB'!AB15+'HB'!AB15+'OD'!AB15+'HDN'!AB15+'KIN'!AB15+'LE'!AB15+'MER'!AB15+'NDN'!AB15+'SALT'!AB15+'SDN'!AB15+'SST'!AB15+'WH'!AB15+'FH'!AB15</f>
        <v/>
      </c>
      <c r="AC15" s="16">
        <f>'ABA'!AC15+'BK'!AC15+'BW'!AC15+'CED'!AC15+'HAB'!AC15+'HB'!AC15+'OD'!AC15+'HDN'!AC15+'KIN'!AC15+'LE'!AC15+'MER'!AC15+'NDN'!AC15+'SALT'!AC15+'SDN'!AC15+'SST'!AC15+'WH'!AC15+'FH'!AC15</f>
        <v/>
      </c>
      <c r="AD15" s="16">
        <f>'ABA'!AD15+'BK'!AD15+'BW'!AD15+'CED'!AD15+'HAB'!AD15+'HB'!AD15+'OD'!AD15+'HDN'!AD15+'KIN'!AD15+'LE'!AD15+'MER'!AD15+'NDN'!AD15+'SALT'!AD15+'SDN'!AD15+'SST'!AD15+'WH'!AD15+'FH'!AD15</f>
        <v/>
      </c>
      <c r="AE15" s="16">
        <f>'ABA'!AE15+'BK'!AE15+'BW'!AE15+'CED'!AE15+'HAB'!AE15+'HB'!AE15+'OD'!AE15+'HDN'!AE15+'KIN'!AE15+'LE'!AE15+'MER'!AE15+'NDN'!AE15+'SALT'!AE15+'SDN'!AE15+'SST'!AE15+'WH'!AE15+'FH'!AE15</f>
        <v/>
      </c>
      <c r="AF15" s="16">
        <f>'ABA'!AF15+'BK'!AF15+'BW'!AF15+'CED'!AF15+'HAB'!AF15+'HB'!AF15+'OD'!AF15+'HDN'!AF15+'KIN'!AF15+'LE'!AF15+'MER'!AF15+'NDN'!AF15+'SALT'!AF15+'SDN'!AF15+'SST'!AF15+'WH'!AF15+'FH'!AF15</f>
        <v/>
      </c>
      <c r="AG15" s="16">
        <f>'ABA'!AG15+'BK'!AG15+'BW'!AG15+'CED'!AG15+'HAB'!AG15+'HB'!AG15+'OD'!AG15+'HDN'!AG15+'KIN'!AG15+'LE'!AG15+'MER'!AG15+'NDN'!AG15+'SALT'!AG15+'SDN'!AG15+'SST'!AG15+'WH'!AG15+'FH'!AG15</f>
        <v/>
      </c>
      <c r="AH15" s="16">
        <f>'ABA'!AH15+'BK'!AH15+'BW'!AH15+'CED'!AH15+'HAB'!AH15+'HB'!AH15+'OD'!AH15+'HDN'!AH15+'KIN'!AH15+'LE'!AH15+'MER'!AH15+'NDN'!AH15+'SALT'!AH15+'SDN'!AH15+'SST'!AH15+'WH'!AH15+'FH'!AH15</f>
        <v/>
      </c>
      <c r="AI15" s="16">
        <f>'ABA'!AI15+'BK'!AI15+'BW'!AI15+'CED'!AI15+'HAB'!AI15+'HB'!AI15+'OD'!AI15+'HDN'!AI15+'KIN'!AI15+'LE'!AI15+'MER'!AI15+'NDN'!AI15+'SALT'!AI15+'SDN'!AI15+'SST'!AI15+'WH'!AI15+'FH'!AI15</f>
        <v/>
      </c>
      <c r="AJ15" s="16">
        <f>'ABA'!AJ15+'BK'!AJ15+'BW'!AJ15+'CED'!AJ15+'HAB'!AJ15+'HB'!AJ15+'OD'!AJ15+'HDN'!AJ15+'KIN'!AJ15+'LE'!AJ15+'MER'!AJ15+'NDN'!AJ15+'SALT'!AJ15+'SDN'!AJ15+'SST'!AJ15+'WH'!AJ15+'FH'!AJ15</f>
        <v/>
      </c>
      <c r="AK15" s="11">
        <f>IF(N15&lt;&gt;0,(AB15-N15)/ABS(N15),0)</f>
        <v/>
      </c>
      <c r="AL15" s="11">
        <f>IF(AB15&lt;&gt;0,(AJ15-AB15)/ABS(AB15),0)</f>
        <v/>
      </c>
    </row>
    <row r="16" ht="13" customHeight="1">
      <c r="A16" s="15" t="inlineStr">
        <is>
          <t xml:space="preserve">    Staff Welfare</t>
        </is>
      </c>
      <c r="B16" s="16">
        <f>'ABA'!B16+'BK'!B16+'BW'!B16+'CED'!B16+'HAB'!B16+'HB'!B16+'OD'!B16+'HDN'!B16+'KIN'!B16+'LE'!B16+'MER'!B16+'NDN'!B16+'SALT'!B16+'SDN'!B16+'SST'!B16+'WH'!B16+'FH'!B16</f>
        <v/>
      </c>
      <c r="C16" s="16">
        <f>'ABA'!C16+'BK'!C16+'BW'!C16+'CED'!C16+'HAB'!C16+'HB'!C16+'OD'!C16+'HDN'!C16+'KIN'!C16+'LE'!C16+'MER'!C16+'NDN'!C16+'SALT'!C16+'SDN'!C16+'SST'!C16+'WH'!C16+'FH'!C16</f>
        <v/>
      </c>
      <c r="D16" s="16">
        <f>'ABA'!D16+'BK'!D16+'BW'!D16+'CED'!D16+'HAB'!D16+'HB'!D16+'OD'!D16+'HDN'!D16+'KIN'!D16+'LE'!D16+'MER'!D16+'NDN'!D16+'SALT'!D16+'SDN'!D16+'SST'!D16+'WH'!D16+'FH'!D16</f>
        <v/>
      </c>
      <c r="E16" s="16">
        <f>'ABA'!E16+'BK'!E16+'BW'!E16+'CED'!E16+'HAB'!E16+'HB'!E16+'OD'!E16+'HDN'!E16+'KIN'!E16+'LE'!E16+'MER'!E16+'NDN'!E16+'SALT'!E16+'SDN'!E16+'SST'!E16+'WH'!E16+'FH'!E16</f>
        <v/>
      </c>
      <c r="F16" s="16">
        <f>'ABA'!F16+'BK'!F16+'BW'!F16+'CED'!F16+'HAB'!F16+'HB'!F16+'OD'!F16+'HDN'!F16+'KIN'!F16+'LE'!F16+'MER'!F16+'NDN'!F16+'SALT'!F16+'SDN'!F16+'SST'!F16+'WH'!F16+'FH'!F16</f>
        <v/>
      </c>
      <c r="G16" s="16">
        <f>'ABA'!G16+'BK'!G16+'BW'!G16+'CED'!G16+'HAB'!G16+'HB'!G16+'OD'!G16+'HDN'!G16+'KIN'!G16+'LE'!G16+'MER'!G16+'NDN'!G16+'SALT'!G16+'SDN'!G16+'SST'!G16+'WH'!G16+'FH'!G16</f>
        <v/>
      </c>
      <c r="H16" s="16">
        <f>'ABA'!H16+'BK'!H16+'BW'!H16+'CED'!H16+'HAB'!H16+'HB'!H16+'OD'!H16+'HDN'!H16+'KIN'!H16+'LE'!H16+'MER'!H16+'NDN'!H16+'SALT'!H16+'SDN'!H16+'SST'!H16+'WH'!H16+'FH'!H16</f>
        <v/>
      </c>
      <c r="I16" s="16">
        <f>'ABA'!I16+'BK'!I16+'BW'!I16+'CED'!I16+'HAB'!I16+'HB'!I16+'OD'!I16+'HDN'!I16+'KIN'!I16+'LE'!I16+'MER'!I16+'NDN'!I16+'SALT'!I16+'SDN'!I16+'SST'!I16+'WH'!I16+'FH'!I16</f>
        <v/>
      </c>
      <c r="J16" s="16">
        <f>'ABA'!J16+'BK'!J16+'BW'!J16+'CED'!J16+'HAB'!J16+'HB'!J16+'OD'!J16+'HDN'!J16+'KIN'!J16+'LE'!J16+'MER'!J16+'NDN'!J16+'SALT'!J16+'SDN'!J16+'SST'!J16+'WH'!J16+'FH'!J16</f>
        <v/>
      </c>
      <c r="K16" s="16">
        <f>'ABA'!K16+'BK'!K16+'BW'!K16+'CED'!K16+'HAB'!K16+'HB'!K16+'OD'!K16+'HDN'!K16+'KIN'!K16+'LE'!K16+'MER'!K16+'NDN'!K16+'SALT'!K16+'SDN'!K16+'SST'!K16+'WH'!K16+'FH'!K16</f>
        <v/>
      </c>
      <c r="L16" s="16">
        <f>'ABA'!L16+'BK'!L16+'BW'!L16+'CED'!L16+'HAB'!L16+'HB'!L16+'OD'!L16+'HDN'!L16+'KIN'!L16+'LE'!L16+'MER'!L16+'NDN'!L16+'SALT'!L16+'SDN'!L16+'SST'!L16+'WH'!L16+'FH'!L16</f>
        <v/>
      </c>
      <c r="M16" s="16">
        <f>'ABA'!M16+'BK'!M16+'BW'!M16+'CED'!M16+'HAB'!M16+'HB'!M16+'OD'!M16+'HDN'!M16+'KIN'!M16+'LE'!M16+'MER'!M16+'NDN'!M16+'SALT'!M16+'SDN'!M16+'SST'!M16+'WH'!M16+'FH'!M16</f>
        <v/>
      </c>
      <c r="N16" s="16">
        <f>'ABA'!N16+'BK'!N16+'BW'!N16+'CED'!N16+'HAB'!N16+'HB'!N16+'OD'!N16+'HDN'!N16+'KIN'!N16+'LE'!N16+'MER'!N16+'NDN'!N16+'SALT'!N16+'SDN'!N16+'SST'!N16+'WH'!N16+'FH'!N16</f>
        <v/>
      </c>
      <c r="O16" s="16">
        <f>'ABA'!O16+'BK'!O16+'BW'!O16+'CED'!O16+'HAB'!O16+'HB'!O16+'OD'!O16+'HDN'!O16+'KIN'!O16+'LE'!O16+'MER'!O16+'NDN'!O16+'SALT'!O16+'SDN'!O16+'SST'!O16+'WH'!O16+'FH'!O16</f>
        <v/>
      </c>
      <c r="P16" s="16">
        <f>'ABA'!P16+'BK'!P16+'BW'!P16+'CED'!P16+'HAB'!P16+'HB'!P16+'OD'!P16+'HDN'!P16+'KIN'!P16+'LE'!P16+'MER'!P16+'NDN'!P16+'SALT'!P16+'SDN'!P16+'SST'!P16+'WH'!P16+'FH'!P16</f>
        <v/>
      </c>
      <c r="Q16" s="16">
        <f>'ABA'!Q16+'BK'!Q16+'BW'!Q16+'CED'!Q16+'HAB'!Q16+'HB'!Q16+'OD'!Q16+'HDN'!Q16+'KIN'!Q16+'LE'!Q16+'MER'!Q16+'NDN'!Q16+'SALT'!Q16+'SDN'!Q16+'SST'!Q16+'WH'!Q16+'FH'!Q16</f>
        <v/>
      </c>
      <c r="R16" s="16">
        <f>'ABA'!R16+'BK'!R16+'BW'!R16+'CED'!R16+'HAB'!R16+'HB'!R16+'OD'!R16+'HDN'!R16+'KIN'!R16+'LE'!R16+'MER'!R16+'NDN'!R16+'SALT'!R16+'SDN'!R16+'SST'!R16+'WH'!R16+'FH'!R16</f>
        <v/>
      </c>
      <c r="S16" s="16">
        <f>'ABA'!S16+'BK'!S16+'BW'!S16+'CED'!S16+'HAB'!S16+'HB'!S16+'OD'!S16+'HDN'!S16+'KIN'!S16+'LE'!S16+'MER'!S16+'NDN'!S16+'SALT'!S16+'SDN'!S16+'SST'!S16+'WH'!S16+'FH'!S16</f>
        <v/>
      </c>
      <c r="T16" s="16">
        <f>'ABA'!T16+'BK'!T16+'BW'!T16+'CED'!T16+'HAB'!T16+'HB'!T16+'OD'!T16+'HDN'!T16+'KIN'!T16+'LE'!T16+'MER'!T16+'NDN'!T16+'SALT'!T16+'SDN'!T16+'SST'!T16+'WH'!T16+'FH'!T16</f>
        <v/>
      </c>
      <c r="U16" s="16">
        <f>'ABA'!U16+'BK'!U16+'BW'!U16+'CED'!U16+'HAB'!U16+'HB'!U16+'OD'!U16+'HDN'!U16+'KIN'!U16+'LE'!U16+'MER'!U16+'NDN'!U16+'SALT'!U16+'SDN'!U16+'SST'!U16+'WH'!U16+'FH'!U16</f>
        <v/>
      </c>
      <c r="V16" s="16">
        <f>'ABA'!V16+'BK'!V16+'BW'!V16+'CED'!V16+'HAB'!V16+'HB'!V16+'OD'!V16+'HDN'!V16+'KIN'!V16+'LE'!V16+'MER'!V16+'NDN'!V16+'SALT'!V16+'SDN'!V16+'SST'!V16+'WH'!V16+'FH'!V16</f>
        <v/>
      </c>
      <c r="W16" s="16">
        <f>'ABA'!W16+'BK'!W16+'BW'!W16+'CED'!W16+'HAB'!W16+'HB'!W16+'OD'!W16+'HDN'!W16+'KIN'!W16+'LE'!W16+'MER'!W16+'NDN'!W16+'SALT'!W16+'SDN'!W16+'SST'!W16+'WH'!W16+'FH'!W16</f>
        <v/>
      </c>
      <c r="X16" s="16">
        <f>'ABA'!X16+'BK'!X16+'BW'!X16+'CED'!X16+'HAB'!X16+'HB'!X16+'OD'!X16+'HDN'!X16+'KIN'!X16+'LE'!X16+'MER'!X16+'NDN'!X16+'SALT'!X16+'SDN'!X16+'SST'!X16+'WH'!X16+'FH'!X16</f>
        <v/>
      </c>
      <c r="Y16" s="16">
        <f>'ABA'!Y16+'BK'!Y16+'BW'!Y16+'CED'!Y16+'HAB'!Y16+'HB'!Y16+'OD'!Y16+'HDN'!Y16+'KIN'!Y16+'LE'!Y16+'MER'!Y16+'NDN'!Y16+'SALT'!Y16+'SDN'!Y16+'SST'!Y16+'WH'!Y16+'FH'!Y16</f>
        <v/>
      </c>
      <c r="Z16" s="16">
        <f>'ABA'!Z16+'BK'!Z16+'BW'!Z16+'CED'!Z16+'HAB'!Z16+'HB'!Z16+'OD'!Z16+'HDN'!Z16+'KIN'!Z16+'LE'!Z16+'MER'!Z16+'NDN'!Z16+'SALT'!Z16+'SDN'!Z16+'SST'!Z16+'WH'!Z16+'FH'!Z16</f>
        <v/>
      </c>
      <c r="AA16" s="16">
        <f>'ABA'!AA16+'BK'!AA16+'BW'!AA16+'CED'!AA16+'HAB'!AA16+'HB'!AA16+'OD'!AA16+'HDN'!AA16+'KIN'!AA16+'LE'!AA16+'MER'!AA16+'NDN'!AA16+'SALT'!AA16+'SDN'!AA16+'SST'!AA16+'WH'!AA16+'FH'!AA16</f>
        <v/>
      </c>
      <c r="AB16" s="16">
        <f>'ABA'!AB16+'BK'!AB16+'BW'!AB16+'CED'!AB16+'HAB'!AB16+'HB'!AB16+'OD'!AB16+'HDN'!AB16+'KIN'!AB16+'LE'!AB16+'MER'!AB16+'NDN'!AB16+'SALT'!AB16+'SDN'!AB16+'SST'!AB16+'WH'!AB16+'FH'!AB16</f>
        <v/>
      </c>
      <c r="AC16" s="16">
        <f>'ABA'!AC16+'BK'!AC16+'BW'!AC16+'CED'!AC16+'HAB'!AC16+'HB'!AC16+'OD'!AC16+'HDN'!AC16+'KIN'!AC16+'LE'!AC16+'MER'!AC16+'NDN'!AC16+'SALT'!AC16+'SDN'!AC16+'SST'!AC16+'WH'!AC16+'FH'!AC16</f>
        <v/>
      </c>
      <c r="AD16" s="16">
        <f>'ABA'!AD16+'BK'!AD16+'BW'!AD16+'CED'!AD16+'HAB'!AD16+'HB'!AD16+'OD'!AD16+'HDN'!AD16+'KIN'!AD16+'LE'!AD16+'MER'!AD16+'NDN'!AD16+'SALT'!AD16+'SDN'!AD16+'SST'!AD16+'WH'!AD16+'FH'!AD16</f>
        <v/>
      </c>
      <c r="AE16" s="16">
        <f>'ABA'!AE16+'BK'!AE16+'BW'!AE16+'CED'!AE16+'HAB'!AE16+'HB'!AE16+'OD'!AE16+'HDN'!AE16+'KIN'!AE16+'LE'!AE16+'MER'!AE16+'NDN'!AE16+'SALT'!AE16+'SDN'!AE16+'SST'!AE16+'WH'!AE16+'FH'!AE16</f>
        <v/>
      </c>
      <c r="AF16" s="16">
        <f>'ABA'!AF16+'BK'!AF16+'BW'!AF16+'CED'!AF16+'HAB'!AF16+'HB'!AF16+'OD'!AF16+'HDN'!AF16+'KIN'!AF16+'LE'!AF16+'MER'!AF16+'NDN'!AF16+'SALT'!AF16+'SDN'!AF16+'SST'!AF16+'WH'!AF16+'FH'!AF16</f>
        <v/>
      </c>
      <c r="AG16" s="16">
        <f>'ABA'!AG16+'BK'!AG16+'BW'!AG16+'CED'!AG16+'HAB'!AG16+'HB'!AG16+'OD'!AG16+'HDN'!AG16+'KIN'!AG16+'LE'!AG16+'MER'!AG16+'NDN'!AG16+'SALT'!AG16+'SDN'!AG16+'SST'!AG16+'WH'!AG16+'FH'!AG16</f>
        <v/>
      </c>
      <c r="AH16" s="16">
        <f>'ABA'!AH16+'BK'!AH16+'BW'!AH16+'CED'!AH16+'HAB'!AH16+'HB'!AH16+'OD'!AH16+'HDN'!AH16+'KIN'!AH16+'LE'!AH16+'MER'!AH16+'NDN'!AH16+'SALT'!AH16+'SDN'!AH16+'SST'!AH16+'WH'!AH16+'FH'!AH16</f>
        <v/>
      </c>
      <c r="AI16" s="16">
        <f>'ABA'!AI16+'BK'!AI16+'BW'!AI16+'CED'!AI16+'HAB'!AI16+'HB'!AI16+'OD'!AI16+'HDN'!AI16+'KIN'!AI16+'LE'!AI16+'MER'!AI16+'NDN'!AI16+'SALT'!AI16+'SDN'!AI16+'SST'!AI16+'WH'!AI16+'FH'!AI16</f>
        <v/>
      </c>
      <c r="AJ16" s="16">
        <f>'ABA'!AJ16+'BK'!AJ16+'BW'!AJ16+'CED'!AJ16+'HAB'!AJ16+'HB'!AJ16+'OD'!AJ16+'HDN'!AJ16+'KIN'!AJ16+'LE'!AJ16+'MER'!AJ16+'NDN'!AJ16+'SALT'!AJ16+'SDN'!AJ16+'SST'!AJ16+'WH'!AJ16+'FH'!AJ16</f>
        <v/>
      </c>
      <c r="AK16" s="11">
        <f>IF(N16&lt;&gt;0,(AB16-N16)/ABS(N16),0)</f>
        <v/>
      </c>
      <c r="AL16" s="11">
        <f>IF(AB16&lt;&gt;0,(AJ16-AB16)/ABS(AB16),0)</f>
        <v/>
      </c>
    </row>
    <row r="17" ht="13" customHeight="1">
      <c r="A17" s="15" t="inlineStr">
        <is>
          <t xml:space="preserve">    Recruitment</t>
        </is>
      </c>
      <c r="B17" s="16">
        <f>'ABA'!B17+'BK'!B17+'BW'!B17+'CED'!B17+'HAB'!B17+'HB'!B17+'OD'!B17+'HDN'!B17+'KIN'!B17+'LE'!B17+'MER'!B17+'NDN'!B17+'SALT'!B17+'SDN'!B17+'SST'!B17+'WH'!B17+'FH'!B17</f>
        <v/>
      </c>
      <c r="C17" s="16">
        <f>'ABA'!C17+'BK'!C17+'BW'!C17+'CED'!C17+'HAB'!C17+'HB'!C17+'OD'!C17+'HDN'!C17+'KIN'!C17+'LE'!C17+'MER'!C17+'NDN'!C17+'SALT'!C17+'SDN'!C17+'SST'!C17+'WH'!C17+'FH'!C17</f>
        <v/>
      </c>
      <c r="D17" s="16">
        <f>'ABA'!D17+'BK'!D17+'BW'!D17+'CED'!D17+'HAB'!D17+'HB'!D17+'OD'!D17+'HDN'!D17+'KIN'!D17+'LE'!D17+'MER'!D17+'NDN'!D17+'SALT'!D17+'SDN'!D17+'SST'!D17+'WH'!D17+'FH'!D17</f>
        <v/>
      </c>
      <c r="E17" s="16">
        <f>'ABA'!E17+'BK'!E17+'BW'!E17+'CED'!E17+'HAB'!E17+'HB'!E17+'OD'!E17+'HDN'!E17+'KIN'!E17+'LE'!E17+'MER'!E17+'NDN'!E17+'SALT'!E17+'SDN'!E17+'SST'!E17+'WH'!E17+'FH'!E17</f>
        <v/>
      </c>
      <c r="F17" s="16">
        <f>'ABA'!F17+'BK'!F17+'BW'!F17+'CED'!F17+'HAB'!F17+'HB'!F17+'OD'!F17+'HDN'!F17+'KIN'!F17+'LE'!F17+'MER'!F17+'NDN'!F17+'SALT'!F17+'SDN'!F17+'SST'!F17+'WH'!F17+'FH'!F17</f>
        <v/>
      </c>
      <c r="G17" s="16">
        <f>'ABA'!G17+'BK'!G17+'BW'!G17+'CED'!G17+'HAB'!G17+'HB'!G17+'OD'!G17+'HDN'!G17+'KIN'!G17+'LE'!G17+'MER'!G17+'NDN'!G17+'SALT'!G17+'SDN'!G17+'SST'!G17+'WH'!G17+'FH'!G17</f>
        <v/>
      </c>
      <c r="H17" s="16">
        <f>'ABA'!H17+'BK'!H17+'BW'!H17+'CED'!H17+'HAB'!H17+'HB'!H17+'OD'!H17+'HDN'!H17+'KIN'!H17+'LE'!H17+'MER'!H17+'NDN'!H17+'SALT'!H17+'SDN'!H17+'SST'!H17+'WH'!H17+'FH'!H17</f>
        <v/>
      </c>
      <c r="I17" s="16">
        <f>'ABA'!I17+'BK'!I17+'BW'!I17+'CED'!I17+'HAB'!I17+'HB'!I17+'OD'!I17+'HDN'!I17+'KIN'!I17+'LE'!I17+'MER'!I17+'NDN'!I17+'SALT'!I17+'SDN'!I17+'SST'!I17+'WH'!I17+'FH'!I17</f>
        <v/>
      </c>
      <c r="J17" s="16">
        <f>'ABA'!J17+'BK'!J17+'BW'!J17+'CED'!J17+'HAB'!J17+'HB'!J17+'OD'!J17+'HDN'!J17+'KIN'!J17+'LE'!J17+'MER'!J17+'NDN'!J17+'SALT'!J17+'SDN'!J17+'SST'!J17+'WH'!J17+'FH'!J17</f>
        <v/>
      </c>
      <c r="K17" s="16">
        <f>'ABA'!K17+'BK'!K17+'BW'!K17+'CED'!K17+'HAB'!K17+'HB'!K17+'OD'!K17+'HDN'!K17+'KIN'!K17+'LE'!K17+'MER'!K17+'NDN'!K17+'SALT'!K17+'SDN'!K17+'SST'!K17+'WH'!K17+'FH'!K17</f>
        <v/>
      </c>
      <c r="L17" s="16">
        <f>'ABA'!L17+'BK'!L17+'BW'!L17+'CED'!L17+'HAB'!L17+'HB'!L17+'OD'!L17+'HDN'!L17+'KIN'!L17+'LE'!L17+'MER'!L17+'NDN'!L17+'SALT'!L17+'SDN'!L17+'SST'!L17+'WH'!L17+'FH'!L17</f>
        <v/>
      </c>
      <c r="M17" s="16">
        <f>'ABA'!M17+'BK'!M17+'BW'!M17+'CED'!M17+'HAB'!M17+'HB'!M17+'OD'!M17+'HDN'!M17+'KIN'!M17+'LE'!M17+'MER'!M17+'NDN'!M17+'SALT'!M17+'SDN'!M17+'SST'!M17+'WH'!M17+'FH'!M17</f>
        <v/>
      </c>
      <c r="N17" s="16">
        <f>'ABA'!N17+'BK'!N17+'BW'!N17+'CED'!N17+'HAB'!N17+'HB'!N17+'OD'!N17+'HDN'!N17+'KIN'!N17+'LE'!N17+'MER'!N17+'NDN'!N17+'SALT'!N17+'SDN'!N17+'SST'!N17+'WH'!N17+'FH'!N17</f>
        <v/>
      </c>
      <c r="O17" s="16">
        <f>'ABA'!O17+'BK'!O17+'BW'!O17+'CED'!O17+'HAB'!O17+'HB'!O17+'OD'!O17+'HDN'!O17+'KIN'!O17+'LE'!O17+'MER'!O17+'NDN'!O17+'SALT'!O17+'SDN'!O17+'SST'!O17+'WH'!O17+'FH'!O17</f>
        <v/>
      </c>
      <c r="P17" s="16">
        <f>'ABA'!P17+'BK'!P17+'BW'!P17+'CED'!P17+'HAB'!P17+'HB'!P17+'OD'!P17+'HDN'!P17+'KIN'!P17+'LE'!P17+'MER'!P17+'NDN'!P17+'SALT'!P17+'SDN'!P17+'SST'!P17+'WH'!P17+'FH'!P17</f>
        <v/>
      </c>
      <c r="Q17" s="16">
        <f>'ABA'!Q17+'BK'!Q17+'BW'!Q17+'CED'!Q17+'HAB'!Q17+'HB'!Q17+'OD'!Q17+'HDN'!Q17+'KIN'!Q17+'LE'!Q17+'MER'!Q17+'NDN'!Q17+'SALT'!Q17+'SDN'!Q17+'SST'!Q17+'WH'!Q17+'FH'!Q17</f>
        <v/>
      </c>
      <c r="R17" s="16">
        <f>'ABA'!R17+'BK'!R17+'BW'!R17+'CED'!R17+'HAB'!R17+'HB'!R17+'OD'!R17+'HDN'!R17+'KIN'!R17+'LE'!R17+'MER'!R17+'NDN'!R17+'SALT'!R17+'SDN'!R17+'SST'!R17+'WH'!R17+'FH'!R17</f>
        <v/>
      </c>
      <c r="S17" s="16">
        <f>'ABA'!S17+'BK'!S17+'BW'!S17+'CED'!S17+'HAB'!S17+'HB'!S17+'OD'!S17+'HDN'!S17+'KIN'!S17+'LE'!S17+'MER'!S17+'NDN'!S17+'SALT'!S17+'SDN'!S17+'SST'!S17+'WH'!S17+'FH'!S17</f>
        <v/>
      </c>
      <c r="T17" s="16">
        <f>'ABA'!T17+'BK'!T17+'BW'!T17+'CED'!T17+'HAB'!T17+'HB'!T17+'OD'!T17+'HDN'!T17+'KIN'!T17+'LE'!T17+'MER'!T17+'NDN'!T17+'SALT'!T17+'SDN'!T17+'SST'!T17+'WH'!T17+'FH'!T17</f>
        <v/>
      </c>
      <c r="U17" s="16">
        <f>'ABA'!U17+'BK'!U17+'BW'!U17+'CED'!U17+'HAB'!U17+'HB'!U17+'OD'!U17+'HDN'!U17+'KIN'!U17+'LE'!U17+'MER'!U17+'NDN'!U17+'SALT'!U17+'SDN'!U17+'SST'!U17+'WH'!U17+'FH'!U17</f>
        <v/>
      </c>
      <c r="V17" s="16">
        <f>'ABA'!V17+'BK'!V17+'BW'!V17+'CED'!V17+'HAB'!V17+'HB'!V17+'OD'!V17+'HDN'!V17+'KIN'!V17+'LE'!V17+'MER'!V17+'NDN'!V17+'SALT'!V17+'SDN'!V17+'SST'!V17+'WH'!V17+'FH'!V17</f>
        <v/>
      </c>
      <c r="W17" s="16">
        <f>'ABA'!W17+'BK'!W17+'BW'!W17+'CED'!W17+'HAB'!W17+'HB'!W17+'OD'!W17+'HDN'!W17+'KIN'!W17+'LE'!W17+'MER'!W17+'NDN'!W17+'SALT'!W17+'SDN'!W17+'SST'!W17+'WH'!W17+'FH'!W17</f>
        <v/>
      </c>
      <c r="X17" s="16">
        <f>'ABA'!X17+'BK'!X17+'BW'!X17+'CED'!X17+'HAB'!X17+'HB'!X17+'OD'!X17+'HDN'!X17+'KIN'!X17+'LE'!X17+'MER'!X17+'NDN'!X17+'SALT'!X17+'SDN'!X17+'SST'!X17+'WH'!X17+'FH'!X17</f>
        <v/>
      </c>
      <c r="Y17" s="16">
        <f>'ABA'!Y17+'BK'!Y17+'BW'!Y17+'CED'!Y17+'HAB'!Y17+'HB'!Y17+'OD'!Y17+'HDN'!Y17+'KIN'!Y17+'LE'!Y17+'MER'!Y17+'NDN'!Y17+'SALT'!Y17+'SDN'!Y17+'SST'!Y17+'WH'!Y17+'FH'!Y17</f>
        <v/>
      </c>
      <c r="Z17" s="16">
        <f>'ABA'!Z17+'BK'!Z17+'BW'!Z17+'CED'!Z17+'HAB'!Z17+'HB'!Z17+'OD'!Z17+'HDN'!Z17+'KIN'!Z17+'LE'!Z17+'MER'!Z17+'NDN'!Z17+'SALT'!Z17+'SDN'!Z17+'SST'!Z17+'WH'!Z17+'FH'!Z17</f>
        <v/>
      </c>
      <c r="AA17" s="16">
        <f>'ABA'!AA17+'BK'!AA17+'BW'!AA17+'CED'!AA17+'HAB'!AA17+'HB'!AA17+'OD'!AA17+'HDN'!AA17+'KIN'!AA17+'LE'!AA17+'MER'!AA17+'NDN'!AA17+'SALT'!AA17+'SDN'!AA17+'SST'!AA17+'WH'!AA17+'FH'!AA17</f>
        <v/>
      </c>
      <c r="AB17" s="16">
        <f>'ABA'!AB17+'BK'!AB17+'BW'!AB17+'CED'!AB17+'HAB'!AB17+'HB'!AB17+'OD'!AB17+'HDN'!AB17+'KIN'!AB17+'LE'!AB17+'MER'!AB17+'NDN'!AB17+'SALT'!AB17+'SDN'!AB17+'SST'!AB17+'WH'!AB17+'FH'!AB17</f>
        <v/>
      </c>
      <c r="AC17" s="16">
        <f>'ABA'!AC17+'BK'!AC17+'BW'!AC17+'CED'!AC17+'HAB'!AC17+'HB'!AC17+'OD'!AC17+'HDN'!AC17+'KIN'!AC17+'LE'!AC17+'MER'!AC17+'NDN'!AC17+'SALT'!AC17+'SDN'!AC17+'SST'!AC17+'WH'!AC17+'FH'!AC17</f>
        <v/>
      </c>
      <c r="AD17" s="16">
        <f>'ABA'!AD17+'BK'!AD17+'BW'!AD17+'CED'!AD17+'HAB'!AD17+'HB'!AD17+'OD'!AD17+'HDN'!AD17+'KIN'!AD17+'LE'!AD17+'MER'!AD17+'NDN'!AD17+'SALT'!AD17+'SDN'!AD17+'SST'!AD17+'WH'!AD17+'FH'!AD17</f>
        <v/>
      </c>
      <c r="AE17" s="16">
        <f>'ABA'!AE17+'BK'!AE17+'BW'!AE17+'CED'!AE17+'HAB'!AE17+'HB'!AE17+'OD'!AE17+'HDN'!AE17+'KIN'!AE17+'LE'!AE17+'MER'!AE17+'NDN'!AE17+'SALT'!AE17+'SDN'!AE17+'SST'!AE17+'WH'!AE17+'FH'!AE17</f>
        <v/>
      </c>
      <c r="AF17" s="16">
        <f>'ABA'!AF17+'BK'!AF17+'BW'!AF17+'CED'!AF17+'HAB'!AF17+'HB'!AF17+'OD'!AF17+'HDN'!AF17+'KIN'!AF17+'LE'!AF17+'MER'!AF17+'NDN'!AF17+'SALT'!AF17+'SDN'!AF17+'SST'!AF17+'WH'!AF17+'FH'!AF17</f>
        <v/>
      </c>
      <c r="AG17" s="16">
        <f>'ABA'!AG17+'BK'!AG17+'BW'!AG17+'CED'!AG17+'HAB'!AG17+'HB'!AG17+'OD'!AG17+'HDN'!AG17+'KIN'!AG17+'LE'!AG17+'MER'!AG17+'NDN'!AG17+'SALT'!AG17+'SDN'!AG17+'SST'!AG17+'WH'!AG17+'FH'!AG17</f>
        <v/>
      </c>
      <c r="AH17" s="16">
        <f>'ABA'!AH17+'BK'!AH17+'BW'!AH17+'CED'!AH17+'HAB'!AH17+'HB'!AH17+'OD'!AH17+'HDN'!AH17+'KIN'!AH17+'LE'!AH17+'MER'!AH17+'NDN'!AH17+'SALT'!AH17+'SDN'!AH17+'SST'!AH17+'WH'!AH17+'FH'!AH17</f>
        <v/>
      </c>
      <c r="AI17" s="16">
        <f>'ABA'!AI17+'BK'!AI17+'BW'!AI17+'CED'!AI17+'HAB'!AI17+'HB'!AI17+'OD'!AI17+'HDN'!AI17+'KIN'!AI17+'LE'!AI17+'MER'!AI17+'NDN'!AI17+'SALT'!AI17+'SDN'!AI17+'SST'!AI17+'WH'!AI17+'FH'!AI17</f>
        <v/>
      </c>
      <c r="AJ17" s="16">
        <f>'ABA'!AJ17+'BK'!AJ17+'BW'!AJ17+'CED'!AJ17+'HAB'!AJ17+'HB'!AJ17+'OD'!AJ17+'HDN'!AJ17+'KIN'!AJ17+'LE'!AJ17+'MER'!AJ17+'NDN'!AJ17+'SALT'!AJ17+'SDN'!AJ17+'SST'!AJ17+'WH'!AJ17+'FH'!AJ17</f>
        <v/>
      </c>
      <c r="AK17" s="11">
        <f>IF(N17&lt;&gt;0,(AB17-N17)/ABS(N17),0)</f>
        <v/>
      </c>
      <c r="AL17" s="11">
        <f>IF(AB17&lt;&gt;0,(AJ17-AB17)/ABS(AB17),0)</f>
        <v/>
      </c>
    </row>
    <row r="18" ht="13" customHeight="1">
      <c r="A18" s="15" t="inlineStr">
        <is>
          <t xml:space="preserve">    Rewards &amp; Recognition</t>
        </is>
      </c>
      <c r="B18" s="16">
        <f>'ABA'!B18+'BK'!B18+'BW'!B18+'CED'!B18+'HAB'!B18+'HB'!B18+'OD'!B18+'HDN'!B18+'KIN'!B18+'LE'!B18+'MER'!B18+'NDN'!B18+'SALT'!B18+'SDN'!B18+'SST'!B18+'WH'!B18+'FH'!B18</f>
        <v/>
      </c>
      <c r="C18" s="16">
        <f>'ABA'!C18+'BK'!C18+'BW'!C18+'CED'!C18+'HAB'!C18+'HB'!C18+'OD'!C18+'HDN'!C18+'KIN'!C18+'LE'!C18+'MER'!C18+'NDN'!C18+'SALT'!C18+'SDN'!C18+'SST'!C18+'WH'!C18+'FH'!C18</f>
        <v/>
      </c>
      <c r="D18" s="16">
        <f>'ABA'!D18+'BK'!D18+'BW'!D18+'CED'!D18+'HAB'!D18+'HB'!D18+'OD'!D18+'HDN'!D18+'KIN'!D18+'LE'!D18+'MER'!D18+'NDN'!D18+'SALT'!D18+'SDN'!D18+'SST'!D18+'WH'!D18+'FH'!D18</f>
        <v/>
      </c>
      <c r="E18" s="16">
        <f>'ABA'!E18+'BK'!E18+'BW'!E18+'CED'!E18+'HAB'!E18+'HB'!E18+'OD'!E18+'HDN'!E18+'KIN'!E18+'LE'!E18+'MER'!E18+'NDN'!E18+'SALT'!E18+'SDN'!E18+'SST'!E18+'WH'!E18+'FH'!E18</f>
        <v/>
      </c>
      <c r="F18" s="16">
        <f>'ABA'!F18+'BK'!F18+'BW'!F18+'CED'!F18+'HAB'!F18+'HB'!F18+'OD'!F18+'HDN'!F18+'KIN'!F18+'LE'!F18+'MER'!F18+'NDN'!F18+'SALT'!F18+'SDN'!F18+'SST'!F18+'WH'!F18+'FH'!F18</f>
        <v/>
      </c>
      <c r="G18" s="16">
        <f>'ABA'!G18+'BK'!G18+'BW'!G18+'CED'!G18+'HAB'!G18+'HB'!G18+'OD'!G18+'HDN'!G18+'KIN'!G18+'LE'!G18+'MER'!G18+'NDN'!G18+'SALT'!G18+'SDN'!G18+'SST'!G18+'WH'!G18+'FH'!G18</f>
        <v/>
      </c>
      <c r="H18" s="16">
        <f>'ABA'!H18+'BK'!H18+'BW'!H18+'CED'!H18+'HAB'!H18+'HB'!H18+'OD'!H18+'HDN'!H18+'KIN'!H18+'LE'!H18+'MER'!H18+'NDN'!H18+'SALT'!H18+'SDN'!H18+'SST'!H18+'WH'!H18+'FH'!H18</f>
        <v/>
      </c>
      <c r="I18" s="16">
        <f>'ABA'!I18+'BK'!I18+'BW'!I18+'CED'!I18+'HAB'!I18+'HB'!I18+'OD'!I18+'HDN'!I18+'KIN'!I18+'LE'!I18+'MER'!I18+'NDN'!I18+'SALT'!I18+'SDN'!I18+'SST'!I18+'WH'!I18+'FH'!I18</f>
        <v/>
      </c>
      <c r="J18" s="16">
        <f>'ABA'!J18+'BK'!J18+'BW'!J18+'CED'!J18+'HAB'!J18+'HB'!J18+'OD'!J18+'HDN'!J18+'KIN'!J18+'LE'!J18+'MER'!J18+'NDN'!J18+'SALT'!J18+'SDN'!J18+'SST'!J18+'WH'!J18+'FH'!J18</f>
        <v/>
      </c>
      <c r="K18" s="16">
        <f>'ABA'!K18+'BK'!K18+'BW'!K18+'CED'!K18+'HAB'!K18+'HB'!K18+'OD'!K18+'HDN'!K18+'KIN'!K18+'LE'!K18+'MER'!K18+'NDN'!K18+'SALT'!K18+'SDN'!K18+'SST'!K18+'WH'!K18+'FH'!K18</f>
        <v/>
      </c>
      <c r="L18" s="16">
        <f>'ABA'!L18+'BK'!L18+'BW'!L18+'CED'!L18+'HAB'!L18+'HB'!L18+'OD'!L18+'HDN'!L18+'KIN'!L18+'LE'!L18+'MER'!L18+'NDN'!L18+'SALT'!L18+'SDN'!L18+'SST'!L18+'WH'!L18+'FH'!L18</f>
        <v/>
      </c>
      <c r="M18" s="16">
        <f>'ABA'!M18+'BK'!M18+'BW'!M18+'CED'!M18+'HAB'!M18+'HB'!M18+'OD'!M18+'HDN'!M18+'KIN'!M18+'LE'!M18+'MER'!M18+'NDN'!M18+'SALT'!M18+'SDN'!M18+'SST'!M18+'WH'!M18+'FH'!M18</f>
        <v/>
      </c>
      <c r="N18" s="16">
        <f>'ABA'!N18+'BK'!N18+'BW'!N18+'CED'!N18+'HAB'!N18+'HB'!N18+'OD'!N18+'HDN'!N18+'KIN'!N18+'LE'!N18+'MER'!N18+'NDN'!N18+'SALT'!N18+'SDN'!N18+'SST'!N18+'WH'!N18+'FH'!N18</f>
        <v/>
      </c>
      <c r="O18" s="16">
        <f>'ABA'!O18+'BK'!O18+'BW'!O18+'CED'!O18+'HAB'!O18+'HB'!O18+'OD'!O18+'HDN'!O18+'KIN'!O18+'LE'!O18+'MER'!O18+'NDN'!O18+'SALT'!O18+'SDN'!O18+'SST'!O18+'WH'!O18+'FH'!O18</f>
        <v/>
      </c>
      <c r="P18" s="16">
        <f>'ABA'!P18+'BK'!P18+'BW'!P18+'CED'!P18+'HAB'!P18+'HB'!P18+'OD'!P18+'HDN'!P18+'KIN'!P18+'LE'!P18+'MER'!P18+'NDN'!P18+'SALT'!P18+'SDN'!P18+'SST'!P18+'WH'!P18+'FH'!P18</f>
        <v/>
      </c>
      <c r="Q18" s="16">
        <f>'ABA'!Q18+'BK'!Q18+'BW'!Q18+'CED'!Q18+'HAB'!Q18+'HB'!Q18+'OD'!Q18+'HDN'!Q18+'KIN'!Q18+'LE'!Q18+'MER'!Q18+'NDN'!Q18+'SALT'!Q18+'SDN'!Q18+'SST'!Q18+'WH'!Q18+'FH'!Q18</f>
        <v/>
      </c>
      <c r="R18" s="16">
        <f>'ABA'!R18+'BK'!R18+'BW'!R18+'CED'!R18+'HAB'!R18+'HB'!R18+'OD'!R18+'HDN'!R18+'KIN'!R18+'LE'!R18+'MER'!R18+'NDN'!R18+'SALT'!R18+'SDN'!R18+'SST'!R18+'WH'!R18+'FH'!R18</f>
        <v/>
      </c>
      <c r="S18" s="16">
        <f>'ABA'!S18+'BK'!S18+'BW'!S18+'CED'!S18+'HAB'!S18+'HB'!S18+'OD'!S18+'HDN'!S18+'KIN'!S18+'LE'!S18+'MER'!S18+'NDN'!S18+'SALT'!S18+'SDN'!S18+'SST'!S18+'WH'!S18+'FH'!S18</f>
        <v/>
      </c>
      <c r="T18" s="16">
        <f>'ABA'!T18+'BK'!T18+'BW'!T18+'CED'!T18+'HAB'!T18+'HB'!T18+'OD'!T18+'HDN'!T18+'KIN'!T18+'LE'!T18+'MER'!T18+'NDN'!T18+'SALT'!T18+'SDN'!T18+'SST'!T18+'WH'!T18+'FH'!T18</f>
        <v/>
      </c>
      <c r="U18" s="16">
        <f>'ABA'!U18+'BK'!U18+'BW'!U18+'CED'!U18+'HAB'!U18+'HB'!U18+'OD'!U18+'HDN'!U18+'KIN'!U18+'LE'!U18+'MER'!U18+'NDN'!U18+'SALT'!U18+'SDN'!U18+'SST'!U18+'WH'!U18+'FH'!U18</f>
        <v/>
      </c>
      <c r="V18" s="16">
        <f>'ABA'!V18+'BK'!V18+'BW'!V18+'CED'!V18+'HAB'!V18+'HB'!V18+'OD'!V18+'HDN'!V18+'KIN'!V18+'LE'!V18+'MER'!V18+'NDN'!V18+'SALT'!V18+'SDN'!V18+'SST'!V18+'WH'!V18+'FH'!V18</f>
        <v/>
      </c>
      <c r="W18" s="16">
        <f>'ABA'!W18+'BK'!W18+'BW'!W18+'CED'!W18+'HAB'!W18+'HB'!W18+'OD'!W18+'HDN'!W18+'KIN'!W18+'LE'!W18+'MER'!W18+'NDN'!W18+'SALT'!W18+'SDN'!W18+'SST'!W18+'WH'!W18+'FH'!W18</f>
        <v/>
      </c>
      <c r="X18" s="16">
        <f>'ABA'!X18+'BK'!X18+'BW'!X18+'CED'!X18+'HAB'!X18+'HB'!X18+'OD'!X18+'HDN'!X18+'KIN'!X18+'LE'!X18+'MER'!X18+'NDN'!X18+'SALT'!X18+'SDN'!X18+'SST'!X18+'WH'!X18+'FH'!X18</f>
        <v/>
      </c>
      <c r="Y18" s="16">
        <f>'ABA'!Y18+'BK'!Y18+'BW'!Y18+'CED'!Y18+'HAB'!Y18+'HB'!Y18+'OD'!Y18+'HDN'!Y18+'KIN'!Y18+'LE'!Y18+'MER'!Y18+'NDN'!Y18+'SALT'!Y18+'SDN'!Y18+'SST'!Y18+'WH'!Y18+'FH'!Y18</f>
        <v/>
      </c>
      <c r="Z18" s="16">
        <f>'ABA'!Z18+'BK'!Z18+'BW'!Z18+'CED'!Z18+'HAB'!Z18+'HB'!Z18+'OD'!Z18+'HDN'!Z18+'KIN'!Z18+'LE'!Z18+'MER'!Z18+'NDN'!Z18+'SALT'!Z18+'SDN'!Z18+'SST'!Z18+'WH'!Z18+'FH'!Z18</f>
        <v/>
      </c>
      <c r="AA18" s="16">
        <f>'ABA'!AA18+'BK'!AA18+'BW'!AA18+'CED'!AA18+'HAB'!AA18+'HB'!AA18+'OD'!AA18+'HDN'!AA18+'KIN'!AA18+'LE'!AA18+'MER'!AA18+'NDN'!AA18+'SALT'!AA18+'SDN'!AA18+'SST'!AA18+'WH'!AA18+'FH'!AA18</f>
        <v/>
      </c>
      <c r="AB18" s="16">
        <f>'ABA'!AB18+'BK'!AB18+'BW'!AB18+'CED'!AB18+'HAB'!AB18+'HB'!AB18+'OD'!AB18+'HDN'!AB18+'KIN'!AB18+'LE'!AB18+'MER'!AB18+'NDN'!AB18+'SALT'!AB18+'SDN'!AB18+'SST'!AB18+'WH'!AB18+'FH'!AB18</f>
        <v/>
      </c>
      <c r="AC18" s="16">
        <f>'ABA'!AC18+'BK'!AC18+'BW'!AC18+'CED'!AC18+'HAB'!AC18+'HB'!AC18+'OD'!AC18+'HDN'!AC18+'KIN'!AC18+'LE'!AC18+'MER'!AC18+'NDN'!AC18+'SALT'!AC18+'SDN'!AC18+'SST'!AC18+'WH'!AC18+'FH'!AC18</f>
        <v/>
      </c>
      <c r="AD18" s="16">
        <f>'ABA'!AD18+'BK'!AD18+'BW'!AD18+'CED'!AD18+'HAB'!AD18+'HB'!AD18+'OD'!AD18+'HDN'!AD18+'KIN'!AD18+'LE'!AD18+'MER'!AD18+'NDN'!AD18+'SALT'!AD18+'SDN'!AD18+'SST'!AD18+'WH'!AD18+'FH'!AD18</f>
        <v/>
      </c>
      <c r="AE18" s="16">
        <f>'ABA'!AE18+'BK'!AE18+'BW'!AE18+'CED'!AE18+'HAB'!AE18+'HB'!AE18+'OD'!AE18+'HDN'!AE18+'KIN'!AE18+'LE'!AE18+'MER'!AE18+'NDN'!AE18+'SALT'!AE18+'SDN'!AE18+'SST'!AE18+'WH'!AE18+'FH'!AE18</f>
        <v/>
      </c>
      <c r="AF18" s="16">
        <f>'ABA'!AF18+'BK'!AF18+'BW'!AF18+'CED'!AF18+'HAB'!AF18+'HB'!AF18+'OD'!AF18+'HDN'!AF18+'KIN'!AF18+'LE'!AF18+'MER'!AF18+'NDN'!AF18+'SALT'!AF18+'SDN'!AF18+'SST'!AF18+'WH'!AF18+'FH'!AF18</f>
        <v/>
      </c>
      <c r="AG18" s="16">
        <f>'ABA'!AG18+'BK'!AG18+'BW'!AG18+'CED'!AG18+'HAB'!AG18+'HB'!AG18+'OD'!AG18+'HDN'!AG18+'KIN'!AG18+'LE'!AG18+'MER'!AG18+'NDN'!AG18+'SALT'!AG18+'SDN'!AG18+'SST'!AG18+'WH'!AG18+'FH'!AG18</f>
        <v/>
      </c>
      <c r="AH18" s="16">
        <f>'ABA'!AH18+'BK'!AH18+'BW'!AH18+'CED'!AH18+'HAB'!AH18+'HB'!AH18+'OD'!AH18+'HDN'!AH18+'KIN'!AH18+'LE'!AH18+'MER'!AH18+'NDN'!AH18+'SALT'!AH18+'SDN'!AH18+'SST'!AH18+'WH'!AH18+'FH'!AH18</f>
        <v/>
      </c>
      <c r="AI18" s="16">
        <f>'ABA'!AI18+'BK'!AI18+'BW'!AI18+'CED'!AI18+'HAB'!AI18+'HB'!AI18+'OD'!AI18+'HDN'!AI18+'KIN'!AI18+'LE'!AI18+'MER'!AI18+'NDN'!AI18+'SALT'!AI18+'SDN'!AI18+'SST'!AI18+'WH'!AI18+'FH'!AI18</f>
        <v/>
      </c>
      <c r="AJ18" s="16">
        <f>'ABA'!AJ18+'BK'!AJ18+'BW'!AJ18+'CED'!AJ18+'HAB'!AJ18+'HB'!AJ18+'OD'!AJ18+'HDN'!AJ18+'KIN'!AJ18+'LE'!AJ18+'MER'!AJ18+'NDN'!AJ18+'SALT'!AJ18+'SDN'!AJ18+'SST'!AJ18+'WH'!AJ18+'FH'!AJ18</f>
        <v/>
      </c>
      <c r="AK18" s="11">
        <f>IF(N18&lt;&gt;0,(AB18-N18)/ABS(N18),0)</f>
        <v/>
      </c>
      <c r="AL18" s="11">
        <f>IF(AB18&lt;&gt;0,(AJ18-AB18)/ABS(AB18),0)</f>
        <v/>
      </c>
    </row>
    <row r="19" ht="13" customHeight="1">
      <c r="A19" s="15" t="inlineStr">
        <is>
          <t xml:space="preserve">    Temps</t>
        </is>
      </c>
      <c r="B19" s="16">
        <f>'ABA'!B19+'BK'!B19+'BW'!B19+'CED'!B19+'HAB'!B19+'HB'!B19+'OD'!B19+'HDN'!B19+'KIN'!B19+'LE'!B19+'MER'!B19+'NDN'!B19+'SALT'!B19+'SDN'!B19+'SST'!B19+'WH'!B19+'FH'!B19</f>
        <v/>
      </c>
      <c r="C19" s="16">
        <f>'ABA'!C19+'BK'!C19+'BW'!C19+'CED'!C19+'HAB'!C19+'HB'!C19+'OD'!C19+'HDN'!C19+'KIN'!C19+'LE'!C19+'MER'!C19+'NDN'!C19+'SALT'!C19+'SDN'!C19+'SST'!C19+'WH'!C19+'FH'!C19</f>
        <v/>
      </c>
      <c r="D19" s="16">
        <f>'ABA'!D19+'BK'!D19+'BW'!D19+'CED'!D19+'HAB'!D19+'HB'!D19+'OD'!D19+'HDN'!D19+'KIN'!D19+'LE'!D19+'MER'!D19+'NDN'!D19+'SALT'!D19+'SDN'!D19+'SST'!D19+'WH'!D19+'FH'!D19</f>
        <v/>
      </c>
      <c r="E19" s="16">
        <f>'ABA'!E19+'BK'!E19+'BW'!E19+'CED'!E19+'HAB'!E19+'HB'!E19+'OD'!E19+'HDN'!E19+'KIN'!E19+'LE'!E19+'MER'!E19+'NDN'!E19+'SALT'!E19+'SDN'!E19+'SST'!E19+'WH'!E19+'FH'!E19</f>
        <v/>
      </c>
      <c r="F19" s="16">
        <f>'ABA'!F19+'BK'!F19+'BW'!F19+'CED'!F19+'HAB'!F19+'HB'!F19+'OD'!F19+'HDN'!F19+'KIN'!F19+'LE'!F19+'MER'!F19+'NDN'!F19+'SALT'!F19+'SDN'!F19+'SST'!F19+'WH'!F19+'FH'!F19</f>
        <v/>
      </c>
      <c r="G19" s="16">
        <f>'ABA'!G19+'BK'!G19+'BW'!G19+'CED'!G19+'HAB'!G19+'HB'!G19+'OD'!G19+'HDN'!G19+'KIN'!G19+'LE'!G19+'MER'!G19+'NDN'!G19+'SALT'!G19+'SDN'!G19+'SST'!G19+'WH'!G19+'FH'!G19</f>
        <v/>
      </c>
      <c r="H19" s="16">
        <f>'ABA'!H19+'BK'!H19+'BW'!H19+'CED'!H19+'HAB'!H19+'HB'!H19+'OD'!H19+'HDN'!H19+'KIN'!H19+'LE'!H19+'MER'!H19+'NDN'!H19+'SALT'!H19+'SDN'!H19+'SST'!H19+'WH'!H19+'FH'!H19</f>
        <v/>
      </c>
      <c r="I19" s="16">
        <f>'ABA'!I19+'BK'!I19+'BW'!I19+'CED'!I19+'HAB'!I19+'HB'!I19+'OD'!I19+'HDN'!I19+'KIN'!I19+'LE'!I19+'MER'!I19+'NDN'!I19+'SALT'!I19+'SDN'!I19+'SST'!I19+'WH'!I19+'FH'!I19</f>
        <v/>
      </c>
      <c r="J19" s="16">
        <f>'ABA'!J19+'BK'!J19+'BW'!J19+'CED'!J19+'HAB'!J19+'HB'!J19+'OD'!J19+'HDN'!J19+'KIN'!J19+'LE'!J19+'MER'!J19+'NDN'!J19+'SALT'!J19+'SDN'!J19+'SST'!J19+'WH'!J19+'FH'!J19</f>
        <v/>
      </c>
      <c r="K19" s="16">
        <f>'ABA'!K19+'BK'!K19+'BW'!K19+'CED'!K19+'HAB'!K19+'HB'!K19+'OD'!K19+'HDN'!K19+'KIN'!K19+'LE'!K19+'MER'!K19+'NDN'!K19+'SALT'!K19+'SDN'!K19+'SST'!K19+'WH'!K19+'FH'!K19</f>
        <v/>
      </c>
      <c r="L19" s="16">
        <f>'ABA'!L19+'BK'!L19+'BW'!L19+'CED'!L19+'HAB'!L19+'HB'!L19+'OD'!L19+'HDN'!L19+'KIN'!L19+'LE'!L19+'MER'!L19+'NDN'!L19+'SALT'!L19+'SDN'!L19+'SST'!L19+'WH'!L19+'FH'!L19</f>
        <v/>
      </c>
      <c r="M19" s="16">
        <f>'ABA'!M19+'BK'!M19+'BW'!M19+'CED'!M19+'HAB'!M19+'HB'!M19+'OD'!M19+'HDN'!M19+'KIN'!M19+'LE'!M19+'MER'!M19+'NDN'!M19+'SALT'!M19+'SDN'!M19+'SST'!M19+'WH'!M19+'FH'!M19</f>
        <v/>
      </c>
      <c r="N19" s="16">
        <f>'ABA'!N19+'BK'!N19+'BW'!N19+'CED'!N19+'HAB'!N19+'HB'!N19+'OD'!N19+'HDN'!N19+'KIN'!N19+'LE'!N19+'MER'!N19+'NDN'!N19+'SALT'!N19+'SDN'!N19+'SST'!N19+'WH'!N19+'FH'!N19</f>
        <v/>
      </c>
      <c r="O19" s="16">
        <f>'ABA'!O19+'BK'!O19+'BW'!O19+'CED'!O19+'HAB'!O19+'HB'!O19+'OD'!O19+'HDN'!O19+'KIN'!O19+'LE'!O19+'MER'!O19+'NDN'!O19+'SALT'!O19+'SDN'!O19+'SST'!O19+'WH'!O19+'FH'!O19</f>
        <v/>
      </c>
      <c r="P19" s="16">
        <f>'ABA'!P19+'BK'!P19+'BW'!P19+'CED'!P19+'HAB'!P19+'HB'!P19+'OD'!P19+'HDN'!P19+'KIN'!P19+'LE'!P19+'MER'!P19+'NDN'!P19+'SALT'!P19+'SDN'!P19+'SST'!P19+'WH'!P19+'FH'!P19</f>
        <v/>
      </c>
      <c r="Q19" s="16">
        <f>'ABA'!Q19+'BK'!Q19+'BW'!Q19+'CED'!Q19+'HAB'!Q19+'HB'!Q19+'OD'!Q19+'HDN'!Q19+'KIN'!Q19+'LE'!Q19+'MER'!Q19+'NDN'!Q19+'SALT'!Q19+'SDN'!Q19+'SST'!Q19+'WH'!Q19+'FH'!Q19</f>
        <v/>
      </c>
      <c r="R19" s="16">
        <f>'ABA'!R19+'BK'!R19+'BW'!R19+'CED'!R19+'HAB'!R19+'HB'!R19+'OD'!R19+'HDN'!R19+'KIN'!R19+'LE'!R19+'MER'!R19+'NDN'!R19+'SALT'!R19+'SDN'!R19+'SST'!R19+'WH'!R19+'FH'!R19</f>
        <v/>
      </c>
      <c r="S19" s="16">
        <f>'ABA'!S19+'BK'!S19+'BW'!S19+'CED'!S19+'HAB'!S19+'HB'!S19+'OD'!S19+'HDN'!S19+'KIN'!S19+'LE'!S19+'MER'!S19+'NDN'!S19+'SALT'!S19+'SDN'!S19+'SST'!S19+'WH'!S19+'FH'!S19</f>
        <v/>
      </c>
      <c r="T19" s="16">
        <f>'ABA'!T19+'BK'!T19+'BW'!T19+'CED'!T19+'HAB'!T19+'HB'!T19+'OD'!T19+'HDN'!T19+'KIN'!T19+'LE'!T19+'MER'!T19+'NDN'!T19+'SALT'!T19+'SDN'!T19+'SST'!T19+'WH'!T19+'FH'!T19</f>
        <v/>
      </c>
      <c r="U19" s="16">
        <f>'ABA'!U19+'BK'!U19+'BW'!U19+'CED'!U19+'HAB'!U19+'HB'!U19+'OD'!U19+'HDN'!U19+'KIN'!U19+'LE'!U19+'MER'!U19+'NDN'!U19+'SALT'!U19+'SDN'!U19+'SST'!U19+'WH'!U19+'FH'!U19</f>
        <v/>
      </c>
      <c r="V19" s="16">
        <f>'ABA'!V19+'BK'!V19+'BW'!V19+'CED'!V19+'HAB'!V19+'HB'!V19+'OD'!V19+'HDN'!V19+'KIN'!V19+'LE'!V19+'MER'!V19+'NDN'!V19+'SALT'!V19+'SDN'!V19+'SST'!V19+'WH'!V19+'FH'!V19</f>
        <v/>
      </c>
      <c r="W19" s="16">
        <f>'ABA'!W19+'BK'!W19+'BW'!W19+'CED'!W19+'HAB'!W19+'HB'!W19+'OD'!W19+'HDN'!W19+'KIN'!W19+'LE'!W19+'MER'!W19+'NDN'!W19+'SALT'!W19+'SDN'!W19+'SST'!W19+'WH'!W19+'FH'!W19</f>
        <v/>
      </c>
      <c r="X19" s="16">
        <f>'ABA'!X19+'BK'!X19+'BW'!X19+'CED'!X19+'HAB'!X19+'HB'!X19+'OD'!X19+'HDN'!X19+'KIN'!X19+'LE'!X19+'MER'!X19+'NDN'!X19+'SALT'!X19+'SDN'!X19+'SST'!X19+'WH'!X19+'FH'!X19</f>
        <v/>
      </c>
      <c r="Y19" s="16">
        <f>'ABA'!Y19+'BK'!Y19+'BW'!Y19+'CED'!Y19+'HAB'!Y19+'HB'!Y19+'OD'!Y19+'HDN'!Y19+'KIN'!Y19+'LE'!Y19+'MER'!Y19+'NDN'!Y19+'SALT'!Y19+'SDN'!Y19+'SST'!Y19+'WH'!Y19+'FH'!Y19</f>
        <v/>
      </c>
      <c r="Z19" s="16">
        <f>'ABA'!Z19+'BK'!Z19+'BW'!Z19+'CED'!Z19+'HAB'!Z19+'HB'!Z19+'OD'!Z19+'HDN'!Z19+'KIN'!Z19+'LE'!Z19+'MER'!Z19+'NDN'!Z19+'SALT'!Z19+'SDN'!Z19+'SST'!Z19+'WH'!Z19+'FH'!Z19</f>
        <v/>
      </c>
      <c r="AA19" s="16">
        <f>'ABA'!AA19+'BK'!AA19+'BW'!AA19+'CED'!AA19+'HAB'!AA19+'HB'!AA19+'OD'!AA19+'HDN'!AA19+'KIN'!AA19+'LE'!AA19+'MER'!AA19+'NDN'!AA19+'SALT'!AA19+'SDN'!AA19+'SST'!AA19+'WH'!AA19+'FH'!AA19</f>
        <v/>
      </c>
      <c r="AB19" s="16">
        <f>'ABA'!AB19+'BK'!AB19+'BW'!AB19+'CED'!AB19+'HAB'!AB19+'HB'!AB19+'OD'!AB19+'HDN'!AB19+'KIN'!AB19+'LE'!AB19+'MER'!AB19+'NDN'!AB19+'SALT'!AB19+'SDN'!AB19+'SST'!AB19+'WH'!AB19+'FH'!AB19</f>
        <v/>
      </c>
      <c r="AC19" s="16">
        <f>'ABA'!AC19+'BK'!AC19+'BW'!AC19+'CED'!AC19+'HAB'!AC19+'HB'!AC19+'OD'!AC19+'HDN'!AC19+'KIN'!AC19+'LE'!AC19+'MER'!AC19+'NDN'!AC19+'SALT'!AC19+'SDN'!AC19+'SST'!AC19+'WH'!AC19+'FH'!AC19</f>
        <v/>
      </c>
      <c r="AD19" s="16">
        <f>'ABA'!AD19+'BK'!AD19+'BW'!AD19+'CED'!AD19+'HAB'!AD19+'HB'!AD19+'OD'!AD19+'HDN'!AD19+'KIN'!AD19+'LE'!AD19+'MER'!AD19+'NDN'!AD19+'SALT'!AD19+'SDN'!AD19+'SST'!AD19+'WH'!AD19+'FH'!AD19</f>
        <v/>
      </c>
      <c r="AE19" s="16">
        <f>'ABA'!AE19+'BK'!AE19+'BW'!AE19+'CED'!AE19+'HAB'!AE19+'HB'!AE19+'OD'!AE19+'HDN'!AE19+'KIN'!AE19+'LE'!AE19+'MER'!AE19+'NDN'!AE19+'SALT'!AE19+'SDN'!AE19+'SST'!AE19+'WH'!AE19+'FH'!AE19</f>
        <v/>
      </c>
      <c r="AF19" s="16">
        <f>'ABA'!AF19+'BK'!AF19+'BW'!AF19+'CED'!AF19+'HAB'!AF19+'HB'!AF19+'OD'!AF19+'HDN'!AF19+'KIN'!AF19+'LE'!AF19+'MER'!AF19+'NDN'!AF19+'SALT'!AF19+'SDN'!AF19+'SST'!AF19+'WH'!AF19+'FH'!AF19</f>
        <v/>
      </c>
      <c r="AG19" s="16">
        <f>'ABA'!AG19+'BK'!AG19+'BW'!AG19+'CED'!AG19+'HAB'!AG19+'HB'!AG19+'OD'!AG19+'HDN'!AG19+'KIN'!AG19+'LE'!AG19+'MER'!AG19+'NDN'!AG19+'SALT'!AG19+'SDN'!AG19+'SST'!AG19+'WH'!AG19+'FH'!AG19</f>
        <v/>
      </c>
      <c r="AH19" s="16">
        <f>'ABA'!AH19+'BK'!AH19+'BW'!AH19+'CED'!AH19+'HAB'!AH19+'HB'!AH19+'OD'!AH19+'HDN'!AH19+'KIN'!AH19+'LE'!AH19+'MER'!AH19+'NDN'!AH19+'SALT'!AH19+'SDN'!AH19+'SST'!AH19+'WH'!AH19+'FH'!AH19</f>
        <v/>
      </c>
      <c r="AI19" s="16">
        <f>'ABA'!AI19+'BK'!AI19+'BW'!AI19+'CED'!AI19+'HAB'!AI19+'HB'!AI19+'OD'!AI19+'HDN'!AI19+'KIN'!AI19+'LE'!AI19+'MER'!AI19+'NDN'!AI19+'SALT'!AI19+'SDN'!AI19+'SST'!AI19+'WH'!AI19+'FH'!AI19</f>
        <v/>
      </c>
      <c r="AJ19" s="16">
        <f>'ABA'!AJ19+'BK'!AJ19+'BW'!AJ19+'CED'!AJ19+'HAB'!AJ19+'HB'!AJ19+'OD'!AJ19+'HDN'!AJ19+'KIN'!AJ19+'LE'!AJ19+'MER'!AJ19+'NDN'!AJ19+'SALT'!AJ19+'SDN'!AJ19+'SST'!AJ19+'WH'!AJ19+'FH'!AJ19</f>
        <v/>
      </c>
      <c r="AK19" s="11">
        <f>IF(N19&lt;&gt;0,(AB19-N19)/ABS(N19),0)</f>
        <v/>
      </c>
      <c r="AL19" s="11">
        <f>IF(AB19&lt;&gt;0,(AJ19-AB19)/ABS(AB19),0)</f>
        <v/>
      </c>
    </row>
    <row r="20" ht="13" customHeight="1">
      <c r="A20" s="17" t="inlineStr">
        <is>
          <t>Total Personnel</t>
        </is>
      </c>
      <c r="B20" s="18">
        <f>'ABA'!B20+'BK'!B20+'BW'!B20+'CED'!B20+'HAB'!B20+'HB'!B20+'OD'!B20+'HDN'!B20+'KIN'!B20+'LE'!B20+'MER'!B20+'NDN'!B20+'SALT'!B20+'SDN'!B20+'SST'!B20+'WH'!B20+'FH'!B20</f>
        <v/>
      </c>
      <c r="C20" s="18">
        <f>'ABA'!C20+'BK'!C20+'BW'!C20+'CED'!C20+'HAB'!C20+'HB'!C20+'OD'!C20+'HDN'!C20+'KIN'!C20+'LE'!C20+'MER'!C20+'NDN'!C20+'SALT'!C20+'SDN'!C20+'SST'!C20+'WH'!C20+'FH'!C20</f>
        <v/>
      </c>
      <c r="D20" s="18">
        <f>'ABA'!D20+'BK'!D20+'BW'!D20+'CED'!D20+'HAB'!D20+'HB'!D20+'OD'!D20+'HDN'!D20+'KIN'!D20+'LE'!D20+'MER'!D20+'NDN'!D20+'SALT'!D20+'SDN'!D20+'SST'!D20+'WH'!D20+'FH'!D20</f>
        <v/>
      </c>
      <c r="E20" s="18">
        <f>'ABA'!E20+'BK'!E20+'BW'!E20+'CED'!E20+'HAB'!E20+'HB'!E20+'OD'!E20+'HDN'!E20+'KIN'!E20+'LE'!E20+'MER'!E20+'NDN'!E20+'SALT'!E20+'SDN'!E20+'SST'!E20+'WH'!E20+'FH'!E20</f>
        <v/>
      </c>
      <c r="F20" s="18">
        <f>'ABA'!F20+'BK'!F20+'BW'!F20+'CED'!F20+'HAB'!F20+'HB'!F20+'OD'!F20+'HDN'!F20+'KIN'!F20+'LE'!F20+'MER'!F20+'NDN'!F20+'SALT'!F20+'SDN'!F20+'SST'!F20+'WH'!F20+'FH'!F20</f>
        <v/>
      </c>
      <c r="G20" s="18">
        <f>'ABA'!G20+'BK'!G20+'BW'!G20+'CED'!G20+'HAB'!G20+'HB'!G20+'OD'!G20+'HDN'!G20+'KIN'!G20+'LE'!G20+'MER'!G20+'NDN'!G20+'SALT'!G20+'SDN'!G20+'SST'!G20+'WH'!G20+'FH'!G20</f>
        <v/>
      </c>
      <c r="H20" s="18">
        <f>'ABA'!H20+'BK'!H20+'BW'!H20+'CED'!H20+'HAB'!H20+'HB'!H20+'OD'!H20+'HDN'!H20+'KIN'!H20+'LE'!H20+'MER'!H20+'NDN'!H20+'SALT'!H20+'SDN'!H20+'SST'!H20+'WH'!H20+'FH'!H20</f>
        <v/>
      </c>
      <c r="I20" s="18">
        <f>'ABA'!I20+'BK'!I20+'BW'!I20+'CED'!I20+'HAB'!I20+'HB'!I20+'OD'!I20+'HDN'!I20+'KIN'!I20+'LE'!I20+'MER'!I20+'NDN'!I20+'SALT'!I20+'SDN'!I20+'SST'!I20+'WH'!I20+'FH'!I20</f>
        <v/>
      </c>
      <c r="J20" s="18">
        <f>'ABA'!J20+'BK'!J20+'BW'!J20+'CED'!J20+'HAB'!J20+'HB'!J20+'OD'!J20+'HDN'!J20+'KIN'!J20+'LE'!J20+'MER'!J20+'NDN'!J20+'SALT'!J20+'SDN'!J20+'SST'!J20+'WH'!J20+'FH'!J20</f>
        <v/>
      </c>
      <c r="K20" s="18">
        <f>'ABA'!K20+'BK'!K20+'BW'!K20+'CED'!K20+'HAB'!K20+'HB'!K20+'OD'!K20+'HDN'!K20+'KIN'!K20+'LE'!K20+'MER'!K20+'NDN'!K20+'SALT'!K20+'SDN'!K20+'SST'!K20+'WH'!K20+'FH'!K20</f>
        <v/>
      </c>
      <c r="L20" s="18">
        <f>'ABA'!L20+'BK'!L20+'BW'!L20+'CED'!L20+'HAB'!L20+'HB'!L20+'OD'!L20+'HDN'!L20+'KIN'!L20+'LE'!L20+'MER'!L20+'NDN'!L20+'SALT'!L20+'SDN'!L20+'SST'!L20+'WH'!L20+'FH'!L20</f>
        <v/>
      </c>
      <c r="M20" s="18">
        <f>'ABA'!M20+'BK'!M20+'BW'!M20+'CED'!M20+'HAB'!M20+'HB'!M20+'OD'!M20+'HDN'!M20+'KIN'!M20+'LE'!M20+'MER'!M20+'NDN'!M20+'SALT'!M20+'SDN'!M20+'SST'!M20+'WH'!M20+'FH'!M20</f>
        <v/>
      </c>
      <c r="N20" s="18">
        <f>'ABA'!N20+'BK'!N20+'BW'!N20+'CED'!N20+'HAB'!N20+'HB'!N20+'OD'!N20+'HDN'!N20+'KIN'!N20+'LE'!N20+'MER'!N20+'NDN'!N20+'SALT'!N20+'SDN'!N20+'SST'!N20+'WH'!N20+'FH'!N20</f>
        <v/>
      </c>
      <c r="O20" s="18">
        <f>'ABA'!O20+'BK'!O20+'BW'!O20+'CED'!O20+'HAB'!O20+'HB'!O20+'OD'!O20+'HDN'!O20+'KIN'!O20+'LE'!O20+'MER'!O20+'NDN'!O20+'SALT'!O20+'SDN'!O20+'SST'!O20+'WH'!O20+'FH'!O20</f>
        <v/>
      </c>
      <c r="P20" s="18">
        <f>'ABA'!P20+'BK'!P20+'BW'!P20+'CED'!P20+'HAB'!P20+'HB'!P20+'OD'!P20+'HDN'!P20+'KIN'!P20+'LE'!P20+'MER'!P20+'NDN'!P20+'SALT'!P20+'SDN'!P20+'SST'!P20+'WH'!P20+'FH'!P20</f>
        <v/>
      </c>
      <c r="Q20" s="18">
        <f>'ABA'!Q20+'BK'!Q20+'BW'!Q20+'CED'!Q20+'HAB'!Q20+'HB'!Q20+'OD'!Q20+'HDN'!Q20+'KIN'!Q20+'LE'!Q20+'MER'!Q20+'NDN'!Q20+'SALT'!Q20+'SDN'!Q20+'SST'!Q20+'WH'!Q20+'FH'!Q20</f>
        <v/>
      </c>
      <c r="R20" s="18">
        <f>'ABA'!R20+'BK'!R20+'BW'!R20+'CED'!R20+'HAB'!R20+'HB'!R20+'OD'!R20+'HDN'!R20+'KIN'!R20+'LE'!R20+'MER'!R20+'NDN'!R20+'SALT'!R20+'SDN'!R20+'SST'!R20+'WH'!R20+'FH'!R20</f>
        <v/>
      </c>
      <c r="S20" s="18">
        <f>'ABA'!S20+'BK'!S20+'BW'!S20+'CED'!S20+'HAB'!S20+'HB'!S20+'OD'!S20+'HDN'!S20+'KIN'!S20+'LE'!S20+'MER'!S20+'NDN'!S20+'SALT'!S20+'SDN'!S20+'SST'!S20+'WH'!S20+'FH'!S20</f>
        <v/>
      </c>
      <c r="T20" s="18">
        <f>'ABA'!T20+'BK'!T20+'BW'!T20+'CED'!T20+'HAB'!T20+'HB'!T20+'OD'!T20+'HDN'!T20+'KIN'!T20+'LE'!T20+'MER'!T20+'NDN'!T20+'SALT'!T20+'SDN'!T20+'SST'!T20+'WH'!T20+'FH'!T20</f>
        <v/>
      </c>
      <c r="U20" s="18">
        <f>'ABA'!U20+'BK'!U20+'BW'!U20+'CED'!U20+'HAB'!U20+'HB'!U20+'OD'!U20+'HDN'!U20+'KIN'!U20+'LE'!U20+'MER'!U20+'NDN'!U20+'SALT'!U20+'SDN'!U20+'SST'!U20+'WH'!U20+'FH'!U20</f>
        <v/>
      </c>
      <c r="V20" s="18">
        <f>'ABA'!V20+'BK'!V20+'BW'!V20+'CED'!V20+'HAB'!V20+'HB'!V20+'OD'!V20+'HDN'!V20+'KIN'!V20+'LE'!V20+'MER'!V20+'NDN'!V20+'SALT'!V20+'SDN'!V20+'SST'!V20+'WH'!V20+'FH'!V20</f>
        <v/>
      </c>
      <c r="W20" s="18">
        <f>'ABA'!W20+'BK'!W20+'BW'!W20+'CED'!W20+'HAB'!W20+'HB'!W20+'OD'!W20+'HDN'!W20+'KIN'!W20+'LE'!W20+'MER'!W20+'NDN'!W20+'SALT'!W20+'SDN'!W20+'SST'!W20+'WH'!W20+'FH'!W20</f>
        <v/>
      </c>
      <c r="X20" s="18">
        <f>'ABA'!X20+'BK'!X20+'BW'!X20+'CED'!X20+'HAB'!X20+'HB'!X20+'OD'!X20+'HDN'!X20+'KIN'!X20+'LE'!X20+'MER'!X20+'NDN'!X20+'SALT'!X20+'SDN'!X20+'SST'!X20+'WH'!X20+'FH'!X20</f>
        <v/>
      </c>
      <c r="Y20" s="18">
        <f>'ABA'!Y20+'BK'!Y20+'BW'!Y20+'CED'!Y20+'HAB'!Y20+'HB'!Y20+'OD'!Y20+'HDN'!Y20+'KIN'!Y20+'LE'!Y20+'MER'!Y20+'NDN'!Y20+'SALT'!Y20+'SDN'!Y20+'SST'!Y20+'WH'!Y20+'FH'!Y20</f>
        <v/>
      </c>
      <c r="Z20" s="18">
        <f>'ABA'!Z20+'BK'!Z20+'BW'!Z20+'CED'!Z20+'HAB'!Z20+'HB'!Z20+'OD'!Z20+'HDN'!Z20+'KIN'!Z20+'LE'!Z20+'MER'!Z20+'NDN'!Z20+'SALT'!Z20+'SDN'!Z20+'SST'!Z20+'WH'!Z20+'FH'!Z20</f>
        <v/>
      </c>
      <c r="AA20" s="18">
        <f>'ABA'!AA20+'BK'!AA20+'BW'!AA20+'CED'!AA20+'HAB'!AA20+'HB'!AA20+'OD'!AA20+'HDN'!AA20+'KIN'!AA20+'LE'!AA20+'MER'!AA20+'NDN'!AA20+'SALT'!AA20+'SDN'!AA20+'SST'!AA20+'WH'!AA20+'FH'!AA20</f>
        <v/>
      </c>
      <c r="AB20" s="18">
        <f>'ABA'!AB20+'BK'!AB20+'BW'!AB20+'CED'!AB20+'HAB'!AB20+'HB'!AB20+'OD'!AB20+'HDN'!AB20+'KIN'!AB20+'LE'!AB20+'MER'!AB20+'NDN'!AB20+'SALT'!AB20+'SDN'!AB20+'SST'!AB20+'WH'!AB20+'FH'!AB20</f>
        <v/>
      </c>
      <c r="AC20" s="18">
        <f>'ABA'!AC20+'BK'!AC20+'BW'!AC20+'CED'!AC20+'HAB'!AC20+'HB'!AC20+'OD'!AC20+'HDN'!AC20+'KIN'!AC20+'LE'!AC20+'MER'!AC20+'NDN'!AC20+'SALT'!AC20+'SDN'!AC20+'SST'!AC20+'WH'!AC20+'FH'!AC20</f>
        <v/>
      </c>
      <c r="AD20" s="18">
        <f>'ABA'!AD20+'BK'!AD20+'BW'!AD20+'CED'!AD20+'HAB'!AD20+'HB'!AD20+'OD'!AD20+'HDN'!AD20+'KIN'!AD20+'LE'!AD20+'MER'!AD20+'NDN'!AD20+'SALT'!AD20+'SDN'!AD20+'SST'!AD20+'WH'!AD20+'FH'!AD20</f>
        <v/>
      </c>
      <c r="AE20" s="18">
        <f>'ABA'!AE20+'BK'!AE20+'BW'!AE20+'CED'!AE20+'HAB'!AE20+'HB'!AE20+'OD'!AE20+'HDN'!AE20+'KIN'!AE20+'LE'!AE20+'MER'!AE20+'NDN'!AE20+'SALT'!AE20+'SDN'!AE20+'SST'!AE20+'WH'!AE20+'FH'!AE20</f>
        <v/>
      </c>
      <c r="AF20" s="18">
        <f>'ABA'!AF20+'BK'!AF20+'BW'!AF20+'CED'!AF20+'HAB'!AF20+'HB'!AF20+'OD'!AF20+'HDN'!AF20+'KIN'!AF20+'LE'!AF20+'MER'!AF20+'NDN'!AF20+'SALT'!AF20+'SDN'!AF20+'SST'!AF20+'WH'!AF20+'FH'!AF20</f>
        <v/>
      </c>
      <c r="AG20" s="18">
        <f>'ABA'!AG20+'BK'!AG20+'BW'!AG20+'CED'!AG20+'HAB'!AG20+'HB'!AG20+'OD'!AG20+'HDN'!AG20+'KIN'!AG20+'LE'!AG20+'MER'!AG20+'NDN'!AG20+'SALT'!AG20+'SDN'!AG20+'SST'!AG20+'WH'!AG20+'FH'!AG20</f>
        <v/>
      </c>
      <c r="AH20" s="18">
        <f>'ABA'!AH20+'BK'!AH20+'BW'!AH20+'CED'!AH20+'HAB'!AH20+'HB'!AH20+'OD'!AH20+'HDN'!AH20+'KIN'!AH20+'LE'!AH20+'MER'!AH20+'NDN'!AH20+'SALT'!AH20+'SDN'!AH20+'SST'!AH20+'WH'!AH20+'FH'!AH20</f>
        <v/>
      </c>
      <c r="AI20" s="18">
        <f>'ABA'!AI20+'BK'!AI20+'BW'!AI20+'CED'!AI20+'HAB'!AI20+'HB'!AI20+'OD'!AI20+'HDN'!AI20+'KIN'!AI20+'LE'!AI20+'MER'!AI20+'NDN'!AI20+'SALT'!AI20+'SDN'!AI20+'SST'!AI20+'WH'!AI20+'FH'!AI20</f>
        <v/>
      </c>
      <c r="AJ20" s="18">
        <f>'ABA'!AJ20+'BK'!AJ20+'BW'!AJ20+'CED'!AJ20+'HAB'!AJ20+'HB'!AJ20+'OD'!AJ20+'HDN'!AJ20+'KIN'!AJ20+'LE'!AJ20+'MER'!AJ20+'NDN'!AJ20+'SALT'!AJ20+'SDN'!AJ20+'SST'!AJ20+'WH'!AJ20+'FH'!AJ20</f>
        <v/>
      </c>
      <c r="AK20" s="11">
        <f>IF(N20&lt;&gt;0,(AB20-N20)/ABS(N20),0)</f>
        <v/>
      </c>
      <c r="AL20" s="11">
        <f>IF(AB20&lt;&gt;0,(AJ20-AB20)/ABS(AB20),0)</f>
        <v/>
      </c>
    </row>
    <row r="21" ht="13" customHeight="1">
      <c r="A21" s="19" t="inlineStr">
        <is>
          <t xml:space="preserve">    Sal:Rev</t>
        </is>
      </c>
      <c r="N21" s="20">
        <f>IF(N7&gt;0,N20/N7,0)</f>
        <v/>
      </c>
      <c r="AB21" s="20">
        <f>IF(AB7&gt;0,AB20/AB7,0)</f>
        <v/>
      </c>
      <c r="AJ21" s="20">
        <f>IF(AJ7&gt;0,AJ20/AJ7,0)</f>
        <v/>
      </c>
    </row>
    <row r="22" ht="5" customHeight="1"/>
    <row r="23" ht="13" customHeight="1">
      <c r="A23" s="14" t="inlineStr">
        <is>
          <t>Childcare</t>
        </is>
      </c>
    </row>
    <row r="24" ht="13" customHeight="1">
      <c r="A24" s="21" t="inlineStr">
        <is>
          <t xml:space="preserve">    Catering Costs</t>
        </is>
      </c>
      <c r="B24" s="22">
        <f>'ABA'!B24+'BK'!B24+'BW'!B24+'CED'!B24+'HAB'!B24+'HB'!B24+'OD'!B24+'HDN'!B24+'KIN'!B24+'LE'!B24+'MER'!B24+'NDN'!B24+'SALT'!B24+'SDN'!B24+'SST'!B24+'WH'!B24+'FH'!B24</f>
        <v/>
      </c>
      <c r="C24" s="22">
        <f>'ABA'!C24+'BK'!C24+'BW'!C24+'CED'!C24+'HAB'!C24+'HB'!C24+'OD'!C24+'HDN'!C24+'KIN'!C24+'LE'!C24+'MER'!C24+'NDN'!C24+'SALT'!C24+'SDN'!C24+'SST'!C24+'WH'!C24+'FH'!C24</f>
        <v/>
      </c>
      <c r="D24" s="22">
        <f>'ABA'!D24+'BK'!D24+'BW'!D24+'CED'!D24+'HAB'!D24+'HB'!D24+'OD'!D24+'HDN'!D24+'KIN'!D24+'LE'!D24+'MER'!D24+'NDN'!D24+'SALT'!D24+'SDN'!D24+'SST'!D24+'WH'!D24+'FH'!D24</f>
        <v/>
      </c>
      <c r="E24" s="22">
        <f>'ABA'!E24+'BK'!E24+'BW'!E24+'CED'!E24+'HAB'!E24+'HB'!E24+'OD'!E24+'HDN'!E24+'KIN'!E24+'LE'!E24+'MER'!E24+'NDN'!E24+'SALT'!E24+'SDN'!E24+'SST'!E24+'WH'!E24+'FH'!E24</f>
        <v/>
      </c>
      <c r="F24" s="22">
        <f>'ABA'!F24+'BK'!F24+'BW'!F24+'CED'!F24+'HAB'!F24+'HB'!F24+'OD'!F24+'HDN'!F24+'KIN'!F24+'LE'!F24+'MER'!F24+'NDN'!F24+'SALT'!F24+'SDN'!F24+'SST'!F24+'WH'!F24+'FH'!F24</f>
        <v/>
      </c>
      <c r="G24" s="22">
        <f>'ABA'!G24+'BK'!G24+'BW'!G24+'CED'!G24+'HAB'!G24+'HB'!G24+'OD'!G24+'HDN'!G24+'KIN'!G24+'LE'!G24+'MER'!G24+'NDN'!G24+'SALT'!G24+'SDN'!G24+'SST'!G24+'WH'!G24+'FH'!G24</f>
        <v/>
      </c>
      <c r="H24" s="22">
        <f>'ABA'!H24+'BK'!H24+'BW'!H24+'CED'!H24+'HAB'!H24+'HB'!H24+'OD'!H24+'HDN'!H24+'KIN'!H24+'LE'!H24+'MER'!H24+'NDN'!H24+'SALT'!H24+'SDN'!H24+'SST'!H24+'WH'!H24+'FH'!H24</f>
        <v/>
      </c>
      <c r="I24" s="22">
        <f>'ABA'!I24+'BK'!I24+'BW'!I24+'CED'!I24+'HAB'!I24+'HB'!I24+'OD'!I24+'HDN'!I24+'KIN'!I24+'LE'!I24+'MER'!I24+'NDN'!I24+'SALT'!I24+'SDN'!I24+'SST'!I24+'WH'!I24+'FH'!I24</f>
        <v/>
      </c>
      <c r="J24" s="22">
        <f>'ABA'!J24+'BK'!J24+'BW'!J24+'CED'!J24+'HAB'!J24+'HB'!J24+'OD'!J24+'HDN'!J24+'KIN'!J24+'LE'!J24+'MER'!J24+'NDN'!J24+'SALT'!J24+'SDN'!J24+'SST'!J24+'WH'!J24+'FH'!J24</f>
        <v/>
      </c>
      <c r="K24" s="22">
        <f>'ABA'!K24+'BK'!K24+'BW'!K24+'CED'!K24+'HAB'!K24+'HB'!K24+'OD'!K24+'HDN'!K24+'KIN'!K24+'LE'!K24+'MER'!K24+'NDN'!K24+'SALT'!K24+'SDN'!K24+'SST'!K24+'WH'!K24+'FH'!K24</f>
        <v/>
      </c>
      <c r="L24" s="22">
        <f>'ABA'!L24+'BK'!L24+'BW'!L24+'CED'!L24+'HAB'!L24+'HB'!L24+'OD'!L24+'HDN'!L24+'KIN'!L24+'LE'!L24+'MER'!L24+'NDN'!L24+'SALT'!L24+'SDN'!L24+'SST'!L24+'WH'!L24+'FH'!L24</f>
        <v/>
      </c>
      <c r="M24" s="22">
        <f>'ABA'!M24+'BK'!M24+'BW'!M24+'CED'!M24+'HAB'!M24+'HB'!M24+'OD'!M24+'HDN'!M24+'KIN'!M24+'LE'!M24+'MER'!M24+'NDN'!M24+'SALT'!M24+'SDN'!M24+'SST'!M24+'WH'!M24+'FH'!M24</f>
        <v/>
      </c>
      <c r="N24" s="22">
        <f>'ABA'!N24+'BK'!N24+'BW'!N24+'CED'!N24+'HAB'!N24+'HB'!N24+'OD'!N24+'HDN'!N24+'KIN'!N24+'LE'!N24+'MER'!N24+'NDN'!N24+'SALT'!N24+'SDN'!N24+'SST'!N24+'WH'!N24+'FH'!N24</f>
        <v/>
      </c>
      <c r="O24" s="22">
        <f>'ABA'!O24+'BK'!O24+'BW'!O24+'CED'!O24+'HAB'!O24+'HB'!O24+'OD'!O24+'HDN'!O24+'KIN'!O24+'LE'!O24+'MER'!O24+'NDN'!O24+'SALT'!O24+'SDN'!O24+'SST'!O24+'WH'!O24+'FH'!O24</f>
        <v/>
      </c>
      <c r="P24" s="22">
        <f>'ABA'!P24+'BK'!P24+'BW'!P24+'CED'!P24+'HAB'!P24+'HB'!P24+'OD'!P24+'HDN'!P24+'KIN'!P24+'LE'!P24+'MER'!P24+'NDN'!P24+'SALT'!P24+'SDN'!P24+'SST'!P24+'WH'!P24+'FH'!P24</f>
        <v/>
      </c>
      <c r="Q24" s="22">
        <f>'ABA'!Q24+'BK'!Q24+'BW'!Q24+'CED'!Q24+'HAB'!Q24+'HB'!Q24+'OD'!Q24+'HDN'!Q24+'KIN'!Q24+'LE'!Q24+'MER'!Q24+'NDN'!Q24+'SALT'!Q24+'SDN'!Q24+'SST'!Q24+'WH'!Q24+'FH'!Q24</f>
        <v/>
      </c>
      <c r="R24" s="22">
        <f>'ABA'!R24+'BK'!R24+'BW'!R24+'CED'!R24+'HAB'!R24+'HB'!R24+'OD'!R24+'HDN'!R24+'KIN'!R24+'LE'!R24+'MER'!R24+'NDN'!R24+'SALT'!R24+'SDN'!R24+'SST'!R24+'WH'!R24+'FH'!R24</f>
        <v/>
      </c>
      <c r="S24" s="22">
        <f>'ABA'!S24+'BK'!S24+'BW'!S24+'CED'!S24+'HAB'!S24+'HB'!S24+'OD'!S24+'HDN'!S24+'KIN'!S24+'LE'!S24+'MER'!S24+'NDN'!S24+'SALT'!S24+'SDN'!S24+'SST'!S24+'WH'!S24+'FH'!S24</f>
        <v/>
      </c>
      <c r="T24" s="22">
        <f>'ABA'!T24+'BK'!T24+'BW'!T24+'CED'!T24+'HAB'!T24+'HB'!T24+'OD'!T24+'HDN'!T24+'KIN'!T24+'LE'!T24+'MER'!T24+'NDN'!T24+'SALT'!T24+'SDN'!T24+'SST'!T24+'WH'!T24+'FH'!T24</f>
        <v/>
      </c>
      <c r="U24" s="22">
        <f>'ABA'!U24+'BK'!U24+'BW'!U24+'CED'!U24+'HAB'!U24+'HB'!U24+'OD'!U24+'HDN'!U24+'KIN'!U24+'LE'!U24+'MER'!U24+'NDN'!U24+'SALT'!U24+'SDN'!U24+'SST'!U24+'WH'!U24+'FH'!U24</f>
        <v/>
      </c>
      <c r="V24" s="22">
        <f>'ABA'!V24+'BK'!V24+'BW'!V24+'CED'!V24+'HAB'!V24+'HB'!V24+'OD'!V24+'HDN'!V24+'KIN'!V24+'LE'!V24+'MER'!V24+'NDN'!V24+'SALT'!V24+'SDN'!V24+'SST'!V24+'WH'!V24+'FH'!V24</f>
        <v/>
      </c>
      <c r="W24" s="22">
        <f>'ABA'!W24+'BK'!W24+'BW'!W24+'CED'!W24+'HAB'!W24+'HB'!W24+'OD'!W24+'HDN'!W24+'KIN'!W24+'LE'!W24+'MER'!W24+'NDN'!W24+'SALT'!W24+'SDN'!W24+'SST'!W24+'WH'!W24+'FH'!W24</f>
        <v/>
      </c>
      <c r="X24" s="22">
        <f>'ABA'!X24+'BK'!X24+'BW'!X24+'CED'!X24+'HAB'!X24+'HB'!X24+'OD'!X24+'HDN'!X24+'KIN'!X24+'LE'!X24+'MER'!X24+'NDN'!X24+'SALT'!X24+'SDN'!X24+'SST'!X24+'WH'!X24+'FH'!X24</f>
        <v/>
      </c>
      <c r="Y24" s="22">
        <f>'ABA'!Y24+'BK'!Y24+'BW'!Y24+'CED'!Y24+'HAB'!Y24+'HB'!Y24+'OD'!Y24+'HDN'!Y24+'KIN'!Y24+'LE'!Y24+'MER'!Y24+'NDN'!Y24+'SALT'!Y24+'SDN'!Y24+'SST'!Y24+'WH'!Y24+'FH'!Y24</f>
        <v/>
      </c>
      <c r="Z24" s="22">
        <f>'ABA'!Z24+'BK'!Z24+'BW'!Z24+'CED'!Z24+'HAB'!Z24+'HB'!Z24+'OD'!Z24+'HDN'!Z24+'KIN'!Z24+'LE'!Z24+'MER'!Z24+'NDN'!Z24+'SALT'!Z24+'SDN'!Z24+'SST'!Z24+'WH'!Z24+'FH'!Z24</f>
        <v/>
      </c>
      <c r="AA24" s="22">
        <f>'ABA'!AA24+'BK'!AA24+'BW'!AA24+'CED'!AA24+'HAB'!AA24+'HB'!AA24+'OD'!AA24+'HDN'!AA24+'KIN'!AA24+'LE'!AA24+'MER'!AA24+'NDN'!AA24+'SALT'!AA24+'SDN'!AA24+'SST'!AA24+'WH'!AA24+'FH'!AA24</f>
        <v/>
      </c>
      <c r="AB24" s="22">
        <f>'ABA'!AB24+'BK'!AB24+'BW'!AB24+'CED'!AB24+'HAB'!AB24+'HB'!AB24+'OD'!AB24+'HDN'!AB24+'KIN'!AB24+'LE'!AB24+'MER'!AB24+'NDN'!AB24+'SALT'!AB24+'SDN'!AB24+'SST'!AB24+'WH'!AB24+'FH'!AB24</f>
        <v/>
      </c>
      <c r="AC24" s="22">
        <f>'ABA'!AC24+'BK'!AC24+'BW'!AC24+'CED'!AC24+'HAB'!AC24+'HB'!AC24+'OD'!AC24+'HDN'!AC24+'KIN'!AC24+'LE'!AC24+'MER'!AC24+'NDN'!AC24+'SALT'!AC24+'SDN'!AC24+'SST'!AC24+'WH'!AC24+'FH'!AC24</f>
        <v/>
      </c>
      <c r="AD24" s="22">
        <f>'ABA'!AD24+'BK'!AD24+'BW'!AD24+'CED'!AD24+'HAB'!AD24+'HB'!AD24+'OD'!AD24+'HDN'!AD24+'KIN'!AD24+'LE'!AD24+'MER'!AD24+'NDN'!AD24+'SALT'!AD24+'SDN'!AD24+'SST'!AD24+'WH'!AD24+'FH'!AD24</f>
        <v/>
      </c>
      <c r="AE24" s="22">
        <f>'ABA'!AE24+'BK'!AE24+'BW'!AE24+'CED'!AE24+'HAB'!AE24+'HB'!AE24+'OD'!AE24+'HDN'!AE24+'KIN'!AE24+'LE'!AE24+'MER'!AE24+'NDN'!AE24+'SALT'!AE24+'SDN'!AE24+'SST'!AE24+'WH'!AE24+'FH'!AE24</f>
        <v/>
      </c>
      <c r="AF24" s="22">
        <f>'ABA'!AF24+'BK'!AF24+'BW'!AF24+'CED'!AF24+'HAB'!AF24+'HB'!AF24+'OD'!AF24+'HDN'!AF24+'KIN'!AF24+'LE'!AF24+'MER'!AF24+'NDN'!AF24+'SALT'!AF24+'SDN'!AF24+'SST'!AF24+'WH'!AF24+'FH'!AF24</f>
        <v/>
      </c>
      <c r="AG24" s="22">
        <f>'ABA'!AG24+'BK'!AG24+'BW'!AG24+'CED'!AG24+'HAB'!AG24+'HB'!AG24+'OD'!AG24+'HDN'!AG24+'KIN'!AG24+'LE'!AG24+'MER'!AG24+'NDN'!AG24+'SALT'!AG24+'SDN'!AG24+'SST'!AG24+'WH'!AG24+'FH'!AG24</f>
        <v/>
      </c>
      <c r="AH24" s="22">
        <f>'ABA'!AH24+'BK'!AH24+'BW'!AH24+'CED'!AH24+'HAB'!AH24+'HB'!AH24+'OD'!AH24+'HDN'!AH24+'KIN'!AH24+'LE'!AH24+'MER'!AH24+'NDN'!AH24+'SALT'!AH24+'SDN'!AH24+'SST'!AH24+'WH'!AH24+'FH'!AH24</f>
        <v/>
      </c>
      <c r="AI24" s="22">
        <f>'ABA'!AI24+'BK'!AI24+'BW'!AI24+'CED'!AI24+'HAB'!AI24+'HB'!AI24+'OD'!AI24+'HDN'!AI24+'KIN'!AI24+'LE'!AI24+'MER'!AI24+'NDN'!AI24+'SALT'!AI24+'SDN'!AI24+'SST'!AI24+'WH'!AI24+'FH'!AI24</f>
        <v/>
      </c>
      <c r="AJ24" s="22">
        <f>'ABA'!AJ24+'BK'!AJ24+'BW'!AJ24+'CED'!AJ24+'HAB'!AJ24+'HB'!AJ24+'OD'!AJ24+'HDN'!AJ24+'KIN'!AJ24+'LE'!AJ24+'MER'!AJ24+'NDN'!AJ24+'SALT'!AJ24+'SDN'!AJ24+'SST'!AJ24+'WH'!AJ24+'FH'!AJ24</f>
        <v/>
      </c>
      <c r="AK24" s="11">
        <f>IF(N24&lt;&gt;0,(AB24-N24)/ABS(N24),0)</f>
        <v/>
      </c>
      <c r="AL24" s="11">
        <f>IF(AB24&lt;&gt;0,(AJ24-AB24)/ABS(AB24),0)</f>
        <v/>
      </c>
    </row>
    <row r="25" ht="13" customHeight="1">
      <c r="A25" s="21" t="inlineStr">
        <is>
          <t xml:space="preserve">    Toys and Games</t>
        </is>
      </c>
      <c r="B25" s="22">
        <f>'ABA'!B25+'BK'!B25+'BW'!B25+'CED'!B25+'HAB'!B25+'HB'!B25+'OD'!B25+'HDN'!B25+'KIN'!B25+'LE'!B25+'MER'!B25+'NDN'!B25+'SALT'!B25+'SDN'!B25+'SST'!B25+'WH'!B25+'FH'!B25</f>
        <v/>
      </c>
      <c r="C25" s="22">
        <f>'ABA'!C25+'BK'!C25+'BW'!C25+'CED'!C25+'HAB'!C25+'HB'!C25+'OD'!C25+'HDN'!C25+'KIN'!C25+'LE'!C25+'MER'!C25+'NDN'!C25+'SALT'!C25+'SDN'!C25+'SST'!C25+'WH'!C25+'FH'!C25</f>
        <v/>
      </c>
      <c r="D25" s="22">
        <f>'ABA'!D25+'BK'!D25+'BW'!D25+'CED'!D25+'HAB'!D25+'HB'!D25+'OD'!D25+'HDN'!D25+'KIN'!D25+'LE'!D25+'MER'!D25+'NDN'!D25+'SALT'!D25+'SDN'!D25+'SST'!D25+'WH'!D25+'FH'!D25</f>
        <v/>
      </c>
      <c r="E25" s="22">
        <f>'ABA'!E25+'BK'!E25+'BW'!E25+'CED'!E25+'HAB'!E25+'HB'!E25+'OD'!E25+'HDN'!E25+'KIN'!E25+'LE'!E25+'MER'!E25+'NDN'!E25+'SALT'!E25+'SDN'!E25+'SST'!E25+'WH'!E25+'FH'!E25</f>
        <v/>
      </c>
      <c r="F25" s="22">
        <f>'ABA'!F25+'BK'!F25+'BW'!F25+'CED'!F25+'HAB'!F25+'HB'!F25+'OD'!F25+'HDN'!F25+'KIN'!F25+'LE'!F25+'MER'!F25+'NDN'!F25+'SALT'!F25+'SDN'!F25+'SST'!F25+'WH'!F25+'FH'!F25</f>
        <v/>
      </c>
      <c r="G25" s="22">
        <f>'ABA'!G25+'BK'!G25+'BW'!G25+'CED'!G25+'HAB'!G25+'HB'!G25+'OD'!G25+'HDN'!G25+'KIN'!G25+'LE'!G25+'MER'!G25+'NDN'!G25+'SALT'!G25+'SDN'!G25+'SST'!G25+'WH'!G25+'FH'!G25</f>
        <v/>
      </c>
      <c r="H25" s="22">
        <f>'ABA'!H25+'BK'!H25+'BW'!H25+'CED'!H25+'HAB'!H25+'HB'!H25+'OD'!H25+'HDN'!H25+'KIN'!H25+'LE'!H25+'MER'!H25+'NDN'!H25+'SALT'!H25+'SDN'!H25+'SST'!H25+'WH'!H25+'FH'!H25</f>
        <v/>
      </c>
      <c r="I25" s="22">
        <f>'ABA'!I25+'BK'!I25+'BW'!I25+'CED'!I25+'HAB'!I25+'HB'!I25+'OD'!I25+'HDN'!I25+'KIN'!I25+'LE'!I25+'MER'!I25+'NDN'!I25+'SALT'!I25+'SDN'!I25+'SST'!I25+'WH'!I25+'FH'!I25</f>
        <v/>
      </c>
      <c r="J25" s="22">
        <f>'ABA'!J25+'BK'!J25+'BW'!J25+'CED'!J25+'HAB'!J25+'HB'!J25+'OD'!J25+'HDN'!J25+'KIN'!J25+'LE'!J25+'MER'!J25+'NDN'!J25+'SALT'!J25+'SDN'!J25+'SST'!J25+'WH'!J25+'FH'!J25</f>
        <v/>
      </c>
      <c r="K25" s="22">
        <f>'ABA'!K25+'BK'!K25+'BW'!K25+'CED'!K25+'HAB'!K25+'HB'!K25+'OD'!K25+'HDN'!K25+'KIN'!K25+'LE'!K25+'MER'!K25+'NDN'!K25+'SALT'!K25+'SDN'!K25+'SST'!K25+'WH'!K25+'FH'!K25</f>
        <v/>
      </c>
      <c r="L25" s="22">
        <f>'ABA'!L25+'BK'!L25+'BW'!L25+'CED'!L25+'HAB'!L25+'HB'!L25+'OD'!L25+'HDN'!L25+'KIN'!L25+'LE'!L25+'MER'!L25+'NDN'!L25+'SALT'!L25+'SDN'!L25+'SST'!L25+'WH'!L25+'FH'!L25</f>
        <v/>
      </c>
      <c r="M25" s="22">
        <f>'ABA'!M25+'BK'!M25+'BW'!M25+'CED'!M25+'HAB'!M25+'HB'!M25+'OD'!M25+'HDN'!M25+'KIN'!M25+'LE'!M25+'MER'!M25+'NDN'!M25+'SALT'!M25+'SDN'!M25+'SST'!M25+'WH'!M25+'FH'!M25</f>
        <v/>
      </c>
      <c r="N25" s="22">
        <f>'ABA'!N25+'BK'!N25+'BW'!N25+'CED'!N25+'HAB'!N25+'HB'!N25+'OD'!N25+'HDN'!N25+'KIN'!N25+'LE'!N25+'MER'!N25+'NDN'!N25+'SALT'!N25+'SDN'!N25+'SST'!N25+'WH'!N25+'FH'!N25</f>
        <v/>
      </c>
      <c r="O25" s="22">
        <f>'ABA'!O25+'BK'!O25+'BW'!O25+'CED'!O25+'HAB'!O25+'HB'!O25+'OD'!O25+'HDN'!O25+'KIN'!O25+'LE'!O25+'MER'!O25+'NDN'!O25+'SALT'!O25+'SDN'!O25+'SST'!O25+'WH'!O25+'FH'!O25</f>
        <v/>
      </c>
      <c r="P25" s="22">
        <f>'ABA'!P25+'BK'!P25+'BW'!P25+'CED'!P25+'HAB'!P25+'HB'!P25+'OD'!P25+'HDN'!P25+'KIN'!P25+'LE'!P25+'MER'!P25+'NDN'!P25+'SALT'!P25+'SDN'!P25+'SST'!P25+'WH'!P25+'FH'!P25</f>
        <v/>
      </c>
      <c r="Q25" s="22">
        <f>'ABA'!Q25+'BK'!Q25+'BW'!Q25+'CED'!Q25+'HAB'!Q25+'HB'!Q25+'OD'!Q25+'HDN'!Q25+'KIN'!Q25+'LE'!Q25+'MER'!Q25+'NDN'!Q25+'SALT'!Q25+'SDN'!Q25+'SST'!Q25+'WH'!Q25+'FH'!Q25</f>
        <v/>
      </c>
      <c r="R25" s="22">
        <f>'ABA'!R25+'BK'!R25+'BW'!R25+'CED'!R25+'HAB'!R25+'HB'!R25+'OD'!R25+'HDN'!R25+'KIN'!R25+'LE'!R25+'MER'!R25+'NDN'!R25+'SALT'!R25+'SDN'!R25+'SST'!R25+'WH'!R25+'FH'!R25</f>
        <v/>
      </c>
      <c r="S25" s="22">
        <f>'ABA'!S25+'BK'!S25+'BW'!S25+'CED'!S25+'HAB'!S25+'HB'!S25+'OD'!S25+'HDN'!S25+'KIN'!S25+'LE'!S25+'MER'!S25+'NDN'!S25+'SALT'!S25+'SDN'!S25+'SST'!S25+'WH'!S25+'FH'!S25</f>
        <v/>
      </c>
      <c r="T25" s="22">
        <f>'ABA'!T25+'BK'!T25+'BW'!T25+'CED'!T25+'HAB'!T25+'HB'!T25+'OD'!T25+'HDN'!T25+'KIN'!T25+'LE'!T25+'MER'!T25+'NDN'!T25+'SALT'!T25+'SDN'!T25+'SST'!T25+'WH'!T25+'FH'!T25</f>
        <v/>
      </c>
      <c r="U25" s="22">
        <f>'ABA'!U25+'BK'!U25+'BW'!U25+'CED'!U25+'HAB'!U25+'HB'!U25+'OD'!U25+'HDN'!U25+'KIN'!U25+'LE'!U25+'MER'!U25+'NDN'!U25+'SALT'!U25+'SDN'!U25+'SST'!U25+'WH'!U25+'FH'!U25</f>
        <v/>
      </c>
      <c r="V25" s="22">
        <f>'ABA'!V25+'BK'!V25+'BW'!V25+'CED'!V25+'HAB'!V25+'HB'!V25+'OD'!V25+'HDN'!V25+'KIN'!V25+'LE'!V25+'MER'!V25+'NDN'!V25+'SALT'!V25+'SDN'!V25+'SST'!V25+'WH'!V25+'FH'!V25</f>
        <v/>
      </c>
      <c r="W25" s="22">
        <f>'ABA'!W25+'BK'!W25+'BW'!W25+'CED'!W25+'HAB'!W25+'HB'!W25+'OD'!W25+'HDN'!W25+'KIN'!W25+'LE'!W25+'MER'!W25+'NDN'!W25+'SALT'!W25+'SDN'!W25+'SST'!W25+'WH'!W25+'FH'!W25</f>
        <v/>
      </c>
      <c r="X25" s="22">
        <f>'ABA'!X25+'BK'!X25+'BW'!X25+'CED'!X25+'HAB'!X25+'HB'!X25+'OD'!X25+'HDN'!X25+'KIN'!X25+'LE'!X25+'MER'!X25+'NDN'!X25+'SALT'!X25+'SDN'!X25+'SST'!X25+'WH'!X25+'FH'!X25</f>
        <v/>
      </c>
      <c r="Y25" s="22">
        <f>'ABA'!Y25+'BK'!Y25+'BW'!Y25+'CED'!Y25+'HAB'!Y25+'HB'!Y25+'OD'!Y25+'HDN'!Y25+'KIN'!Y25+'LE'!Y25+'MER'!Y25+'NDN'!Y25+'SALT'!Y25+'SDN'!Y25+'SST'!Y25+'WH'!Y25+'FH'!Y25</f>
        <v/>
      </c>
      <c r="Z25" s="22">
        <f>'ABA'!Z25+'BK'!Z25+'BW'!Z25+'CED'!Z25+'HAB'!Z25+'HB'!Z25+'OD'!Z25+'HDN'!Z25+'KIN'!Z25+'LE'!Z25+'MER'!Z25+'NDN'!Z25+'SALT'!Z25+'SDN'!Z25+'SST'!Z25+'WH'!Z25+'FH'!Z25</f>
        <v/>
      </c>
      <c r="AA25" s="22">
        <f>'ABA'!AA25+'BK'!AA25+'BW'!AA25+'CED'!AA25+'HAB'!AA25+'HB'!AA25+'OD'!AA25+'HDN'!AA25+'KIN'!AA25+'LE'!AA25+'MER'!AA25+'NDN'!AA25+'SALT'!AA25+'SDN'!AA25+'SST'!AA25+'WH'!AA25+'FH'!AA25</f>
        <v/>
      </c>
      <c r="AB25" s="22">
        <f>'ABA'!AB25+'BK'!AB25+'BW'!AB25+'CED'!AB25+'HAB'!AB25+'HB'!AB25+'OD'!AB25+'HDN'!AB25+'KIN'!AB25+'LE'!AB25+'MER'!AB25+'NDN'!AB25+'SALT'!AB25+'SDN'!AB25+'SST'!AB25+'WH'!AB25+'FH'!AB25</f>
        <v/>
      </c>
      <c r="AC25" s="22">
        <f>'ABA'!AC25+'BK'!AC25+'BW'!AC25+'CED'!AC25+'HAB'!AC25+'HB'!AC25+'OD'!AC25+'HDN'!AC25+'KIN'!AC25+'LE'!AC25+'MER'!AC25+'NDN'!AC25+'SALT'!AC25+'SDN'!AC25+'SST'!AC25+'WH'!AC25+'FH'!AC25</f>
        <v/>
      </c>
      <c r="AD25" s="22">
        <f>'ABA'!AD25+'BK'!AD25+'BW'!AD25+'CED'!AD25+'HAB'!AD25+'HB'!AD25+'OD'!AD25+'HDN'!AD25+'KIN'!AD25+'LE'!AD25+'MER'!AD25+'NDN'!AD25+'SALT'!AD25+'SDN'!AD25+'SST'!AD25+'WH'!AD25+'FH'!AD25</f>
        <v/>
      </c>
      <c r="AE25" s="22">
        <f>'ABA'!AE25+'BK'!AE25+'BW'!AE25+'CED'!AE25+'HAB'!AE25+'HB'!AE25+'OD'!AE25+'HDN'!AE25+'KIN'!AE25+'LE'!AE25+'MER'!AE25+'NDN'!AE25+'SALT'!AE25+'SDN'!AE25+'SST'!AE25+'WH'!AE25+'FH'!AE25</f>
        <v/>
      </c>
      <c r="AF25" s="22">
        <f>'ABA'!AF25+'BK'!AF25+'BW'!AF25+'CED'!AF25+'HAB'!AF25+'HB'!AF25+'OD'!AF25+'HDN'!AF25+'KIN'!AF25+'LE'!AF25+'MER'!AF25+'NDN'!AF25+'SALT'!AF25+'SDN'!AF25+'SST'!AF25+'WH'!AF25+'FH'!AF25</f>
        <v/>
      </c>
      <c r="AG25" s="22">
        <f>'ABA'!AG25+'BK'!AG25+'BW'!AG25+'CED'!AG25+'HAB'!AG25+'HB'!AG25+'OD'!AG25+'HDN'!AG25+'KIN'!AG25+'LE'!AG25+'MER'!AG25+'NDN'!AG25+'SALT'!AG25+'SDN'!AG25+'SST'!AG25+'WH'!AG25+'FH'!AG25</f>
        <v/>
      </c>
      <c r="AH25" s="22">
        <f>'ABA'!AH25+'BK'!AH25+'BW'!AH25+'CED'!AH25+'HAB'!AH25+'HB'!AH25+'OD'!AH25+'HDN'!AH25+'KIN'!AH25+'LE'!AH25+'MER'!AH25+'NDN'!AH25+'SALT'!AH25+'SDN'!AH25+'SST'!AH25+'WH'!AH25+'FH'!AH25</f>
        <v/>
      </c>
      <c r="AI25" s="22">
        <f>'ABA'!AI25+'BK'!AI25+'BW'!AI25+'CED'!AI25+'HAB'!AI25+'HB'!AI25+'OD'!AI25+'HDN'!AI25+'KIN'!AI25+'LE'!AI25+'MER'!AI25+'NDN'!AI25+'SALT'!AI25+'SDN'!AI25+'SST'!AI25+'WH'!AI25+'FH'!AI25</f>
        <v/>
      </c>
      <c r="AJ25" s="22">
        <f>'ABA'!AJ25+'BK'!AJ25+'BW'!AJ25+'CED'!AJ25+'HAB'!AJ25+'HB'!AJ25+'OD'!AJ25+'HDN'!AJ25+'KIN'!AJ25+'LE'!AJ25+'MER'!AJ25+'NDN'!AJ25+'SALT'!AJ25+'SDN'!AJ25+'SST'!AJ25+'WH'!AJ25+'FH'!AJ25</f>
        <v/>
      </c>
      <c r="AK25" s="11">
        <f>IF(N25&lt;&gt;0,(AB25-N25)/ABS(N25),0)</f>
        <v/>
      </c>
      <c r="AL25" s="11">
        <f>IF(AB25&lt;&gt;0,(AJ25-AB25)/ABS(AB25),0)</f>
        <v/>
      </c>
    </row>
    <row r="26" ht="13" customHeight="1">
      <c r="A26" s="21" t="inlineStr">
        <is>
          <t xml:space="preserve">    Art Materials</t>
        </is>
      </c>
      <c r="B26" s="22">
        <f>'ABA'!B26+'BK'!B26+'BW'!B26+'CED'!B26+'HAB'!B26+'HB'!B26+'OD'!B26+'HDN'!B26+'KIN'!B26+'LE'!B26+'MER'!B26+'NDN'!B26+'SALT'!B26+'SDN'!B26+'SST'!B26+'WH'!B26+'FH'!B26</f>
        <v/>
      </c>
      <c r="C26" s="22">
        <f>'ABA'!C26+'BK'!C26+'BW'!C26+'CED'!C26+'HAB'!C26+'HB'!C26+'OD'!C26+'HDN'!C26+'KIN'!C26+'LE'!C26+'MER'!C26+'NDN'!C26+'SALT'!C26+'SDN'!C26+'SST'!C26+'WH'!C26+'FH'!C26</f>
        <v/>
      </c>
      <c r="D26" s="22">
        <f>'ABA'!D26+'BK'!D26+'BW'!D26+'CED'!D26+'HAB'!D26+'HB'!D26+'OD'!D26+'HDN'!D26+'KIN'!D26+'LE'!D26+'MER'!D26+'NDN'!D26+'SALT'!D26+'SDN'!D26+'SST'!D26+'WH'!D26+'FH'!D26</f>
        <v/>
      </c>
      <c r="E26" s="22">
        <f>'ABA'!E26+'BK'!E26+'BW'!E26+'CED'!E26+'HAB'!E26+'HB'!E26+'OD'!E26+'HDN'!E26+'KIN'!E26+'LE'!E26+'MER'!E26+'NDN'!E26+'SALT'!E26+'SDN'!E26+'SST'!E26+'WH'!E26+'FH'!E26</f>
        <v/>
      </c>
      <c r="F26" s="22">
        <f>'ABA'!F26+'BK'!F26+'BW'!F26+'CED'!F26+'HAB'!F26+'HB'!F26+'OD'!F26+'HDN'!F26+'KIN'!F26+'LE'!F26+'MER'!F26+'NDN'!F26+'SALT'!F26+'SDN'!F26+'SST'!F26+'WH'!F26+'FH'!F26</f>
        <v/>
      </c>
      <c r="G26" s="22">
        <f>'ABA'!G26+'BK'!G26+'BW'!G26+'CED'!G26+'HAB'!G26+'HB'!G26+'OD'!G26+'HDN'!G26+'KIN'!G26+'LE'!G26+'MER'!G26+'NDN'!G26+'SALT'!G26+'SDN'!G26+'SST'!G26+'WH'!G26+'FH'!G26</f>
        <v/>
      </c>
      <c r="H26" s="22">
        <f>'ABA'!H26+'BK'!H26+'BW'!H26+'CED'!H26+'HAB'!H26+'HB'!H26+'OD'!H26+'HDN'!H26+'KIN'!H26+'LE'!H26+'MER'!H26+'NDN'!H26+'SALT'!H26+'SDN'!H26+'SST'!H26+'WH'!H26+'FH'!H26</f>
        <v/>
      </c>
      <c r="I26" s="22">
        <f>'ABA'!I26+'BK'!I26+'BW'!I26+'CED'!I26+'HAB'!I26+'HB'!I26+'OD'!I26+'HDN'!I26+'KIN'!I26+'LE'!I26+'MER'!I26+'NDN'!I26+'SALT'!I26+'SDN'!I26+'SST'!I26+'WH'!I26+'FH'!I26</f>
        <v/>
      </c>
      <c r="J26" s="22">
        <f>'ABA'!J26+'BK'!J26+'BW'!J26+'CED'!J26+'HAB'!J26+'HB'!J26+'OD'!J26+'HDN'!J26+'KIN'!J26+'LE'!J26+'MER'!J26+'NDN'!J26+'SALT'!J26+'SDN'!J26+'SST'!J26+'WH'!J26+'FH'!J26</f>
        <v/>
      </c>
      <c r="K26" s="22">
        <f>'ABA'!K26+'BK'!K26+'BW'!K26+'CED'!K26+'HAB'!K26+'HB'!K26+'OD'!K26+'HDN'!K26+'KIN'!K26+'LE'!K26+'MER'!K26+'NDN'!K26+'SALT'!K26+'SDN'!K26+'SST'!K26+'WH'!K26+'FH'!K26</f>
        <v/>
      </c>
      <c r="L26" s="22">
        <f>'ABA'!L26+'BK'!L26+'BW'!L26+'CED'!L26+'HAB'!L26+'HB'!L26+'OD'!L26+'HDN'!L26+'KIN'!L26+'LE'!L26+'MER'!L26+'NDN'!L26+'SALT'!L26+'SDN'!L26+'SST'!L26+'WH'!L26+'FH'!L26</f>
        <v/>
      </c>
      <c r="M26" s="22">
        <f>'ABA'!M26+'BK'!M26+'BW'!M26+'CED'!M26+'HAB'!M26+'HB'!M26+'OD'!M26+'HDN'!M26+'KIN'!M26+'LE'!M26+'MER'!M26+'NDN'!M26+'SALT'!M26+'SDN'!M26+'SST'!M26+'WH'!M26+'FH'!M26</f>
        <v/>
      </c>
      <c r="N26" s="22">
        <f>'ABA'!N26+'BK'!N26+'BW'!N26+'CED'!N26+'HAB'!N26+'HB'!N26+'OD'!N26+'HDN'!N26+'KIN'!N26+'LE'!N26+'MER'!N26+'NDN'!N26+'SALT'!N26+'SDN'!N26+'SST'!N26+'WH'!N26+'FH'!N26</f>
        <v/>
      </c>
      <c r="O26" s="22">
        <f>'ABA'!O26+'BK'!O26+'BW'!O26+'CED'!O26+'HAB'!O26+'HB'!O26+'OD'!O26+'HDN'!O26+'KIN'!O26+'LE'!O26+'MER'!O26+'NDN'!O26+'SALT'!O26+'SDN'!O26+'SST'!O26+'WH'!O26+'FH'!O26</f>
        <v/>
      </c>
      <c r="P26" s="22">
        <f>'ABA'!P26+'BK'!P26+'BW'!P26+'CED'!P26+'HAB'!P26+'HB'!P26+'OD'!P26+'HDN'!P26+'KIN'!P26+'LE'!P26+'MER'!P26+'NDN'!P26+'SALT'!P26+'SDN'!P26+'SST'!P26+'WH'!P26+'FH'!P26</f>
        <v/>
      </c>
      <c r="Q26" s="22">
        <f>'ABA'!Q26+'BK'!Q26+'BW'!Q26+'CED'!Q26+'HAB'!Q26+'HB'!Q26+'OD'!Q26+'HDN'!Q26+'KIN'!Q26+'LE'!Q26+'MER'!Q26+'NDN'!Q26+'SALT'!Q26+'SDN'!Q26+'SST'!Q26+'WH'!Q26+'FH'!Q26</f>
        <v/>
      </c>
      <c r="R26" s="22">
        <f>'ABA'!R26+'BK'!R26+'BW'!R26+'CED'!R26+'HAB'!R26+'HB'!R26+'OD'!R26+'HDN'!R26+'KIN'!R26+'LE'!R26+'MER'!R26+'NDN'!R26+'SALT'!R26+'SDN'!R26+'SST'!R26+'WH'!R26+'FH'!R26</f>
        <v/>
      </c>
      <c r="S26" s="22">
        <f>'ABA'!S26+'BK'!S26+'BW'!S26+'CED'!S26+'HAB'!S26+'HB'!S26+'OD'!S26+'HDN'!S26+'KIN'!S26+'LE'!S26+'MER'!S26+'NDN'!S26+'SALT'!S26+'SDN'!S26+'SST'!S26+'WH'!S26+'FH'!S26</f>
        <v/>
      </c>
      <c r="T26" s="22">
        <f>'ABA'!T26+'BK'!T26+'BW'!T26+'CED'!T26+'HAB'!T26+'HB'!T26+'OD'!T26+'HDN'!T26+'KIN'!T26+'LE'!T26+'MER'!T26+'NDN'!T26+'SALT'!T26+'SDN'!T26+'SST'!T26+'WH'!T26+'FH'!T26</f>
        <v/>
      </c>
      <c r="U26" s="22">
        <f>'ABA'!U26+'BK'!U26+'BW'!U26+'CED'!U26+'HAB'!U26+'HB'!U26+'OD'!U26+'HDN'!U26+'KIN'!U26+'LE'!U26+'MER'!U26+'NDN'!U26+'SALT'!U26+'SDN'!U26+'SST'!U26+'WH'!U26+'FH'!U26</f>
        <v/>
      </c>
      <c r="V26" s="22">
        <f>'ABA'!V26+'BK'!V26+'BW'!V26+'CED'!V26+'HAB'!V26+'HB'!V26+'OD'!V26+'HDN'!V26+'KIN'!V26+'LE'!V26+'MER'!V26+'NDN'!V26+'SALT'!V26+'SDN'!V26+'SST'!V26+'WH'!V26+'FH'!V26</f>
        <v/>
      </c>
      <c r="W26" s="22">
        <f>'ABA'!W26+'BK'!W26+'BW'!W26+'CED'!W26+'HAB'!W26+'HB'!W26+'OD'!W26+'HDN'!W26+'KIN'!W26+'LE'!W26+'MER'!W26+'NDN'!W26+'SALT'!W26+'SDN'!W26+'SST'!W26+'WH'!W26+'FH'!W26</f>
        <v/>
      </c>
      <c r="X26" s="22">
        <f>'ABA'!X26+'BK'!X26+'BW'!X26+'CED'!X26+'HAB'!X26+'HB'!X26+'OD'!X26+'HDN'!X26+'KIN'!X26+'LE'!X26+'MER'!X26+'NDN'!X26+'SALT'!X26+'SDN'!X26+'SST'!X26+'WH'!X26+'FH'!X26</f>
        <v/>
      </c>
      <c r="Y26" s="22">
        <f>'ABA'!Y26+'BK'!Y26+'BW'!Y26+'CED'!Y26+'HAB'!Y26+'HB'!Y26+'OD'!Y26+'HDN'!Y26+'KIN'!Y26+'LE'!Y26+'MER'!Y26+'NDN'!Y26+'SALT'!Y26+'SDN'!Y26+'SST'!Y26+'WH'!Y26+'FH'!Y26</f>
        <v/>
      </c>
      <c r="Z26" s="22">
        <f>'ABA'!Z26+'BK'!Z26+'BW'!Z26+'CED'!Z26+'HAB'!Z26+'HB'!Z26+'OD'!Z26+'HDN'!Z26+'KIN'!Z26+'LE'!Z26+'MER'!Z26+'NDN'!Z26+'SALT'!Z26+'SDN'!Z26+'SST'!Z26+'WH'!Z26+'FH'!Z26</f>
        <v/>
      </c>
      <c r="AA26" s="22">
        <f>'ABA'!AA26+'BK'!AA26+'BW'!AA26+'CED'!AA26+'HAB'!AA26+'HB'!AA26+'OD'!AA26+'HDN'!AA26+'KIN'!AA26+'LE'!AA26+'MER'!AA26+'NDN'!AA26+'SALT'!AA26+'SDN'!AA26+'SST'!AA26+'WH'!AA26+'FH'!AA26</f>
        <v/>
      </c>
      <c r="AB26" s="22">
        <f>'ABA'!AB26+'BK'!AB26+'BW'!AB26+'CED'!AB26+'HAB'!AB26+'HB'!AB26+'OD'!AB26+'HDN'!AB26+'KIN'!AB26+'LE'!AB26+'MER'!AB26+'NDN'!AB26+'SALT'!AB26+'SDN'!AB26+'SST'!AB26+'WH'!AB26+'FH'!AB26</f>
        <v/>
      </c>
      <c r="AC26" s="22">
        <f>'ABA'!AC26+'BK'!AC26+'BW'!AC26+'CED'!AC26+'HAB'!AC26+'HB'!AC26+'OD'!AC26+'HDN'!AC26+'KIN'!AC26+'LE'!AC26+'MER'!AC26+'NDN'!AC26+'SALT'!AC26+'SDN'!AC26+'SST'!AC26+'WH'!AC26+'FH'!AC26</f>
        <v/>
      </c>
      <c r="AD26" s="22">
        <f>'ABA'!AD26+'BK'!AD26+'BW'!AD26+'CED'!AD26+'HAB'!AD26+'HB'!AD26+'OD'!AD26+'HDN'!AD26+'KIN'!AD26+'LE'!AD26+'MER'!AD26+'NDN'!AD26+'SALT'!AD26+'SDN'!AD26+'SST'!AD26+'WH'!AD26+'FH'!AD26</f>
        <v/>
      </c>
      <c r="AE26" s="22">
        <f>'ABA'!AE26+'BK'!AE26+'BW'!AE26+'CED'!AE26+'HAB'!AE26+'HB'!AE26+'OD'!AE26+'HDN'!AE26+'KIN'!AE26+'LE'!AE26+'MER'!AE26+'NDN'!AE26+'SALT'!AE26+'SDN'!AE26+'SST'!AE26+'WH'!AE26+'FH'!AE26</f>
        <v/>
      </c>
      <c r="AF26" s="22">
        <f>'ABA'!AF26+'BK'!AF26+'BW'!AF26+'CED'!AF26+'HAB'!AF26+'HB'!AF26+'OD'!AF26+'HDN'!AF26+'KIN'!AF26+'LE'!AF26+'MER'!AF26+'NDN'!AF26+'SALT'!AF26+'SDN'!AF26+'SST'!AF26+'WH'!AF26+'FH'!AF26</f>
        <v/>
      </c>
      <c r="AG26" s="22">
        <f>'ABA'!AG26+'BK'!AG26+'BW'!AG26+'CED'!AG26+'HAB'!AG26+'HB'!AG26+'OD'!AG26+'HDN'!AG26+'KIN'!AG26+'LE'!AG26+'MER'!AG26+'NDN'!AG26+'SALT'!AG26+'SDN'!AG26+'SST'!AG26+'WH'!AG26+'FH'!AG26</f>
        <v/>
      </c>
      <c r="AH26" s="22">
        <f>'ABA'!AH26+'BK'!AH26+'BW'!AH26+'CED'!AH26+'HAB'!AH26+'HB'!AH26+'OD'!AH26+'HDN'!AH26+'KIN'!AH26+'LE'!AH26+'MER'!AH26+'NDN'!AH26+'SALT'!AH26+'SDN'!AH26+'SST'!AH26+'WH'!AH26+'FH'!AH26</f>
        <v/>
      </c>
      <c r="AI26" s="22">
        <f>'ABA'!AI26+'BK'!AI26+'BW'!AI26+'CED'!AI26+'HAB'!AI26+'HB'!AI26+'OD'!AI26+'HDN'!AI26+'KIN'!AI26+'LE'!AI26+'MER'!AI26+'NDN'!AI26+'SALT'!AI26+'SDN'!AI26+'SST'!AI26+'WH'!AI26+'FH'!AI26</f>
        <v/>
      </c>
      <c r="AJ26" s="22">
        <f>'ABA'!AJ26+'BK'!AJ26+'BW'!AJ26+'CED'!AJ26+'HAB'!AJ26+'HB'!AJ26+'OD'!AJ26+'HDN'!AJ26+'KIN'!AJ26+'LE'!AJ26+'MER'!AJ26+'NDN'!AJ26+'SALT'!AJ26+'SDN'!AJ26+'SST'!AJ26+'WH'!AJ26+'FH'!AJ26</f>
        <v/>
      </c>
      <c r="AK26" s="11">
        <f>IF(N26&lt;&gt;0,(AB26-N26)/ABS(N26),0)</f>
        <v/>
      </c>
      <c r="AL26" s="11">
        <f>IF(AB26&lt;&gt;0,(AJ26-AB26)/ABS(AB26),0)</f>
        <v/>
      </c>
    </row>
    <row r="27" ht="13" customHeight="1">
      <c r="A27" s="21" t="inlineStr">
        <is>
          <t xml:space="preserve">    Nursery Stationery</t>
        </is>
      </c>
      <c r="B27" s="22">
        <f>'ABA'!B27+'BK'!B27+'BW'!B27+'CED'!B27+'HAB'!B27+'HB'!B27+'OD'!B27+'HDN'!B27+'KIN'!B27+'LE'!B27+'MER'!B27+'NDN'!B27+'SALT'!B27+'SDN'!B27+'SST'!B27+'WH'!B27+'FH'!B27</f>
        <v/>
      </c>
      <c r="C27" s="22">
        <f>'ABA'!C27+'BK'!C27+'BW'!C27+'CED'!C27+'HAB'!C27+'HB'!C27+'OD'!C27+'HDN'!C27+'KIN'!C27+'LE'!C27+'MER'!C27+'NDN'!C27+'SALT'!C27+'SDN'!C27+'SST'!C27+'WH'!C27+'FH'!C27</f>
        <v/>
      </c>
      <c r="D27" s="22">
        <f>'ABA'!D27+'BK'!D27+'BW'!D27+'CED'!D27+'HAB'!D27+'HB'!D27+'OD'!D27+'HDN'!D27+'KIN'!D27+'LE'!D27+'MER'!D27+'NDN'!D27+'SALT'!D27+'SDN'!D27+'SST'!D27+'WH'!D27+'FH'!D27</f>
        <v/>
      </c>
      <c r="E27" s="22">
        <f>'ABA'!E27+'BK'!E27+'BW'!E27+'CED'!E27+'HAB'!E27+'HB'!E27+'OD'!E27+'HDN'!E27+'KIN'!E27+'LE'!E27+'MER'!E27+'NDN'!E27+'SALT'!E27+'SDN'!E27+'SST'!E27+'WH'!E27+'FH'!E27</f>
        <v/>
      </c>
      <c r="F27" s="22">
        <f>'ABA'!F27+'BK'!F27+'BW'!F27+'CED'!F27+'HAB'!F27+'HB'!F27+'OD'!F27+'HDN'!F27+'KIN'!F27+'LE'!F27+'MER'!F27+'NDN'!F27+'SALT'!F27+'SDN'!F27+'SST'!F27+'WH'!F27+'FH'!F27</f>
        <v/>
      </c>
      <c r="G27" s="22">
        <f>'ABA'!G27+'BK'!G27+'BW'!G27+'CED'!G27+'HAB'!G27+'HB'!G27+'OD'!G27+'HDN'!G27+'KIN'!G27+'LE'!G27+'MER'!G27+'NDN'!G27+'SALT'!G27+'SDN'!G27+'SST'!G27+'WH'!G27+'FH'!G27</f>
        <v/>
      </c>
      <c r="H27" s="22">
        <f>'ABA'!H27+'BK'!H27+'BW'!H27+'CED'!H27+'HAB'!H27+'HB'!H27+'OD'!H27+'HDN'!H27+'KIN'!H27+'LE'!H27+'MER'!H27+'NDN'!H27+'SALT'!H27+'SDN'!H27+'SST'!H27+'WH'!H27+'FH'!H27</f>
        <v/>
      </c>
      <c r="I27" s="22">
        <f>'ABA'!I27+'BK'!I27+'BW'!I27+'CED'!I27+'HAB'!I27+'HB'!I27+'OD'!I27+'HDN'!I27+'KIN'!I27+'LE'!I27+'MER'!I27+'NDN'!I27+'SALT'!I27+'SDN'!I27+'SST'!I27+'WH'!I27+'FH'!I27</f>
        <v/>
      </c>
      <c r="J27" s="22">
        <f>'ABA'!J27+'BK'!J27+'BW'!J27+'CED'!J27+'HAB'!J27+'HB'!J27+'OD'!J27+'HDN'!J27+'KIN'!J27+'LE'!J27+'MER'!J27+'NDN'!J27+'SALT'!J27+'SDN'!J27+'SST'!J27+'WH'!J27+'FH'!J27</f>
        <v/>
      </c>
      <c r="K27" s="22">
        <f>'ABA'!K27+'BK'!K27+'BW'!K27+'CED'!K27+'HAB'!K27+'HB'!K27+'OD'!K27+'HDN'!K27+'KIN'!K27+'LE'!K27+'MER'!K27+'NDN'!K27+'SALT'!K27+'SDN'!K27+'SST'!K27+'WH'!K27+'FH'!K27</f>
        <v/>
      </c>
      <c r="L27" s="22">
        <f>'ABA'!L27+'BK'!L27+'BW'!L27+'CED'!L27+'HAB'!L27+'HB'!L27+'OD'!L27+'HDN'!L27+'KIN'!L27+'LE'!L27+'MER'!L27+'NDN'!L27+'SALT'!L27+'SDN'!L27+'SST'!L27+'WH'!L27+'FH'!L27</f>
        <v/>
      </c>
      <c r="M27" s="22">
        <f>'ABA'!M27+'BK'!M27+'BW'!M27+'CED'!M27+'HAB'!M27+'HB'!M27+'OD'!M27+'HDN'!M27+'KIN'!M27+'LE'!M27+'MER'!M27+'NDN'!M27+'SALT'!M27+'SDN'!M27+'SST'!M27+'WH'!M27+'FH'!M27</f>
        <v/>
      </c>
      <c r="N27" s="22">
        <f>'ABA'!N27+'BK'!N27+'BW'!N27+'CED'!N27+'HAB'!N27+'HB'!N27+'OD'!N27+'HDN'!N27+'KIN'!N27+'LE'!N27+'MER'!N27+'NDN'!N27+'SALT'!N27+'SDN'!N27+'SST'!N27+'WH'!N27+'FH'!N27</f>
        <v/>
      </c>
      <c r="O27" s="22">
        <f>'ABA'!O27+'BK'!O27+'BW'!O27+'CED'!O27+'HAB'!O27+'HB'!O27+'OD'!O27+'HDN'!O27+'KIN'!O27+'LE'!O27+'MER'!O27+'NDN'!O27+'SALT'!O27+'SDN'!O27+'SST'!O27+'WH'!O27+'FH'!O27</f>
        <v/>
      </c>
      <c r="P27" s="22">
        <f>'ABA'!P27+'BK'!P27+'BW'!P27+'CED'!P27+'HAB'!P27+'HB'!P27+'OD'!P27+'HDN'!P27+'KIN'!P27+'LE'!P27+'MER'!P27+'NDN'!P27+'SALT'!P27+'SDN'!P27+'SST'!P27+'WH'!P27+'FH'!P27</f>
        <v/>
      </c>
      <c r="Q27" s="22">
        <f>'ABA'!Q27+'BK'!Q27+'BW'!Q27+'CED'!Q27+'HAB'!Q27+'HB'!Q27+'OD'!Q27+'HDN'!Q27+'KIN'!Q27+'LE'!Q27+'MER'!Q27+'NDN'!Q27+'SALT'!Q27+'SDN'!Q27+'SST'!Q27+'WH'!Q27+'FH'!Q27</f>
        <v/>
      </c>
      <c r="R27" s="22">
        <f>'ABA'!R27+'BK'!R27+'BW'!R27+'CED'!R27+'HAB'!R27+'HB'!R27+'OD'!R27+'HDN'!R27+'KIN'!R27+'LE'!R27+'MER'!R27+'NDN'!R27+'SALT'!R27+'SDN'!R27+'SST'!R27+'WH'!R27+'FH'!R27</f>
        <v/>
      </c>
      <c r="S27" s="22">
        <f>'ABA'!S27+'BK'!S27+'BW'!S27+'CED'!S27+'HAB'!S27+'HB'!S27+'OD'!S27+'HDN'!S27+'KIN'!S27+'LE'!S27+'MER'!S27+'NDN'!S27+'SALT'!S27+'SDN'!S27+'SST'!S27+'WH'!S27+'FH'!S27</f>
        <v/>
      </c>
      <c r="T27" s="22">
        <f>'ABA'!T27+'BK'!T27+'BW'!T27+'CED'!T27+'HAB'!T27+'HB'!T27+'OD'!T27+'HDN'!T27+'KIN'!T27+'LE'!T27+'MER'!T27+'NDN'!T27+'SALT'!T27+'SDN'!T27+'SST'!T27+'WH'!T27+'FH'!T27</f>
        <v/>
      </c>
      <c r="U27" s="22">
        <f>'ABA'!U27+'BK'!U27+'BW'!U27+'CED'!U27+'HAB'!U27+'HB'!U27+'OD'!U27+'HDN'!U27+'KIN'!U27+'LE'!U27+'MER'!U27+'NDN'!U27+'SALT'!U27+'SDN'!U27+'SST'!U27+'WH'!U27+'FH'!U27</f>
        <v/>
      </c>
      <c r="V27" s="22">
        <f>'ABA'!V27+'BK'!V27+'BW'!V27+'CED'!V27+'HAB'!V27+'HB'!V27+'OD'!V27+'HDN'!V27+'KIN'!V27+'LE'!V27+'MER'!V27+'NDN'!V27+'SALT'!V27+'SDN'!V27+'SST'!V27+'WH'!V27+'FH'!V27</f>
        <v/>
      </c>
      <c r="W27" s="22">
        <f>'ABA'!W27+'BK'!W27+'BW'!W27+'CED'!W27+'HAB'!W27+'HB'!W27+'OD'!W27+'HDN'!W27+'KIN'!W27+'LE'!W27+'MER'!W27+'NDN'!W27+'SALT'!W27+'SDN'!W27+'SST'!W27+'WH'!W27+'FH'!W27</f>
        <v/>
      </c>
      <c r="X27" s="22">
        <f>'ABA'!X27+'BK'!X27+'BW'!X27+'CED'!X27+'HAB'!X27+'HB'!X27+'OD'!X27+'HDN'!X27+'KIN'!X27+'LE'!X27+'MER'!X27+'NDN'!X27+'SALT'!X27+'SDN'!X27+'SST'!X27+'WH'!X27+'FH'!X27</f>
        <v/>
      </c>
      <c r="Y27" s="22">
        <f>'ABA'!Y27+'BK'!Y27+'BW'!Y27+'CED'!Y27+'HAB'!Y27+'HB'!Y27+'OD'!Y27+'HDN'!Y27+'KIN'!Y27+'LE'!Y27+'MER'!Y27+'NDN'!Y27+'SALT'!Y27+'SDN'!Y27+'SST'!Y27+'WH'!Y27+'FH'!Y27</f>
        <v/>
      </c>
      <c r="Z27" s="22">
        <f>'ABA'!Z27+'BK'!Z27+'BW'!Z27+'CED'!Z27+'HAB'!Z27+'HB'!Z27+'OD'!Z27+'HDN'!Z27+'KIN'!Z27+'LE'!Z27+'MER'!Z27+'NDN'!Z27+'SALT'!Z27+'SDN'!Z27+'SST'!Z27+'WH'!Z27+'FH'!Z27</f>
        <v/>
      </c>
      <c r="AA27" s="22">
        <f>'ABA'!AA27+'BK'!AA27+'BW'!AA27+'CED'!AA27+'HAB'!AA27+'HB'!AA27+'OD'!AA27+'HDN'!AA27+'KIN'!AA27+'LE'!AA27+'MER'!AA27+'NDN'!AA27+'SALT'!AA27+'SDN'!AA27+'SST'!AA27+'WH'!AA27+'FH'!AA27</f>
        <v/>
      </c>
      <c r="AB27" s="22">
        <f>'ABA'!AB27+'BK'!AB27+'BW'!AB27+'CED'!AB27+'HAB'!AB27+'HB'!AB27+'OD'!AB27+'HDN'!AB27+'KIN'!AB27+'LE'!AB27+'MER'!AB27+'NDN'!AB27+'SALT'!AB27+'SDN'!AB27+'SST'!AB27+'WH'!AB27+'FH'!AB27</f>
        <v/>
      </c>
      <c r="AC27" s="22">
        <f>'ABA'!AC27+'BK'!AC27+'BW'!AC27+'CED'!AC27+'HAB'!AC27+'HB'!AC27+'OD'!AC27+'HDN'!AC27+'KIN'!AC27+'LE'!AC27+'MER'!AC27+'NDN'!AC27+'SALT'!AC27+'SDN'!AC27+'SST'!AC27+'WH'!AC27+'FH'!AC27</f>
        <v/>
      </c>
      <c r="AD27" s="22">
        <f>'ABA'!AD27+'BK'!AD27+'BW'!AD27+'CED'!AD27+'HAB'!AD27+'HB'!AD27+'OD'!AD27+'HDN'!AD27+'KIN'!AD27+'LE'!AD27+'MER'!AD27+'NDN'!AD27+'SALT'!AD27+'SDN'!AD27+'SST'!AD27+'WH'!AD27+'FH'!AD27</f>
        <v/>
      </c>
      <c r="AE27" s="22">
        <f>'ABA'!AE27+'BK'!AE27+'BW'!AE27+'CED'!AE27+'HAB'!AE27+'HB'!AE27+'OD'!AE27+'HDN'!AE27+'KIN'!AE27+'LE'!AE27+'MER'!AE27+'NDN'!AE27+'SALT'!AE27+'SDN'!AE27+'SST'!AE27+'WH'!AE27+'FH'!AE27</f>
        <v/>
      </c>
      <c r="AF27" s="22">
        <f>'ABA'!AF27+'BK'!AF27+'BW'!AF27+'CED'!AF27+'HAB'!AF27+'HB'!AF27+'OD'!AF27+'HDN'!AF27+'KIN'!AF27+'LE'!AF27+'MER'!AF27+'NDN'!AF27+'SALT'!AF27+'SDN'!AF27+'SST'!AF27+'WH'!AF27+'FH'!AF27</f>
        <v/>
      </c>
      <c r="AG27" s="22">
        <f>'ABA'!AG27+'BK'!AG27+'BW'!AG27+'CED'!AG27+'HAB'!AG27+'HB'!AG27+'OD'!AG27+'HDN'!AG27+'KIN'!AG27+'LE'!AG27+'MER'!AG27+'NDN'!AG27+'SALT'!AG27+'SDN'!AG27+'SST'!AG27+'WH'!AG27+'FH'!AG27</f>
        <v/>
      </c>
      <c r="AH27" s="22">
        <f>'ABA'!AH27+'BK'!AH27+'BW'!AH27+'CED'!AH27+'HAB'!AH27+'HB'!AH27+'OD'!AH27+'HDN'!AH27+'KIN'!AH27+'LE'!AH27+'MER'!AH27+'NDN'!AH27+'SALT'!AH27+'SDN'!AH27+'SST'!AH27+'WH'!AH27+'FH'!AH27</f>
        <v/>
      </c>
      <c r="AI27" s="22">
        <f>'ABA'!AI27+'BK'!AI27+'BW'!AI27+'CED'!AI27+'HAB'!AI27+'HB'!AI27+'OD'!AI27+'HDN'!AI27+'KIN'!AI27+'LE'!AI27+'MER'!AI27+'NDN'!AI27+'SALT'!AI27+'SDN'!AI27+'SST'!AI27+'WH'!AI27+'FH'!AI27</f>
        <v/>
      </c>
      <c r="AJ27" s="22">
        <f>'ABA'!AJ27+'BK'!AJ27+'BW'!AJ27+'CED'!AJ27+'HAB'!AJ27+'HB'!AJ27+'OD'!AJ27+'HDN'!AJ27+'KIN'!AJ27+'LE'!AJ27+'MER'!AJ27+'NDN'!AJ27+'SALT'!AJ27+'SDN'!AJ27+'SST'!AJ27+'WH'!AJ27+'FH'!AJ27</f>
        <v/>
      </c>
      <c r="AK27" s="11">
        <f>IF(N27&lt;&gt;0,(AB27-N27)/ABS(N27),0)</f>
        <v/>
      </c>
      <c r="AL27" s="11">
        <f>IF(AB27&lt;&gt;0,(AJ27-AB27)/ABS(AB27),0)</f>
        <v/>
      </c>
    </row>
    <row r="28" ht="13" customHeight="1">
      <c r="A28" s="21" t="inlineStr">
        <is>
          <t xml:space="preserve">    Nursery Equipment</t>
        </is>
      </c>
      <c r="B28" s="22">
        <f>'ABA'!B28+'BK'!B28+'BW'!B28+'CED'!B28+'HAB'!B28+'HB'!B28+'OD'!B28+'HDN'!B28+'KIN'!B28+'LE'!B28+'MER'!B28+'NDN'!B28+'SALT'!B28+'SDN'!B28+'SST'!B28+'WH'!B28+'FH'!B28</f>
        <v/>
      </c>
      <c r="C28" s="22">
        <f>'ABA'!C28+'BK'!C28+'BW'!C28+'CED'!C28+'HAB'!C28+'HB'!C28+'OD'!C28+'HDN'!C28+'KIN'!C28+'LE'!C28+'MER'!C28+'NDN'!C28+'SALT'!C28+'SDN'!C28+'SST'!C28+'WH'!C28+'FH'!C28</f>
        <v/>
      </c>
      <c r="D28" s="22">
        <f>'ABA'!D28+'BK'!D28+'BW'!D28+'CED'!D28+'HAB'!D28+'HB'!D28+'OD'!D28+'HDN'!D28+'KIN'!D28+'LE'!D28+'MER'!D28+'NDN'!D28+'SALT'!D28+'SDN'!D28+'SST'!D28+'WH'!D28+'FH'!D28</f>
        <v/>
      </c>
      <c r="E28" s="22">
        <f>'ABA'!E28+'BK'!E28+'BW'!E28+'CED'!E28+'HAB'!E28+'HB'!E28+'OD'!E28+'HDN'!E28+'KIN'!E28+'LE'!E28+'MER'!E28+'NDN'!E28+'SALT'!E28+'SDN'!E28+'SST'!E28+'WH'!E28+'FH'!E28</f>
        <v/>
      </c>
      <c r="F28" s="22">
        <f>'ABA'!F28+'BK'!F28+'BW'!F28+'CED'!F28+'HAB'!F28+'HB'!F28+'OD'!F28+'HDN'!F28+'KIN'!F28+'LE'!F28+'MER'!F28+'NDN'!F28+'SALT'!F28+'SDN'!F28+'SST'!F28+'WH'!F28+'FH'!F28</f>
        <v/>
      </c>
      <c r="G28" s="22">
        <f>'ABA'!G28+'BK'!G28+'BW'!G28+'CED'!G28+'HAB'!G28+'HB'!G28+'OD'!G28+'HDN'!G28+'KIN'!G28+'LE'!G28+'MER'!G28+'NDN'!G28+'SALT'!G28+'SDN'!G28+'SST'!G28+'WH'!G28+'FH'!G28</f>
        <v/>
      </c>
      <c r="H28" s="22">
        <f>'ABA'!H28+'BK'!H28+'BW'!H28+'CED'!H28+'HAB'!H28+'HB'!H28+'OD'!H28+'HDN'!H28+'KIN'!H28+'LE'!H28+'MER'!H28+'NDN'!H28+'SALT'!H28+'SDN'!H28+'SST'!H28+'WH'!H28+'FH'!H28</f>
        <v/>
      </c>
      <c r="I28" s="22">
        <f>'ABA'!I28+'BK'!I28+'BW'!I28+'CED'!I28+'HAB'!I28+'HB'!I28+'OD'!I28+'HDN'!I28+'KIN'!I28+'LE'!I28+'MER'!I28+'NDN'!I28+'SALT'!I28+'SDN'!I28+'SST'!I28+'WH'!I28+'FH'!I28</f>
        <v/>
      </c>
      <c r="J28" s="22">
        <f>'ABA'!J28+'BK'!J28+'BW'!J28+'CED'!J28+'HAB'!J28+'HB'!J28+'OD'!J28+'HDN'!J28+'KIN'!J28+'LE'!J28+'MER'!J28+'NDN'!J28+'SALT'!J28+'SDN'!J28+'SST'!J28+'WH'!J28+'FH'!J28</f>
        <v/>
      </c>
      <c r="K28" s="22">
        <f>'ABA'!K28+'BK'!K28+'BW'!K28+'CED'!K28+'HAB'!K28+'HB'!K28+'OD'!K28+'HDN'!K28+'KIN'!K28+'LE'!K28+'MER'!K28+'NDN'!K28+'SALT'!K28+'SDN'!K28+'SST'!K28+'WH'!K28+'FH'!K28</f>
        <v/>
      </c>
      <c r="L28" s="22">
        <f>'ABA'!L28+'BK'!L28+'BW'!L28+'CED'!L28+'HAB'!L28+'HB'!L28+'OD'!L28+'HDN'!L28+'KIN'!L28+'LE'!L28+'MER'!L28+'NDN'!L28+'SALT'!L28+'SDN'!L28+'SST'!L28+'WH'!L28+'FH'!L28</f>
        <v/>
      </c>
      <c r="M28" s="22">
        <f>'ABA'!M28+'BK'!M28+'BW'!M28+'CED'!M28+'HAB'!M28+'HB'!M28+'OD'!M28+'HDN'!M28+'KIN'!M28+'LE'!M28+'MER'!M28+'NDN'!M28+'SALT'!M28+'SDN'!M28+'SST'!M28+'WH'!M28+'FH'!M28</f>
        <v/>
      </c>
      <c r="N28" s="22">
        <f>'ABA'!N28+'BK'!N28+'BW'!N28+'CED'!N28+'HAB'!N28+'HB'!N28+'OD'!N28+'HDN'!N28+'KIN'!N28+'LE'!N28+'MER'!N28+'NDN'!N28+'SALT'!N28+'SDN'!N28+'SST'!N28+'WH'!N28+'FH'!N28</f>
        <v/>
      </c>
      <c r="O28" s="22">
        <f>'ABA'!O28+'BK'!O28+'BW'!O28+'CED'!O28+'HAB'!O28+'HB'!O28+'OD'!O28+'HDN'!O28+'KIN'!O28+'LE'!O28+'MER'!O28+'NDN'!O28+'SALT'!O28+'SDN'!O28+'SST'!O28+'WH'!O28+'FH'!O28</f>
        <v/>
      </c>
      <c r="P28" s="22">
        <f>'ABA'!P28+'BK'!P28+'BW'!P28+'CED'!P28+'HAB'!P28+'HB'!P28+'OD'!P28+'HDN'!P28+'KIN'!P28+'LE'!P28+'MER'!P28+'NDN'!P28+'SALT'!P28+'SDN'!P28+'SST'!P28+'WH'!P28+'FH'!P28</f>
        <v/>
      </c>
      <c r="Q28" s="22">
        <f>'ABA'!Q28+'BK'!Q28+'BW'!Q28+'CED'!Q28+'HAB'!Q28+'HB'!Q28+'OD'!Q28+'HDN'!Q28+'KIN'!Q28+'LE'!Q28+'MER'!Q28+'NDN'!Q28+'SALT'!Q28+'SDN'!Q28+'SST'!Q28+'WH'!Q28+'FH'!Q28</f>
        <v/>
      </c>
      <c r="R28" s="22">
        <f>'ABA'!R28+'BK'!R28+'BW'!R28+'CED'!R28+'HAB'!R28+'HB'!R28+'OD'!R28+'HDN'!R28+'KIN'!R28+'LE'!R28+'MER'!R28+'NDN'!R28+'SALT'!R28+'SDN'!R28+'SST'!R28+'WH'!R28+'FH'!R28</f>
        <v/>
      </c>
      <c r="S28" s="22">
        <f>'ABA'!S28+'BK'!S28+'BW'!S28+'CED'!S28+'HAB'!S28+'HB'!S28+'OD'!S28+'HDN'!S28+'KIN'!S28+'LE'!S28+'MER'!S28+'NDN'!S28+'SALT'!S28+'SDN'!S28+'SST'!S28+'WH'!S28+'FH'!S28</f>
        <v/>
      </c>
      <c r="T28" s="22">
        <f>'ABA'!T28+'BK'!T28+'BW'!T28+'CED'!T28+'HAB'!T28+'HB'!T28+'OD'!T28+'HDN'!T28+'KIN'!T28+'LE'!T28+'MER'!T28+'NDN'!T28+'SALT'!T28+'SDN'!T28+'SST'!T28+'WH'!T28+'FH'!T28</f>
        <v/>
      </c>
      <c r="U28" s="22">
        <f>'ABA'!U28+'BK'!U28+'BW'!U28+'CED'!U28+'HAB'!U28+'HB'!U28+'OD'!U28+'HDN'!U28+'KIN'!U28+'LE'!U28+'MER'!U28+'NDN'!U28+'SALT'!U28+'SDN'!U28+'SST'!U28+'WH'!U28+'FH'!U28</f>
        <v/>
      </c>
      <c r="V28" s="22">
        <f>'ABA'!V28+'BK'!V28+'BW'!V28+'CED'!V28+'HAB'!V28+'HB'!V28+'OD'!V28+'HDN'!V28+'KIN'!V28+'LE'!V28+'MER'!V28+'NDN'!V28+'SALT'!V28+'SDN'!V28+'SST'!V28+'WH'!V28+'FH'!V28</f>
        <v/>
      </c>
      <c r="W28" s="22">
        <f>'ABA'!W28+'BK'!W28+'BW'!W28+'CED'!W28+'HAB'!W28+'HB'!W28+'OD'!W28+'HDN'!W28+'KIN'!W28+'LE'!W28+'MER'!W28+'NDN'!W28+'SALT'!W28+'SDN'!W28+'SST'!W28+'WH'!W28+'FH'!W28</f>
        <v/>
      </c>
      <c r="X28" s="22">
        <f>'ABA'!X28+'BK'!X28+'BW'!X28+'CED'!X28+'HAB'!X28+'HB'!X28+'OD'!X28+'HDN'!X28+'KIN'!X28+'LE'!X28+'MER'!X28+'NDN'!X28+'SALT'!X28+'SDN'!X28+'SST'!X28+'WH'!X28+'FH'!X28</f>
        <v/>
      </c>
      <c r="Y28" s="22">
        <f>'ABA'!Y28+'BK'!Y28+'BW'!Y28+'CED'!Y28+'HAB'!Y28+'HB'!Y28+'OD'!Y28+'HDN'!Y28+'KIN'!Y28+'LE'!Y28+'MER'!Y28+'NDN'!Y28+'SALT'!Y28+'SDN'!Y28+'SST'!Y28+'WH'!Y28+'FH'!Y28</f>
        <v/>
      </c>
      <c r="Z28" s="22">
        <f>'ABA'!Z28+'BK'!Z28+'BW'!Z28+'CED'!Z28+'HAB'!Z28+'HB'!Z28+'OD'!Z28+'HDN'!Z28+'KIN'!Z28+'LE'!Z28+'MER'!Z28+'NDN'!Z28+'SALT'!Z28+'SDN'!Z28+'SST'!Z28+'WH'!Z28+'FH'!Z28</f>
        <v/>
      </c>
      <c r="AA28" s="22">
        <f>'ABA'!AA28+'BK'!AA28+'BW'!AA28+'CED'!AA28+'HAB'!AA28+'HB'!AA28+'OD'!AA28+'HDN'!AA28+'KIN'!AA28+'LE'!AA28+'MER'!AA28+'NDN'!AA28+'SALT'!AA28+'SDN'!AA28+'SST'!AA28+'WH'!AA28+'FH'!AA28</f>
        <v/>
      </c>
      <c r="AB28" s="22">
        <f>'ABA'!AB28+'BK'!AB28+'BW'!AB28+'CED'!AB28+'HAB'!AB28+'HB'!AB28+'OD'!AB28+'HDN'!AB28+'KIN'!AB28+'LE'!AB28+'MER'!AB28+'NDN'!AB28+'SALT'!AB28+'SDN'!AB28+'SST'!AB28+'WH'!AB28+'FH'!AB28</f>
        <v/>
      </c>
      <c r="AC28" s="22">
        <f>'ABA'!AC28+'BK'!AC28+'BW'!AC28+'CED'!AC28+'HAB'!AC28+'HB'!AC28+'OD'!AC28+'HDN'!AC28+'KIN'!AC28+'LE'!AC28+'MER'!AC28+'NDN'!AC28+'SALT'!AC28+'SDN'!AC28+'SST'!AC28+'WH'!AC28+'FH'!AC28</f>
        <v/>
      </c>
      <c r="AD28" s="22">
        <f>'ABA'!AD28+'BK'!AD28+'BW'!AD28+'CED'!AD28+'HAB'!AD28+'HB'!AD28+'OD'!AD28+'HDN'!AD28+'KIN'!AD28+'LE'!AD28+'MER'!AD28+'NDN'!AD28+'SALT'!AD28+'SDN'!AD28+'SST'!AD28+'WH'!AD28+'FH'!AD28</f>
        <v/>
      </c>
      <c r="AE28" s="22">
        <f>'ABA'!AE28+'BK'!AE28+'BW'!AE28+'CED'!AE28+'HAB'!AE28+'HB'!AE28+'OD'!AE28+'HDN'!AE28+'KIN'!AE28+'LE'!AE28+'MER'!AE28+'NDN'!AE28+'SALT'!AE28+'SDN'!AE28+'SST'!AE28+'WH'!AE28+'FH'!AE28</f>
        <v/>
      </c>
      <c r="AF28" s="22">
        <f>'ABA'!AF28+'BK'!AF28+'BW'!AF28+'CED'!AF28+'HAB'!AF28+'HB'!AF28+'OD'!AF28+'HDN'!AF28+'KIN'!AF28+'LE'!AF28+'MER'!AF28+'NDN'!AF28+'SALT'!AF28+'SDN'!AF28+'SST'!AF28+'WH'!AF28+'FH'!AF28</f>
        <v/>
      </c>
      <c r="AG28" s="22">
        <f>'ABA'!AG28+'BK'!AG28+'BW'!AG28+'CED'!AG28+'HAB'!AG28+'HB'!AG28+'OD'!AG28+'HDN'!AG28+'KIN'!AG28+'LE'!AG28+'MER'!AG28+'NDN'!AG28+'SALT'!AG28+'SDN'!AG28+'SST'!AG28+'WH'!AG28+'FH'!AG28</f>
        <v/>
      </c>
      <c r="AH28" s="22">
        <f>'ABA'!AH28+'BK'!AH28+'BW'!AH28+'CED'!AH28+'HAB'!AH28+'HB'!AH28+'OD'!AH28+'HDN'!AH28+'KIN'!AH28+'LE'!AH28+'MER'!AH28+'NDN'!AH28+'SALT'!AH28+'SDN'!AH28+'SST'!AH28+'WH'!AH28+'FH'!AH28</f>
        <v/>
      </c>
      <c r="AI28" s="22">
        <f>'ABA'!AI28+'BK'!AI28+'BW'!AI28+'CED'!AI28+'HAB'!AI28+'HB'!AI28+'OD'!AI28+'HDN'!AI28+'KIN'!AI28+'LE'!AI28+'MER'!AI28+'NDN'!AI28+'SALT'!AI28+'SDN'!AI28+'SST'!AI28+'WH'!AI28+'FH'!AI28</f>
        <v/>
      </c>
      <c r="AJ28" s="22">
        <f>'ABA'!AJ28+'BK'!AJ28+'BW'!AJ28+'CED'!AJ28+'HAB'!AJ28+'HB'!AJ28+'OD'!AJ28+'HDN'!AJ28+'KIN'!AJ28+'LE'!AJ28+'MER'!AJ28+'NDN'!AJ28+'SALT'!AJ28+'SDN'!AJ28+'SST'!AJ28+'WH'!AJ28+'FH'!AJ28</f>
        <v/>
      </c>
      <c r="AK28" s="11">
        <f>IF(N28&lt;&gt;0,(AB28-N28)/ABS(N28),0)</f>
        <v/>
      </c>
      <c r="AL28" s="11">
        <f>IF(AB28&lt;&gt;0,(AJ28-AB28)/ABS(AB28),0)</f>
        <v/>
      </c>
    </row>
    <row r="29" ht="13" customHeight="1">
      <c r="A29" s="21" t="inlineStr">
        <is>
          <t xml:space="preserve">    Nursery Consumables</t>
        </is>
      </c>
      <c r="B29" s="22">
        <f>'ABA'!B29+'BK'!B29+'BW'!B29+'CED'!B29+'HAB'!B29+'HB'!B29+'OD'!B29+'HDN'!B29+'KIN'!B29+'LE'!B29+'MER'!B29+'NDN'!B29+'SALT'!B29+'SDN'!B29+'SST'!B29+'WH'!B29+'FH'!B29</f>
        <v/>
      </c>
      <c r="C29" s="22">
        <f>'ABA'!C29+'BK'!C29+'BW'!C29+'CED'!C29+'HAB'!C29+'HB'!C29+'OD'!C29+'HDN'!C29+'KIN'!C29+'LE'!C29+'MER'!C29+'NDN'!C29+'SALT'!C29+'SDN'!C29+'SST'!C29+'WH'!C29+'FH'!C29</f>
        <v/>
      </c>
      <c r="D29" s="22">
        <f>'ABA'!D29+'BK'!D29+'BW'!D29+'CED'!D29+'HAB'!D29+'HB'!D29+'OD'!D29+'HDN'!D29+'KIN'!D29+'LE'!D29+'MER'!D29+'NDN'!D29+'SALT'!D29+'SDN'!D29+'SST'!D29+'WH'!D29+'FH'!D29</f>
        <v/>
      </c>
      <c r="E29" s="22">
        <f>'ABA'!E29+'BK'!E29+'BW'!E29+'CED'!E29+'HAB'!E29+'HB'!E29+'OD'!E29+'HDN'!E29+'KIN'!E29+'LE'!E29+'MER'!E29+'NDN'!E29+'SALT'!E29+'SDN'!E29+'SST'!E29+'WH'!E29+'FH'!E29</f>
        <v/>
      </c>
      <c r="F29" s="22">
        <f>'ABA'!F29+'BK'!F29+'BW'!F29+'CED'!F29+'HAB'!F29+'HB'!F29+'OD'!F29+'HDN'!F29+'KIN'!F29+'LE'!F29+'MER'!F29+'NDN'!F29+'SALT'!F29+'SDN'!F29+'SST'!F29+'WH'!F29+'FH'!F29</f>
        <v/>
      </c>
      <c r="G29" s="22">
        <f>'ABA'!G29+'BK'!G29+'BW'!G29+'CED'!G29+'HAB'!G29+'HB'!G29+'OD'!G29+'HDN'!G29+'KIN'!G29+'LE'!G29+'MER'!G29+'NDN'!G29+'SALT'!G29+'SDN'!G29+'SST'!G29+'WH'!G29+'FH'!G29</f>
        <v/>
      </c>
      <c r="H29" s="22">
        <f>'ABA'!H29+'BK'!H29+'BW'!H29+'CED'!H29+'HAB'!H29+'HB'!H29+'OD'!H29+'HDN'!H29+'KIN'!H29+'LE'!H29+'MER'!H29+'NDN'!H29+'SALT'!H29+'SDN'!H29+'SST'!H29+'WH'!H29+'FH'!H29</f>
        <v/>
      </c>
      <c r="I29" s="22">
        <f>'ABA'!I29+'BK'!I29+'BW'!I29+'CED'!I29+'HAB'!I29+'HB'!I29+'OD'!I29+'HDN'!I29+'KIN'!I29+'LE'!I29+'MER'!I29+'NDN'!I29+'SALT'!I29+'SDN'!I29+'SST'!I29+'WH'!I29+'FH'!I29</f>
        <v/>
      </c>
      <c r="J29" s="22">
        <f>'ABA'!J29+'BK'!J29+'BW'!J29+'CED'!J29+'HAB'!J29+'HB'!J29+'OD'!J29+'HDN'!J29+'KIN'!J29+'LE'!J29+'MER'!J29+'NDN'!J29+'SALT'!J29+'SDN'!J29+'SST'!J29+'WH'!J29+'FH'!J29</f>
        <v/>
      </c>
      <c r="K29" s="22">
        <f>'ABA'!K29+'BK'!K29+'BW'!K29+'CED'!K29+'HAB'!K29+'HB'!K29+'OD'!K29+'HDN'!K29+'KIN'!K29+'LE'!K29+'MER'!K29+'NDN'!K29+'SALT'!K29+'SDN'!K29+'SST'!K29+'WH'!K29+'FH'!K29</f>
        <v/>
      </c>
      <c r="L29" s="22">
        <f>'ABA'!L29+'BK'!L29+'BW'!L29+'CED'!L29+'HAB'!L29+'HB'!L29+'OD'!L29+'HDN'!L29+'KIN'!L29+'LE'!L29+'MER'!L29+'NDN'!L29+'SALT'!L29+'SDN'!L29+'SST'!L29+'WH'!L29+'FH'!L29</f>
        <v/>
      </c>
      <c r="M29" s="22">
        <f>'ABA'!M29+'BK'!M29+'BW'!M29+'CED'!M29+'HAB'!M29+'HB'!M29+'OD'!M29+'HDN'!M29+'KIN'!M29+'LE'!M29+'MER'!M29+'NDN'!M29+'SALT'!M29+'SDN'!M29+'SST'!M29+'WH'!M29+'FH'!M29</f>
        <v/>
      </c>
      <c r="N29" s="22">
        <f>'ABA'!N29+'BK'!N29+'BW'!N29+'CED'!N29+'HAB'!N29+'HB'!N29+'OD'!N29+'HDN'!N29+'KIN'!N29+'LE'!N29+'MER'!N29+'NDN'!N29+'SALT'!N29+'SDN'!N29+'SST'!N29+'WH'!N29+'FH'!N29</f>
        <v/>
      </c>
      <c r="O29" s="22">
        <f>'ABA'!O29+'BK'!O29+'BW'!O29+'CED'!O29+'HAB'!O29+'HB'!O29+'OD'!O29+'HDN'!O29+'KIN'!O29+'LE'!O29+'MER'!O29+'NDN'!O29+'SALT'!O29+'SDN'!O29+'SST'!O29+'WH'!O29+'FH'!O29</f>
        <v/>
      </c>
      <c r="P29" s="22">
        <f>'ABA'!P29+'BK'!P29+'BW'!P29+'CED'!P29+'HAB'!P29+'HB'!P29+'OD'!P29+'HDN'!P29+'KIN'!P29+'LE'!P29+'MER'!P29+'NDN'!P29+'SALT'!P29+'SDN'!P29+'SST'!P29+'WH'!P29+'FH'!P29</f>
        <v/>
      </c>
      <c r="Q29" s="22">
        <f>'ABA'!Q29+'BK'!Q29+'BW'!Q29+'CED'!Q29+'HAB'!Q29+'HB'!Q29+'OD'!Q29+'HDN'!Q29+'KIN'!Q29+'LE'!Q29+'MER'!Q29+'NDN'!Q29+'SALT'!Q29+'SDN'!Q29+'SST'!Q29+'WH'!Q29+'FH'!Q29</f>
        <v/>
      </c>
      <c r="R29" s="22">
        <f>'ABA'!R29+'BK'!R29+'BW'!R29+'CED'!R29+'HAB'!R29+'HB'!R29+'OD'!R29+'HDN'!R29+'KIN'!R29+'LE'!R29+'MER'!R29+'NDN'!R29+'SALT'!R29+'SDN'!R29+'SST'!R29+'WH'!R29+'FH'!R29</f>
        <v/>
      </c>
      <c r="S29" s="22">
        <f>'ABA'!S29+'BK'!S29+'BW'!S29+'CED'!S29+'HAB'!S29+'HB'!S29+'OD'!S29+'HDN'!S29+'KIN'!S29+'LE'!S29+'MER'!S29+'NDN'!S29+'SALT'!S29+'SDN'!S29+'SST'!S29+'WH'!S29+'FH'!S29</f>
        <v/>
      </c>
      <c r="T29" s="22">
        <f>'ABA'!T29+'BK'!T29+'BW'!T29+'CED'!T29+'HAB'!T29+'HB'!T29+'OD'!T29+'HDN'!T29+'KIN'!T29+'LE'!T29+'MER'!T29+'NDN'!T29+'SALT'!T29+'SDN'!T29+'SST'!T29+'WH'!T29+'FH'!T29</f>
        <v/>
      </c>
      <c r="U29" s="22">
        <f>'ABA'!U29+'BK'!U29+'BW'!U29+'CED'!U29+'HAB'!U29+'HB'!U29+'OD'!U29+'HDN'!U29+'KIN'!U29+'LE'!U29+'MER'!U29+'NDN'!U29+'SALT'!U29+'SDN'!U29+'SST'!U29+'WH'!U29+'FH'!U29</f>
        <v/>
      </c>
      <c r="V29" s="22">
        <f>'ABA'!V29+'BK'!V29+'BW'!V29+'CED'!V29+'HAB'!V29+'HB'!V29+'OD'!V29+'HDN'!V29+'KIN'!V29+'LE'!V29+'MER'!V29+'NDN'!V29+'SALT'!V29+'SDN'!V29+'SST'!V29+'WH'!V29+'FH'!V29</f>
        <v/>
      </c>
      <c r="W29" s="22">
        <f>'ABA'!W29+'BK'!W29+'BW'!W29+'CED'!W29+'HAB'!W29+'HB'!W29+'OD'!W29+'HDN'!W29+'KIN'!W29+'LE'!W29+'MER'!W29+'NDN'!W29+'SALT'!W29+'SDN'!W29+'SST'!W29+'WH'!W29+'FH'!W29</f>
        <v/>
      </c>
      <c r="X29" s="22">
        <f>'ABA'!X29+'BK'!X29+'BW'!X29+'CED'!X29+'HAB'!X29+'HB'!X29+'OD'!X29+'HDN'!X29+'KIN'!X29+'LE'!X29+'MER'!X29+'NDN'!X29+'SALT'!X29+'SDN'!X29+'SST'!X29+'WH'!X29+'FH'!X29</f>
        <v/>
      </c>
      <c r="Y29" s="22">
        <f>'ABA'!Y29+'BK'!Y29+'BW'!Y29+'CED'!Y29+'HAB'!Y29+'HB'!Y29+'OD'!Y29+'HDN'!Y29+'KIN'!Y29+'LE'!Y29+'MER'!Y29+'NDN'!Y29+'SALT'!Y29+'SDN'!Y29+'SST'!Y29+'WH'!Y29+'FH'!Y29</f>
        <v/>
      </c>
      <c r="Z29" s="22">
        <f>'ABA'!Z29+'BK'!Z29+'BW'!Z29+'CED'!Z29+'HAB'!Z29+'HB'!Z29+'OD'!Z29+'HDN'!Z29+'KIN'!Z29+'LE'!Z29+'MER'!Z29+'NDN'!Z29+'SALT'!Z29+'SDN'!Z29+'SST'!Z29+'WH'!Z29+'FH'!Z29</f>
        <v/>
      </c>
      <c r="AA29" s="22">
        <f>'ABA'!AA29+'BK'!AA29+'BW'!AA29+'CED'!AA29+'HAB'!AA29+'HB'!AA29+'OD'!AA29+'HDN'!AA29+'KIN'!AA29+'LE'!AA29+'MER'!AA29+'NDN'!AA29+'SALT'!AA29+'SDN'!AA29+'SST'!AA29+'WH'!AA29+'FH'!AA29</f>
        <v/>
      </c>
      <c r="AB29" s="22">
        <f>'ABA'!AB29+'BK'!AB29+'BW'!AB29+'CED'!AB29+'HAB'!AB29+'HB'!AB29+'OD'!AB29+'HDN'!AB29+'KIN'!AB29+'LE'!AB29+'MER'!AB29+'NDN'!AB29+'SALT'!AB29+'SDN'!AB29+'SST'!AB29+'WH'!AB29+'FH'!AB29</f>
        <v/>
      </c>
      <c r="AC29" s="22">
        <f>'ABA'!AC29+'BK'!AC29+'BW'!AC29+'CED'!AC29+'HAB'!AC29+'HB'!AC29+'OD'!AC29+'HDN'!AC29+'KIN'!AC29+'LE'!AC29+'MER'!AC29+'NDN'!AC29+'SALT'!AC29+'SDN'!AC29+'SST'!AC29+'WH'!AC29+'FH'!AC29</f>
        <v/>
      </c>
      <c r="AD29" s="22">
        <f>'ABA'!AD29+'BK'!AD29+'BW'!AD29+'CED'!AD29+'HAB'!AD29+'HB'!AD29+'OD'!AD29+'HDN'!AD29+'KIN'!AD29+'LE'!AD29+'MER'!AD29+'NDN'!AD29+'SALT'!AD29+'SDN'!AD29+'SST'!AD29+'WH'!AD29+'FH'!AD29</f>
        <v/>
      </c>
      <c r="AE29" s="22">
        <f>'ABA'!AE29+'BK'!AE29+'BW'!AE29+'CED'!AE29+'HAB'!AE29+'HB'!AE29+'OD'!AE29+'HDN'!AE29+'KIN'!AE29+'LE'!AE29+'MER'!AE29+'NDN'!AE29+'SALT'!AE29+'SDN'!AE29+'SST'!AE29+'WH'!AE29+'FH'!AE29</f>
        <v/>
      </c>
      <c r="AF29" s="22">
        <f>'ABA'!AF29+'BK'!AF29+'BW'!AF29+'CED'!AF29+'HAB'!AF29+'HB'!AF29+'OD'!AF29+'HDN'!AF29+'KIN'!AF29+'LE'!AF29+'MER'!AF29+'NDN'!AF29+'SALT'!AF29+'SDN'!AF29+'SST'!AF29+'WH'!AF29+'FH'!AF29</f>
        <v/>
      </c>
      <c r="AG29" s="22">
        <f>'ABA'!AG29+'BK'!AG29+'BW'!AG29+'CED'!AG29+'HAB'!AG29+'HB'!AG29+'OD'!AG29+'HDN'!AG29+'KIN'!AG29+'LE'!AG29+'MER'!AG29+'NDN'!AG29+'SALT'!AG29+'SDN'!AG29+'SST'!AG29+'WH'!AG29+'FH'!AG29</f>
        <v/>
      </c>
      <c r="AH29" s="22">
        <f>'ABA'!AH29+'BK'!AH29+'BW'!AH29+'CED'!AH29+'HAB'!AH29+'HB'!AH29+'OD'!AH29+'HDN'!AH29+'KIN'!AH29+'LE'!AH29+'MER'!AH29+'NDN'!AH29+'SALT'!AH29+'SDN'!AH29+'SST'!AH29+'WH'!AH29+'FH'!AH29</f>
        <v/>
      </c>
      <c r="AI29" s="22">
        <f>'ABA'!AI29+'BK'!AI29+'BW'!AI29+'CED'!AI29+'HAB'!AI29+'HB'!AI29+'OD'!AI29+'HDN'!AI29+'KIN'!AI29+'LE'!AI29+'MER'!AI29+'NDN'!AI29+'SALT'!AI29+'SDN'!AI29+'SST'!AI29+'WH'!AI29+'FH'!AI29</f>
        <v/>
      </c>
      <c r="AJ29" s="22">
        <f>'ABA'!AJ29+'BK'!AJ29+'BW'!AJ29+'CED'!AJ29+'HAB'!AJ29+'HB'!AJ29+'OD'!AJ29+'HDN'!AJ29+'KIN'!AJ29+'LE'!AJ29+'MER'!AJ29+'NDN'!AJ29+'SALT'!AJ29+'SDN'!AJ29+'SST'!AJ29+'WH'!AJ29+'FH'!AJ29</f>
        <v/>
      </c>
      <c r="AK29" s="11">
        <f>IF(N29&lt;&gt;0,(AB29-N29)/ABS(N29),0)</f>
        <v/>
      </c>
      <c r="AL29" s="11">
        <f>IF(AB29&lt;&gt;0,(AJ29-AB29)/ABS(AB29),0)</f>
        <v/>
      </c>
    </row>
    <row r="30" ht="13" customHeight="1">
      <c r="A30" s="23" t="inlineStr">
        <is>
          <t>Total Childcare Costs</t>
        </is>
      </c>
      <c r="B30" s="24">
        <f>'ABA'!B30+'BK'!B30+'BW'!B30+'CED'!B30+'HAB'!B30+'HB'!B30+'OD'!B30+'HDN'!B30+'KIN'!B30+'LE'!B30+'MER'!B30+'NDN'!B30+'SALT'!B30+'SDN'!B30+'SST'!B30+'WH'!B30+'FH'!B30</f>
        <v/>
      </c>
      <c r="C30" s="24">
        <f>'ABA'!C30+'BK'!C30+'BW'!C30+'CED'!C30+'HAB'!C30+'HB'!C30+'OD'!C30+'HDN'!C30+'KIN'!C30+'LE'!C30+'MER'!C30+'NDN'!C30+'SALT'!C30+'SDN'!C30+'SST'!C30+'WH'!C30+'FH'!C30</f>
        <v/>
      </c>
      <c r="D30" s="24">
        <f>'ABA'!D30+'BK'!D30+'BW'!D30+'CED'!D30+'HAB'!D30+'HB'!D30+'OD'!D30+'HDN'!D30+'KIN'!D30+'LE'!D30+'MER'!D30+'NDN'!D30+'SALT'!D30+'SDN'!D30+'SST'!D30+'WH'!D30+'FH'!D30</f>
        <v/>
      </c>
      <c r="E30" s="24">
        <f>'ABA'!E30+'BK'!E30+'BW'!E30+'CED'!E30+'HAB'!E30+'HB'!E30+'OD'!E30+'HDN'!E30+'KIN'!E30+'LE'!E30+'MER'!E30+'NDN'!E30+'SALT'!E30+'SDN'!E30+'SST'!E30+'WH'!E30+'FH'!E30</f>
        <v/>
      </c>
      <c r="F30" s="24">
        <f>'ABA'!F30+'BK'!F30+'BW'!F30+'CED'!F30+'HAB'!F30+'HB'!F30+'OD'!F30+'HDN'!F30+'KIN'!F30+'LE'!F30+'MER'!F30+'NDN'!F30+'SALT'!F30+'SDN'!F30+'SST'!F30+'WH'!F30+'FH'!F30</f>
        <v/>
      </c>
      <c r="G30" s="24">
        <f>'ABA'!G30+'BK'!G30+'BW'!G30+'CED'!G30+'HAB'!G30+'HB'!G30+'OD'!G30+'HDN'!G30+'KIN'!G30+'LE'!G30+'MER'!G30+'NDN'!G30+'SALT'!G30+'SDN'!G30+'SST'!G30+'WH'!G30+'FH'!G30</f>
        <v/>
      </c>
      <c r="H30" s="24">
        <f>'ABA'!H30+'BK'!H30+'BW'!H30+'CED'!H30+'HAB'!H30+'HB'!H30+'OD'!H30+'HDN'!H30+'KIN'!H30+'LE'!H30+'MER'!H30+'NDN'!H30+'SALT'!H30+'SDN'!H30+'SST'!H30+'WH'!H30+'FH'!H30</f>
        <v/>
      </c>
      <c r="I30" s="24">
        <f>'ABA'!I30+'BK'!I30+'BW'!I30+'CED'!I30+'HAB'!I30+'HB'!I30+'OD'!I30+'HDN'!I30+'KIN'!I30+'LE'!I30+'MER'!I30+'NDN'!I30+'SALT'!I30+'SDN'!I30+'SST'!I30+'WH'!I30+'FH'!I30</f>
        <v/>
      </c>
      <c r="J30" s="24">
        <f>'ABA'!J30+'BK'!J30+'BW'!J30+'CED'!J30+'HAB'!J30+'HB'!J30+'OD'!J30+'HDN'!J30+'KIN'!J30+'LE'!J30+'MER'!J30+'NDN'!J30+'SALT'!J30+'SDN'!J30+'SST'!J30+'WH'!J30+'FH'!J30</f>
        <v/>
      </c>
      <c r="K30" s="24">
        <f>'ABA'!K30+'BK'!K30+'BW'!K30+'CED'!K30+'HAB'!K30+'HB'!K30+'OD'!K30+'HDN'!K30+'KIN'!K30+'LE'!K30+'MER'!K30+'NDN'!K30+'SALT'!K30+'SDN'!K30+'SST'!K30+'WH'!K30+'FH'!K30</f>
        <v/>
      </c>
      <c r="L30" s="24">
        <f>'ABA'!L30+'BK'!L30+'BW'!L30+'CED'!L30+'HAB'!L30+'HB'!L30+'OD'!L30+'HDN'!L30+'KIN'!L30+'LE'!L30+'MER'!L30+'NDN'!L30+'SALT'!L30+'SDN'!L30+'SST'!L30+'WH'!L30+'FH'!L30</f>
        <v/>
      </c>
      <c r="M30" s="24">
        <f>'ABA'!M30+'BK'!M30+'BW'!M30+'CED'!M30+'HAB'!M30+'HB'!M30+'OD'!M30+'HDN'!M30+'KIN'!M30+'LE'!M30+'MER'!M30+'NDN'!M30+'SALT'!M30+'SDN'!M30+'SST'!M30+'WH'!M30+'FH'!M30</f>
        <v/>
      </c>
      <c r="N30" s="24">
        <f>'ABA'!N30+'BK'!N30+'BW'!N30+'CED'!N30+'HAB'!N30+'HB'!N30+'OD'!N30+'HDN'!N30+'KIN'!N30+'LE'!N30+'MER'!N30+'NDN'!N30+'SALT'!N30+'SDN'!N30+'SST'!N30+'WH'!N30+'FH'!N30</f>
        <v/>
      </c>
      <c r="O30" s="24">
        <f>'ABA'!O30+'BK'!O30+'BW'!O30+'CED'!O30+'HAB'!O30+'HB'!O30+'OD'!O30+'HDN'!O30+'KIN'!O30+'LE'!O30+'MER'!O30+'NDN'!O30+'SALT'!O30+'SDN'!O30+'SST'!O30+'WH'!O30+'FH'!O30</f>
        <v/>
      </c>
      <c r="P30" s="24">
        <f>'ABA'!P30+'BK'!P30+'BW'!P30+'CED'!P30+'HAB'!P30+'HB'!P30+'OD'!P30+'HDN'!P30+'KIN'!P30+'LE'!P30+'MER'!P30+'NDN'!P30+'SALT'!P30+'SDN'!P30+'SST'!P30+'WH'!P30+'FH'!P30</f>
        <v/>
      </c>
      <c r="Q30" s="24">
        <f>'ABA'!Q30+'BK'!Q30+'BW'!Q30+'CED'!Q30+'HAB'!Q30+'HB'!Q30+'OD'!Q30+'HDN'!Q30+'KIN'!Q30+'LE'!Q30+'MER'!Q30+'NDN'!Q30+'SALT'!Q30+'SDN'!Q30+'SST'!Q30+'WH'!Q30+'FH'!Q30</f>
        <v/>
      </c>
      <c r="R30" s="24">
        <f>'ABA'!R30+'BK'!R30+'BW'!R30+'CED'!R30+'HAB'!R30+'HB'!R30+'OD'!R30+'HDN'!R30+'KIN'!R30+'LE'!R30+'MER'!R30+'NDN'!R30+'SALT'!R30+'SDN'!R30+'SST'!R30+'WH'!R30+'FH'!R30</f>
        <v/>
      </c>
      <c r="S30" s="24">
        <f>'ABA'!S30+'BK'!S30+'BW'!S30+'CED'!S30+'HAB'!S30+'HB'!S30+'OD'!S30+'HDN'!S30+'KIN'!S30+'LE'!S30+'MER'!S30+'NDN'!S30+'SALT'!S30+'SDN'!S30+'SST'!S30+'WH'!S30+'FH'!S30</f>
        <v/>
      </c>
      <c r="T30" s="24">
        <f>'ABA'!T30+'BK'!T30+'BW'!T30+'CED'!T30+'HAB'!T30+'HB'!T30+'OD'!T30+'HDN'!T30+'KIN'!T30+'LE'!T30+'MER'!T30+'NDN'!T30+'SALT'!T30+'SDN'!T30+'SST'!T30+'WH'!T30+'FH'!T30</f>
        <v/>
      </c>
      <c r="U30" s="24">
        <f>'ABA'!U30+'BK'!U30+'BW'!U30+'CED'!U30+'HAB'!U30+'HB'!U30+'OD'!U30+'HDN'!U30+'KIN'!U30+'LE'!U30+'MER'!U30+'NDN'!U30+'SALT'!U30+'SDN'!U30+'SST'!U30+'WH'!U30+'FH'!U30</f>
        <v/>
      </c>
      <c r="V30" s="24">
        <f>'ABA'!V30+'BK'!V30+'BW'!V30+'CED'!V30+'HAB'!V30+'HB'!V30+'OD'!V30+'HDN'!V30+'KIN'!V30+'LE'!V30+'MER'!V30+'NDN'!V30+'SALT'!V30+'SDN'!V30+'SST'!V30+'WH'!V30+'FH'!V30</f>
        <v/>
      </c>
      <c r="W30" s="24">
        <f>'ABA'!W30+'BK'!W30+'BW'!W30+'CED'!W30+'HAB'!W30+'HB'!W30+'OD'!W30+'HDN'!W30+'KIN'!W30+'LE'!W30+'MER'!W30+'NDN'!W30+'SALT'!W30+'SDN'!W30+'SST'!W30+'WH'!W30+'FH'!W30</f>
        <v/>
      </c>
      <c r="X30" s="24">
        <f>'ABA'!X30+'BK'!X30+'BW'!X30+'CED'!X30+'HAB'!X30+'HB'!X30+'OD'!X30+'HDN'!X30+'KIN'!X30+'LE'!X30+'MER'!X30+'NDN'!X30+'SALT'!X30+'SDN'!X30+'SST'!X30+'WH'!X30+'FH'!X30</f>
        <v/>
      </c>
      <c r="Y30" s="24">
        <f>'ABA'!Y30+'BK'!Y30+'BW'!Y30+'CED'!Y30+'HAB'!Y30+'HB'!Y30+'OD'!Y30+'HDN'!Y30+'KIN'!Y30+'LE'!Y30+'MER'!Y30+'NDN'!Y30+'SALT'!Y30+'SDN'!Y30+'SST'!Y30+'WH'!Y30+'FH'!Y30</f>
        <v/>
      </c>
      <c r="Z30" s="24">
        <f>'ABA'!Z30+'BK'!Z30+'BW'!Z30+'CED'!Z30+'HAB'!Z30+'HB'!Z30+'OD'!Z30+'HDN'!Z30+'KIN'!Z30+'LE'!Z30+'MER'!Z30+'NDN'!Z30+'SALT'!Z30+'SDN'!Z30+'SST'!Z30+'WH'!Z30+'FH'!Z30</f>
        <v/>
      </c>
      <c r="AA30" s="24">
        <f>'ABA'!AA30+'BK'!AA30+'BW'!AA30+'CED'!AA30+'HAB'!AA30+'HB'!AA30+'OD'!AA30+'HDN'!AA30+'KIN'!AA30+'LE'!AA30+'MER'!AA30+'NDN'!AA30+'SALT'!AA30+'SDN'!AA30+'SST'!AA30+'WH'!AA30+'FH'!AA30</f>
        <v/>
      </c>
      <c r="AB30" s="24">
        <f>'ABA'!AB30+'BK'!AB30+'BW'!AB30+'CED'!AB30+'HAB'!AB30+'HB'!AB30+'OD'!AB30+'HDN'!AB30+'KIN'!AB30+'LE'!AB30+'MER'!AB30+'NDN'!AB30+'SALT'!AB30+'SDN'!AB30+'SST'!AB30+'WH'!AB30+'FH'!AB30</f>
        <v/>
      </c>
      <c r="AC30" s="24">
        <f>'ABA'!AC30+'BK'!AC30+'BW'!AC30+'CED'!AC30+'HAB'!AC30+'HB'!AC30+'OD'!AC30+'HDN'!AC30+'KIN'!AC30+'LE'!AC30+'MER'!AC30+'NDN'!AC30+'SALT'!AC30+'SDN'!AC30+'SST'!AC30+'WH'!AC30+'FH'!AC30</f>
        <v/>
      </c>
      <c r="AD30" s="24">
        <f>'ABA'!AD30+'BK'!AD30+'BW'!AD30+'CED'!AD30+'HAB'!AD30+'HB'!AD30+'OD'!AD30+'HDN'!AD30+'KIN'!AD30+'LE'!AD30+'MER'!AD30+'NDN'!AD30+'SALT'!AD30+'SDN'!AD30+'SST'!AD30+'WH'!AD30+'FH'!AD30</f>
        <v/>
      </c>
      <c r="AE30" s="24">
        <f>'ABA'!AE30+'BK'!AE30+'BW'!AE30+'CED'!AE30+'HAB'!AE30+'HB'!AE30+'OD'!AE30+'HDN'!AE30+'KIN'!AE30+'LE'!AE30+'MER'!AE30+'NDN'!AE30+'SALT'!AE30+'SDN'!AE30+'SST'!AE30+'WH'!AE30+'FH'!AE30</f>
        <v/>
      </c>
      <c r="AF30" s="24">
        <f>'ABA'!AF30+'BK'!AF30+'BW'!AF30+'CED'!AF30+'HAB'!AF30+'HB'!AF30+'OD'!AF30+'HDN'!AF30+'KIN'!AF30+'LE'!AF30+'MER'!AF30+'NDN'!AF30+'SALT'!AF30+'SDN'!AF30+'SST'!AF30+'WH'!AF30+'FH'!AF30</f>
        <v/>
      </c>
      <c r="AG30" s="24">
        <f>'ABA'!AG30+'BK'!AG30+'BW'!AG30+'CED'!AG30+'HAB'!AG30+'HB'!AG30+'OD'!AG30+'HDN'!AG30+'KIN'!AG30+'LE'!AG30+'MER'!AG30+'NDN'!AG30+'SALT'!AG30+'SDN'!AG30+'SST'!AG30+'WH'!AG30+'FH'!AG30</f>
        <v/>
      </c>
      <c r="AH30" s="24">
        <f>'ABA'!AH30+'BK'!AH30+'BW'!AH30+'CED'!AH30+'HAB'!AH30+'HB'!AH30+'OD'!AH30+'HDN'!AH30+'KIN'!AH30+'LE'!AH30+'MER'!AH30+'NDN'!AH30+'SALT'!AH30+'SDN'!AH30+'SST'!AH30+'WH'!AH30+'FH'!AH30</f>
        <v/>
      </c>
      <c r="AI30" s="24">
        <f>'ABA'!AI30+'BK'!AI30+'BW'!AI30+'CED'!AI30+'HAB'!AI30+'HB'!AI30+'OD'!AI30+'HDN'!AI30+'KIN'!AI30+'LE'!AI30+'MER'!AI30+'NDN'!AI30+'SALT'!AI30+'SDN'!AI30+'SST'!AI30+'WH'!AI30+'FH'!AI30</f>
        <v/>
      </c>
      <c r="AJ30" s="24">
        <f>'ABA'!AJ30+'BK'!AJ30+'BW'!AJ30+'CED'!AJ30+'HAB'!AJ30+'HB'!AJ30+'OD'!AJ30+'HDN'!AJ30+'KIN'!AJ30+'LE'!AJ30+'MER'!AJ30+'NDN'!AJ30+'SALT'!AJ30+'SDN'!AJ30+'SST'!AJ30+'WH'!AJ30+'FH'!AJ30</f>
        <v/>
      </c>
      <c r="AK30" s="11">
        <f>IF(N30&lt;&gt;0,(AB30-N30)/ABS(N30),0)</f>
        <v/>
      </c>
      <c r="AL30" s="11">
        <f>IF(AB30&lt;&gt;0,(AJ30-AB30)/ABS(AB30),0)</f>
        <v/>
      </c>
    </row>
    <row r="31" ht="5" customHeight="1"/>
    <row r="32" ht="13" customHeight="1">
      <c r="A32" s="14" t="inlineStr">
        <is>
          <t>Premises &amp; Admin</t>
        </is>
      </c>
    </row>
    <row r="33" ht="13" customHeight="1">
      <c r="A33" s="25" t="inlineStr">
        <is>
          <t xml:space="preserve">    Rent</t>
        </is>
      </c>
      <c r="B33" s="26">
        <f>'ABA'!B33+'BK'!B33+'BW'!B33+'CED'!B33+'HAB'!B33+'HB'!B33+'OD'!B33+'HDN'!B33+'KIN'!B33+'LE'!B33+'MER'!B33+'NDN'!B33+'SALT'!B33+'SDN'!B33+'SST'!B33+'WH'!B33+'FH'!B33</f>
        <v/>
      </c>
      <c r="C33" s="26">
        <f>'ABA'!C33+'BK'!C33+'BW'!C33+'CED'!C33+'HAB'!C33+'HB'!C33+'OD'!C33+'HDN'!C33+'KIN'!C33+'LE'!C33+'MER'!C33+'NDN'!C33+'SALT'!C33+'SDN'!C33+'SST'!C33+'WH'!C33+'FH'!C33</f>
        <v/>
      </c>
      <c r="D33" s="26">
        <f>'ABA'!D33+'BK'!D33+'BW'!D33+'CED'!D33+'HAB'!D33+'HB'!D33+'OD'!D33+'HDN'!D33+'KIN'!D33+'LE'!D33+'MER'!D33+'NDN'!D33+'SALT'!D33+'SDN'!D33+'SST'!D33+'WH'!D33+'FH'!D33</f>
        <v/>
      </c>
      <c r="E33" s="26">
        <f>'ABA'!E33+'BK'!E33+'BW'!E33+'CED'!E33+'HAB'!E33+'HB'!E33+'OD'!E33+'HDN'!E33+'KIN'!E33+'LE'!E33+'MER'!E33+'NDN'!E33+'SALT'!E33+'SDN'!E33+'SST'!E33+'WH'!E33+'FH'!E33</f>
        <v/>
      </c>
      <c r="F33" s="26">
        <f>'ABA'!F33+'BK'!F33+'BW'!F33+'CED'!F33+'HAB'!F33+'HB'!F33+'OD'!F33+'HDN'!F33+'KIN'!F33+'LE'!F33+'MER'!F33+'NDN'!F33+'SALT'!F33+'SDN'!F33+'SST'!F33+'WH'!F33+'FH'!F33</f>
        <v/>
      </c>
      <c r="G33" s="26">
        <f>'ABA'!G33+'BK'!G33+'BW'!G33+'CED'!G33+'HAB'!G33+'HB'!G33+'OD'!G33+'HDN'!G33+'KIN'!G33+'LE'!G33+'MER'!G33+'NDN'!G33+'SALT'!G33+'SDN'!G33+'SST'!G33+'WH'!G33+'FH'!G33</f>
        <v/>
      </c>
      <c r="H33" s="26">
        <f>'ABA'!H33+'BK'!H33+'BW'!H33+'CED'!H33+'HAB'!H33+'HB'!H33+'OD'!H33+'HDN'!H33+'KIN'!H33+'LE'!H33+'MER'!H33+'NDN'!H33+'SALT'!H33+'SDN'!H33+'SST'!H33+'WH'!H33+'FH'!H33</f>
        <v/>
      </c>
      <c r="I33" s="26">
        <f>'ABA'!I33+'BK'!I33+'BW'!I33+'CED'!I33+'HAB'!I33+'HB'!I33+'OD'!I33+'HDN'!I33+'KIN'!I33+'LE'!I33+'MER'!I33+'NDN'!I33+'SALT'!I33+'SDN'!I33+'SST'!I33+'WH'!I33+'FH'!I33</f>
        <v/>
      </c>
      <c r="J33" s="26">
        <f>'ABA'!J33+'BK'!J33+'BW'!J33+'CED'!J33+'HAB'!J33+'HB'!J33+'OD'!J33+'HDN'!J33+'KIN'!J33+'LE'!J33+'MER'!J33+'NDN'!J33+'SALT'!J33+'SDN'!J33+'SST'!J33+'WH'!J33+'FH'!J33</f>
        <v/>
      </c>
      <c r="K33" s="26">
        <f>'ABA'!K33+'BK'!K33+'BW'!K33+'CED'!K33+'HAB'!K33+'HB'!K33+'OD'!K33+'HDN'!K33+'KIN'!K33+'LE'!K33+'MER'!K33+'NDN'!K33+'SALT'!K33+'SDN'!K33+'SST'!K33+'WH'!K33+'FH'!K33</f>
        <v/>
      </c>
      <c r="L33" s="26">
        <f>'ABA'!L33+'BK'!L33+'BW'!L33+'CED'!L33+'HAB'!L33+'HB'!L33+'OD'!L33+'HDN'!L33+'KIN'!L33+'LE'!L33+'MER'!L33+'NDN'!L33+'SALT'!L33+'SDN'!L33+'SST'!L33+'WH'!L33+'FH'!L33</f>
        <v/>
      </c>
      <c r="M33" s="26">
        <f>'ABA'!M33+'BK'!M33+'BW'!M33+'CED'!M33+'HAB'!M33+'HB'!M33+'OD'!M33+'HDN'!M33+'KIN'!M33+'LE'!M33+'MER'!M33+'NDN'!M33+'SALT'!M33+'SDN'!M33+'SST'!M33+'WH'!M33+'FH'!M33</f>
        <v/>
      </c>
      <c r="N33" s="26">
        <f>'ABA'!N33+'BK'!N33+'BW'!N33+'CED'!N33+'HAB'!N33+'HB'!N33+'OD'!N33+'HDN'!N33+'KIN'!N33+'LE'!N33+'MER'!N33+'NDN'!N33+'SALT'!N33+'SDN'!N33+'SST'!N33+'WH'!N33+'FH'!N33</f>
        <v/>
      </c>
      <c r="O33" s="26">
        <f>'ABA'!O33+'BK'!O33+'BW'!O33+'CED'!O33+'HAB'!O33+'HB'!O33+'OD'!O33+'HDN'!O33+'KIN'!O33+'LE'!O33+'MER'!O33+'NDN'!O33+'SALT'!O33+'SDN'!O33+'SST'!O33+'WH'!O33+'FH'!O33</f>
        <v/>
      </c>
      <c r="P33" s="26">
        <f>'ABA'!P33+'BK'!P33+'BW'!P33+'CED'!P33+'HAB'!P33+'HB'!P33+'OD'!P33+'HDN'!P33+'KIN'!P33+'LE'!P33+'MER'!P33+'NDN'!P33+'SALT'!P33+'SDN'!P33+'SST'!P33+'WH'!P33+'FH'!P33</f>
        <v/>
      </c>
      <c r="Q33" s="26">
        <f>'ABA'!Q33+'BK'!Q33+'BW'!Q33+'CED'!Q33+'HAB'!Q33+'HB'!Q33+'OD'!Q33+'HDN'!Q33+'KIN'!Q33+'LE'!Q33+'MER'!Q33+'NDN'!Q33+'SALT'!Q33+'SDN'!Q33+'SST'!Q33+'WH'!Q33+'FH'!Q33</f>
        <v/>
      </c>
      <c r="R33" s="26">
        <f>'ABA'!R33+'BK'!R33+'BW'!R33+'CED'!R33+'HAB'!R33+'HB'!R33+'OD'!R33+'HDN'!R33+'KIN'!R33+'LE'!R33+'MER'!R33+'NDN'!R33+'SALT'!R33+'SDN'!R33+'SST'!R33+'WH'!R33+'FH'!R33</f>
        <v/>
      </c>
      <c r="S33" s="26">
        <f>'ABA'!S33+'BK'!S33+'BW'!S33+'CED'!S33+'HAB'!S33+'HB'!S33+'OD'!S33+'HDN'!S33+'KIN'!S33+'LE'!S33+'MER'!S33+'NDN'!S33+'SALT'!S33+'SDN'!S33+'SST'!S33+'WH'!S33+'FH'!S33</f>
        <v/>
      </c>
      <c r="T33" s="26">
        <f>'ABA'!T33+'BK'!T33+'BW'!T33+'CED'!T33+'HAB'!T33+'HB'!T33+'OD'!T33+'HDN'!T33+'KIN'!T33+'LE'!T33+'MER'!T33+'NDN'!T33+'SALT'!T33+'SDN'!T33+'SST'!T33+'WH'!T33+'FH'!T33</f>
        <v/>
      </c>
      <c r="U33" s="26">
        <f>'ABA'!U33+'BK'!U33+'BW'!U33+'CED'!U33+'HAB'!U33+'HB'!U33+'OD'!U33+'HDN'!U33+'KIN'!U33+'LE'!U33+'MER'!U33+'NDN'!U33+'SALT'!U33+'SDN'!U33+'SST'!U33+'WH'!U33+'FH'!U33</f>
        <v/>
      </c>
      <c r="V33" s="26">
        <f>'ABA'!V33+'BK'!V33+'BW'!V33+'CED'!V33+'HAB'!V33+'HB'!V33+'OD'!V33+'HDN'!V33+'KIN'!V33+'LE'!V33+'MER'!V33+'NDN'!V33+'SALT'!V33+'SDN'!V33+'SST'!V33+'WH'!V33+'FH'!V33</f>
        <v/>
      </c>
      <c r="W33" s="26">
        <f>'ABA'!W33+'BK'!W33+'BW'!W33+'CED'!W33+'HAB'!W33+'HB'!W33+'OD'!W33+'HDN'!W33+'KIN'!W33+'LE'!W33+'MER'!W33+'NDN'!W33+'SALT'!W33+'SDN'!W33+'SST'!W33+'WH'!W33+'FH'!W33</f>
        <v/>
      </c>
      <c r="X33" s="26">
        <f>'ABA'!X33+'BK'!X33+'BW'!X33+'CED'!X33+'HAB'!X33+'HB'!X33+'OD'!X33+'HDN'!X33+'KIN'!X33+'LE'!X33+'MER'!X33+'NDN'!X33+'SALT'!X33+'SDN'!X33+'SST'!X33+'WH'!X33+'FH'!X33</f>
        <v/>
      </c>
      <c r="Y33" s="26">
        <f>'ABA'!Y33+'BK'!Y33+'BW'!Y33+'CED'!Y33+'HAB'!Y33+'HB'!Y33+'OD'!Y33+'HDN'!Y33+'KIN'!Y33+'LE'!Y33+'MER'!Y33+'NDN'!Y33+'SALT'!Y33+'SDN'!Y33+'SST'!Y33+'WH'!Y33+'FH'!Y33</f>
        <v/>
      </c>
      <c r="Z33" s="26">
        <f>'ABA'!Z33+'BK'!Z33+'BW'!Z33+'CED'!Z33+'HAB'!Z33+'HB'!Z33+'OD'!Z33+'HDN'!Z33+'KIN'!Z33+'LE'!Z33+'MER'!Z33+'NDN'!Z33+'SALT'!Z33+'SDN'!Z33+'SST'!Z33+'WH'!Z33+'FH'!Z33</f>
        <v/>
      </c>
      <c r="AA33" s="26">
        <f>'ABA'!AA33+'BK'!AA33+'BW'!AA33+'CED'!AA33+'HAB'!AA33+'HB'!AA33+'OD'!AA33+'HDN'!AA33+'KIN'!AA33+'LE'!AA33+'MER'!AA33+'NDN'!AA33+'SALT'!AA33+'SDN'!AA33+'SST'!AA33+'WH'!AA33+'FH'!AA33</f>
        <v/>
      </c>
      <c r="AB33" s="26">
        <f>'ABA'!AB33+'BK'!AB33+'BW'!AB33+'CED'!AB33+'HAB'!AB33+'HB'!AB33+'OD'!AB33+'HDN'!AB33+'KIN'!AB33+'LE'!AB33+'MER'!AB33+'NDN'!AB33+'SALT'!AB33+'SDN'!AB33+'SST'!AB33+'WH'!AB33+'FH'!AB33</f>
        <v/>
      </c>
      <c r="AC33" s="26">
        <f>'ABA'!AC33+'BK'!AC33+'BW'!AC33+'CED'!AC33+'HAB'!AC33+'HB'!AC33+'OD'!AC33+'HDN'!AC33+'KIN'!AC33+'LE'!AC33+'MER'!AC33+'NDN'!AC33+'SALT'!AC33+'SDN'!AC33+'SST'!AC33+'WH'!AC33+'FH'!AC33</f>
        <v/>
      </c>
      <c r="AD33" s="26">
        <f>'ABA'!AD33+'BK'!AD33+'BW'!AD33+'CED'!AD33+'HAB'!AD33+'HB'!AD33+'OD'!AD33+'HDN'!AD33+'KIN'!AD33+'LE'!AD33+'MER'!AD33+'NDN'!AD33+'SALT'!AD33+'SDN'!AD33+'SST'!AD33+'WH'!AD33+'FH'!AD33</f>
        <v/>
      </c>
      <c r="AE33" s="26">
        <f>'ABA'!AE33+'BK'!AE33+'BW'!AE33+'CED'!AE33+'HAB'!AE33+'HB'!AE33+'OD'!AE33+'HDN'!AE33+'KIN'!AE33+'LE'!AE33+'MER'!AE33+'NDN'!AE33+'SALT'!AE33+'SDN'!AE33+'SST'!AE33+'WH'!AE33+'FH'!AE33</f>
        <v/>
      </c>
      <c r="AF33" s="26">
        <f>'ABA'!AF33+'BK'!AF33+'BW'!AF33+'CED'!AF33+'HAB'!AF33+'HB'!AF33+'OD'!AF33+'HDN'!AF33+'KIN'!AF33+'LE'!AF33+'MER'!AF33+'NDN'!AF33+'SALT'!AF33+'SDN'!AF33+'SST'!AF33+'WH'!AF33+'FH'!AF33</f>
        <v/>
      </c>
      <c r="AG33" s="26">
        <f>'ABA'!AG33+'BK'!AG33+'BW'!AG33+'CED'!AG33+'HAB'!AG33+'HB'!AG33+'OD'!AG33+'HDN'!AG33+'KIN'!AG33+'LE'!AG33+'MER'!AG33+'NDN'!AG33+'SALT'!AG33+'SDN'!AG33+'SST'!AG33+'WH'!AG33+'FH'!AG33</f>
        <v/>
      </c>
      <c r="AH33" s="26">
        <f>'ABA'!AH33+'BK'!AH33+'BW'!AH33+'CED'!AH33+'HAB'!AH33+'HB'!AH33+'OD'!AH33+'HDN'!AH33+'KIN'!AH33+'LE'!AH33+'MER'!AH33+'NDN'!AH33+'SALT'!AH33+'SDN'!AH33+'SST'!AH33+'WH'!AH33+'FH'!AH33</f>
        <v/>
      </c>
      <c r="AI33" s="26">
        <f>'ABA'!AI33+'BK'!AI33+'BW'!AI33+'CED'!AI33+'HAB'!AI33+'HB'!AI33+'OD'!AI33+'HDN'!AI33+'KIN'!AI33+'LE'!AI33+'MER'!AI33+'NDN'!AI33+'SALT'!AI33+'SDN'!AI33+'SST'!AI33+'WH'!AI33+'FH'!AI33</f>
        <v/>
      </c>
      <c r="AJ33" s="26">
        <f>'ABA'!AJ33+'BK'!AJ33+'BW'!AJ33+'CED'!AJ33+'HAB'!AJ33+'HB'!AJ33+'OD'!AJ33+'HDN'!AJ33+'KIN'!AJ33+'LE'!AJ33+'MER'!AJ33+'NDN'!AJ33+'SALT'!AJ33+'SDN'!AJ33+'SST'!AJ33+'WH'!AJ33+'FH'!AJ33</f>
        <v/>
      </c>
      <c r="AK33" s="11">
        <f>IF(N33&lt;&gt;0,(AB33-N33)/ABS(N33),0)</f>
        <v/>
      </c>
      <c r="AL33" s="11">
        <f>IF(AB33&lt;&gt;0,(AJ33-AB33)/ABS(AB33),0)</f>
        <v/>
      </c>
    </row>
    <row r="34" ht="13" customHeight="1">
      <c r="A34" s="25" t="inlineStr">
        <is>
          <t xml:space="preserve">    Business Rates</t>
        </is>
      </c>
      <c r="B34" s="26">
        <f>'ABA'!B34+'BK'!B34+'BW'!B34+'CED'!B34+'HAB'!B34+'HB'!B34+'OD'!B34+'HDN'!B34+'KIN'!B34+'LE'!B34+'MER'!B34+'NDN'!B34+'SALT'!B34+'SDN'!B34+'SST'!B34+'WH'!B34+'FH'!B34</f>
        <v/>
      </c>
      <c r="C34" s="26">
        <f>'ABA'!C34+'BK'!C34+'BW'!C34+'CED'!C34+'HAB'!C34+'HB'!C34+'OD'!C34+'HDN'!C34+'KIN'!C34+'LE'!C34+'MER'!C34+'NDN'!C34+'SALT'!C34+'SDN'!C34+'SST'!C34+'WH'!C34+'FH'!C34</f>
        <v/>
      </c>
      <c r="D34" s="26">
        <f>'ABA'!D34+'BK'!D34+'BW'!D34+'CED'!D34+'HAB'!D34+'HB'!D34+'OD'!D34+'HDN'!D34+'KIN'!D34+'LE'!D34+'MER'!D34+'NDN'!D34+'SALT'!D34+'SDN'!D34+'SST'!D34+'WH'!D34+'FH'!D34</f>
        <v/>
      </c>
      <c r="E34" s="26">
        <f>'ABA'!E34+'BK'!E34+'BW'!E34+'CED'!E34+'HAB'!E34+'HB'!E34+'OD'!E34+'HDN'!E34+'KIN'!E34+'LE'!E34+'MER'!E34+'NDN'!E34+'SALT'!E34+'SDN'!E34+'SST'!E34+'WH'!E34+'FH'!E34</f>
        <v/>
      </c>
      <c r="F34" s="26">
        <f>'ABA'!F34+'BK'!F34+'BW'!F34+'CED'!F34+'HAB'!F34+'HB'!F34+'OD'!F34+'HDN'!F34+'KIN'!F34+'LE'!F34+'MER'!F34+'NDN'!F34+'SALT'!F34+'SDN'!F34+'SST'!F34+'WH'!F34+'FH'!F34</f>
        <v/>
      </c>
      <c r="G34" s="26">
        <f>'ABA'!G34+'BK'!G34+'BW'!G34+'CED'!G34+'HAB'!G34+'HB'!G34+'OD'!G34+'HDN'!G34+'KIN'!G34+'LE'!G34+'MER'!G34+'NDN'!G34+'SALT'!G34+'SDN'!G34+'SST'!G34+'WH'!G34+'FH'!G34</f>
        <v/>
      </c>
      <c r="H34" s="26">
        <f>'ABA'!H34+'BK'!H34+'BW'!H34+'CED'!H34+'HAB'!H34+'HB'!H34+'OD'!H34+'HDN'!H34+'KIN'!H34+'LE'!H34+'MER'!H34+'NDN'!H34+'SALT'!H34+'SDN'!H34+'SST'!H34+'WH'!H34+'FH'!H34</f>
        <v/>
      </c>
      <c r="I34" s="26">
        <f>'ABA'!I34+'BK'!I34+'BW'!I34+'CED'!I34+'HAB'!I34+'HB'!I34+'OD'!I34+'HDN'!I34+'KIN'!I34+'LE'!I34+'MER'!I34+'NDN'!I34+'SALT'!I34+'SDN'!I34+'SST'!I34+'WH'!I34+'FH'!I34</f>
        <v/>
      </c>
      <c r="J34" s="26">
        <f>'ABA'!J34+'BK'!J34+'BW'!J34+'CED'!J34+'HAB'!J34+'HB'!J34+'OD'!J34+'HDN'!J34+'KIN'!J34+'LE'!J34+'MER'!J34+'NDN'!J34+'SALT'!J34+'SDN'!J34+'SST'!J34+'WH'!J34+'FH'!J34</f>
        <v/>
      </c>
      <c r="K34" s="26">
        <f>'ABA'!K34+'BK'!K34+'BW'!K34+'CED'!K34+'HAB'!K34+'HB'!K34+'OD'!K34+'HDN'!K34+'KIN'!K34+'LE'!K34+'MER'!K34+'NDN'!K34+'SALT'!K34+'SDN'!K34+'SST'!K34+'WH'!K34+'FH'!K34</f>
        <v/>
      </c>
      <c r="L34" s="26">
        <f>'ABA'!L34+'BK'!L34+'BW'!L34+'CED'!L34+'HAB'!L34+'HB'!L34+'OD'!L34+'HDN'!L34+'KIN'!L34+'LE'!L34+'MER'!L34+'NDN'!L34+'SALT'!L34+'SDN'!L34+'SST'!L34+'WH'!L34+'FH'!L34</f>
        <v/>
      </c>
      <c r="M34" s="26">
        <f>'ABA'!M34+'BK'!M34+'BW'!M34+'CED'!M34+'HAB'!M34+'HB'!M34+'OD'!M34+'HDN'!M34+'KIN'!M34+'LE'!M34+'MER'!M34+'NDN'!M34+'SALT'!M34+'SDN'!M34+'SST'!M34+'WH'!M34+'FH'!M34</f>
        <v/>
      </c>
      <c r="N34" s="26">
        <f>'ABA'!N34+'BK'!N34+'BW'!N34+'CED'!N34+'HAB'!N34+'HB'!N34+'OD'!N34+'HDN'!N34+'KIN'!N34+'LE'!N34+'MER'!N34+'NDN'!N34+'SALT'!N34+'SDN'!N34+'SST'!N34+'WH'!N34+'FH'!N34</f>
        <v/>
      </c>
      <c r="O34" s="26">
        <f>'ABA'!O34+'BK'!O34+'BW'!O34+'CED'!O34+'HAB'!O34+'HB'!O34+'OD'!O34+'HDN'!O34+'KIN'!O34+'LE'!O34+'MER'!O34+'NDN'!O34+'SALT'!O34+'SDN'!O34+'SST'!O34+'WH'!O34+'FH'!O34</f>
        <v/>
      </c>
      <c r="P34" s="26">
        <f>'ABA'!P34+'BK'!P34+'BW'!P34+'CED'!P34+'HAB'!P34+'HB'!P34+'OD'!P34+'HDN'!P34+'KIN'!P34+'LE'!P34+'MER'!P34+'NDN'!P34+'SALT'!P34+'SDN'!P34+'SST'!P34+'WH'!P34+'FH'!P34</f>
        <v/>
      </c>
      <c r="Q34" s="26">
        <f>'ABA'!Q34+'BK'!Q34+'BW'!Q34+'CED'!Q34+'HAB'!Q34+'HB'!Q34+'OD'!Q34+'HDN'!Q34+'KIN'!Q34+'LE'!Q34+'MER'!Q34+'NDN'!Q34+'SALT'!Q34+'SDN'!Q34+'SST'!Q34+'WH'!Q34+'FH'!Q34</f>
        <v/>
      </c>
      <c r="R34" s="26">
        <f>'ABA'!R34+'BK'!R34+'BW'!R34+'CED'!R34+'HAB'!R34+'HB'!R34+'OD'!R34+'HDN'!R34+'KIN'!R34+'LE'!R34+'MER'!R34+'NDN'!R34+'SALT'!R34+'SDN'!R34+'SST'!R34+'WH'!R34+'FH'!R34</f>
        <v/>
      </c>
      <c r="S34" s="26">
        <f>'ABA'!S34+'BK'!S34+'BW'!S34+'CED'!S34+'HAB'!S34+'HB'!S34+'OD'!S34+'HDN'!S34+'KIN'!S34+'LE'!S34+'MER'!S34+'NDN'!S34+'SALT'!S34+'SDN'!S34+'SST'!S34+'WH'!S34+'FH'!S34</f>
        <v/>
      </c>
      <c r="T34" s="26">
        <f>'ABA'!T34+'BK'!T34+'BW'!T34+'CED'!T34+'HAB'!T34+'HB'!T34+'OD'!T34+'HDN'!T34+'KIN'!T34+'LE'!T34+'MER'!T34+'NDN'!T34+'SALT'!T34+'SDN'!T34+'SST'!T34+'WH'!T34+'FH'!T34</f>
        <v/>
      </c>
      <c r="U34" s="26">
        <f>'ABA'!U34+'BK'!U34+'BW'!U34+'CED'!U34+'HAB'!U34+'HB'!U34+'OD'!U34+'HDN'!U34+'KIN'!U34+'LE'!U34+'MER'!U34+'NDN'!U34+'SALT'!U34+'SDN'!U34+'SST'!U34+'WH'!U34+'FH'!U34</f>
        <v/>
      </c>
      <c r="V34" s="26">
        <f>'ABA'!V34+'BK'!V34+'BW'!V34+'CED'!V34+'HAB'!V34+'HB'!V34+'OD'!V34+'HDN'!V34+'KIN'!V34+'LE'!V34+'MER'!V34+'NDN'!V34+'SALT'!V34+'SDN'!V34+'SST'!V34+'WH'!V34+'FH'!V34</f>
        <v/>
      </c>
      <c r="W34" s="26">
        <f>'ABA'!W34+'BK'!W34+'BW'!W34+'CED'!W34+'HAB'!W34+'HB'!W34+'OD'!W34+'HDN'!W34+'KIN'!W34+'LE'!W34+'MER'!W34+'NDN'!W34+'SALT'!W34+'SDN'!W34+'SST'!W34+'WH'!W34+'FH'!W34</f>
        <v/>
      </c>
      <c r="X34" s="26">
        <f>'ABA'!X34+'BK'!X34+'BW'!X34+'CED'!X34+'HAB'!X34+'HB'!X34+'OD'!X34+'HDN'!X34+'KIN'!X34+'LE'!X34+'MER'!X34+'NDN'!X34+'SALT'!X34+'SDN'!X34+'SST'!X34+'WH'!X34+'FH'!X34</f>
        <v/>
      </c>
      <c r="Y34" s="26">
        <f>'ABA'!Y34+'BK'!Y34+'BW'!Y34+'CED'!Y34+'HAB'!Y34+'HB'!Y34+'OD'!Y34+'HDN'!Y34+'KIN'!Y34+'LE'!Y34+'MER'!Y34+'NDN'!Y34+'SALT'!Y34+'SDN'!Y34+'SST'!Y34+'WH'!Y34+'FH'!Y34</f>
        <v/>
      </c>
      <c r="Z34" s="26">
        <f>'ABA'!Z34+'BK'!Z34+'BW'!Z34+'CED'!Z34+'HAB'!Z34+'HB'!Z34+'OD'!Z34+'HDN'!Z34+'KIN'!Z34+'LE'!Z34+'MER'!Z34+'NDN'!Z34+'SALT'!Z34+'SDN'!Z34+'SST'!Z34+'WH'!Z34+'FH'!Z34</f>
        <v/>
      </c>
      <c r="AA34" s="26">
        <f>'ABA'!AA34+'BK'!AA34+'BW'!AA34+'CED'!AA34+'HAB'!AA34+'HB'!AA34+'OD'!AA34+'HDN'!AA34+'KIN'!AA34+'LE'!AA34+'MER'!AA34+'NDN'!AA34+'SALT'!AA34+'SDN'!AA34+'SST'!AA34+'WH'!AA34+'FH'!AA34</f>
        <v/>
      </c>
      <c r="AB34" s="26">
        <f>'ABA'!AB34+'BK'!AB34+'BW'!AB34+'CED'!AB34+'HAB'!AB34+'HB'!AB34+'OD'!AB34+'HDN'!AB34+'KIN'!AB34+'LE'!AB34+'MER'!AB34+'NDN'!AB34+'SALT'!AB34+'SDN'!AB34+'SST'!AB34+'WH'!AB34+'FH'!AB34</f>
        <v/>
      </c>
      <c r="AC34" s="26">
        <f>'ABA'!AC34+'BK'!AC34+'BW'!AC34+'CED'!AC34+'HAB'!AC34+'HB'!AC34+'OD'!AC34+'HDN'!AC34+'KIN'!AC34+'LE'!AC34+'MER'!AC34+'NDN'!AC34+'SALT'!AC34+'SDN'!AC34+'SST'!AC34+'WH'!AC34+'FH'!AC34</f>
        <v/>
      </c>
      <c r="AD34" s="26">
        <f>'ABA'!AD34+'BK'!AD34+'BW'!AD34+'CED'!AD34+'HAB'!AD34+'HB'!AD34+'OD'!AD34+'HDN'!AD34+'KIN'!AD34+'LE'!AD34+'MER'!AD34+'NDN'!AD34+'SALT'!AD34+'SDN'!AD34+'SST'!AD34+'WH'!AD34+'FH'!AD34</f>
        <v/>
      </c>
      <c r="AE34" s="26">
        <f>'ABA'!AE34+'BK'!AE34+'BW'!AE34+'CED'!AE34+'HAB'!AE34+'HB'!AE34+'OD'!AE34+'HDN'!AE34+'KIN'!AE34+'LE'!AE34+'MER'!AE34+'NDN'!AE34+'SALT'!AE34+'SDN'!AE34+'SST'!AE34+'WH'!AE34+'FH'!AE34</f>
        <v/>
      </c>
      <c r="AF34" s="26">
        <f>'ABA'!AF34+'BK'!AF34+'BW'!AF34+'CED'!AF34+'HAB'!AF34+'HB'!AF34+'OD'!AF34+'HDN'!AF34+'KIN'!AF34+'LE'!AF34+'MER'!AF34+'NDN'!AF34+'SALT'!AF34+'SDN'!AF34+'SST'!AF34+'WH'!AF34+'FH'!AF34</f>
        <v/>
      </c>
      <c r="AG34" s="26">
        <f>'ABA'!AG34+'BK'!AG34+'BW'!AG34+'CED'!AG34+'HAB'!AG34+'HB'!AG34+'OD'!AG34+'HDN'!AG34+'KIN'!AG34+'LE'!AG34+'MER'!AG34+'NDN'!AG34+'SALT'!AG34+'SDN'!AG34+'SST'!AG34+'WH'!AG34+'FH'!AG34</f>
        <v/>
      </c>
      <c r="AH34" s="26">
        <f>'ABA'!AH34+'BK'!AH34+'BW'!AH34+'CED'!AH34+'HAB'!AH34+'HB'!AH34+'OD'!AH34+'HDN'!AH34+'KIN'!AH34+'LE'!AH34+'MER'!AH34+'NDN'!AH34+'SALT'!AH34+'SDN'!AH34+'SST'!AH34+'WH'!AH34+'FH'!AH34</f>
        <v/>
      </c>
      <c r="AI34" s="26">
        <f>'ABA'!AI34+'BK'!AI34+'BW'!AI34+'CED'!AI34+'HAB'!AI34+'HB'!AI34+'OD'!AI34+'HDN'!AI34+'KIN'!AI34+'LE'!AI34+'MER'!AI34+'NDN'!AI34+'SALT'!AI34+'SDN'!AI34+'SST'!AI34+'WH'!AI34+'FH'!AI34</f>
        <v/>
      </c>
      <c r="AJ34" s="26">
        <f>'ABA'!AJ34+'BK'!AJ34+'BW'!AJ34+'CED'!AJ34+'HAB'!AJ34+'HB'!AJ34+'OD'!AJ34+'HDN'!AJ34+'KIN'!AJ34+'LE'!AJ34+'MER'!AJ34+'NDN'!AJ34+'SALT'!AJ34+'SDN'!AJ34+'SST'!AJ34+'WH'!AJ34+'FH'!AJ34</f>
        <v/>
      </c>
      <c r="AK34" s="11">
        <f>IF(N34&lt;&gt;0,(AB34-N34)/ABS(N34),0)</f>
        <v/>
      </c>
      <c r="AL34" s="11">
        <f>IF(AB34&lt;&gt;0,(AJ34-AB34)/ABS(AB34),0)</f>
        <v/>
      </c>
    </row>
    <row r="35" ht="13" customHeight="1">
      <c r="A35" s="25" t="inlineStr">
        <is>
          <t xml:space="preserve">    Utilities</t>
        </is>
      </c>
      <c r="B35" s="26">
        <f>'ABA'!B35+'BK'!B35+'BW'!B35+'CED'!B35+'HAB'!B35+'HB'!B35+'OD'!B35+'HDN'!B35+'KIN'!B35+'LE'!B35+'MER'!B35+'NDN'!B35+'SALT'!B35+'SDN'!B35+'SST'!B35+'WH'!B35+'FH'!B35</f>
        <v/>
      </c>
      <c r="C35" s="26">
        <f>'ABA'!C35+'BK'!C35+'BW'!C35+'CED'!C35+'HAB'!C35+'HB'!C35+'OD'!C35+'HDN'!C35+'KIN'!C35+'LE'!C35+'MER'!C35+'NDN'!C35+'SALT'!C35+'SDN'!C35+'SST'!C35+'WH'!C35+'FH'!C35</f>
        <v/>
      </c>
      <c r="D35" s="26">
        <f>'ABA'!D35+'BK'!D35+'BW'!D35+'CED'!D35+'HAB'!D35+'HB'!D35+'OD'!D35+'HDN'!D35+'KIN'!D35+'LE'!D35+'MER'!D35+'NDN'!D35+'SALT'!D35+'SDN'!D35+'SST'!D35+'WH'!D35+'FH'!D35</f>
        <v/>
      </c>
      <c r="E35" s="26">
        <f>'ABA'!E35+'BK'!E35+'BW'!E35+'CED'!E35+'HAB'!E35+'HB'!E35+'OD'!E35+'HDN'!E35+'KIN'!E35+'LE'!E35+'MER'!E35+'NDN'!E35+'SALT'!E35+'SDN'!E35+'SST'!E35+'WH'!E35+'FH'!E35</f>
        <v/>
      </c>
      <c r="F35" s="26">
        <f>'ABA'!F35+'BK'!F35+'BW'!F35+'CED'!F35+'HAB'!F35+'HB'!F35+'OD'!F35+'HDN'!F35+'KIN'!F35+'LE'!F35+'MER'!F35+'NDN'!F35+'SALT'!F35+'SDN'!F35+'SST'!F35+'WH'!F35+'FH'!F35</f>
        <v/>
      </c>
      <c r="G35" s="26">
        <f>'ABA'!G35+'BK'!G35+'BW'!G35+'CED'!G35+'HAB'!G35+'HB'!G35+'OD'!G35+'HDN'!G35+'KIN'!G35+'LE'!G35+'MER'!G35+'NDN'!G35+'SALT'!G35+'SDN'!G35+'SST'!G35+'WH'!G35+'FH'!G35</f>
        <v/>
      </c>
      <c r="H35" s="26">
        <f>'ABA'!H35+'BK'!H35+'BW'!H35+'CED'!H35+'HAB'!H35+'HB'!H35+'OD'!H35+'HDN'!H35+'KIN'!H35+'LE'!H35+'MER'!H35+'NDN'!H35+'SALT'!H35+'SDN'!H35+'SST'!H35+'WH'!H35+'FH'!H35</f>
        <v/>
      </c>
      <c r="I35" s="26">
        <f>'ABA'!I35+'BK'!I35+'BW'!I35+'CED'!I35+'HAB'!I35+'HB'!I35+'OD'!I35+'HDN'!I35+'KIN'!I35+'LE'!I35+'MER'!I35+'NDN'!I35+'SALT'!I35+'SDN'!I35+'SST'!I35+'WH'!I35+'FH'!I35</f>
        <v/>
      </c>
      <c r="J35" s="26">
        <f>'ABA'!J35+'BK'!J35+'BW'!J35+'CED'!J35+'HAB'!J35+'HB'!J35+'OD'!J35+'HDN'!J35+'KIN'!J35+'LE'!J35+'MER'!J35+'NDN'!J35+'SALT'!J35+'SDN'!J35+'SST'!J35+'WH'!J35+'FH'!J35</f>
        <v/>
      </c>
      <c r="K35" s="26">
        <f>'ABA'!K35+'BK'!K35+'BW'!K35+'CED'!K35+'HAB'!K35+'HB'!K35+'OD'!K35+'HDN'!K35+'KIN'!K35+'LE'!K35+'MER'!K35+'NDN'!K35+'SALT'!K35+'SDN'!K35+'SST'!K35+'WH'!K35+'FH'!K35</f>
        <v/>
      </c>
      <c r="L35" s="26">
        <f>'ABA'!L35+'BK'!L35+'BW'!L35+'CED'!L35+'HAB'!L35+'HB'!L35+'OD'!L35+'HDN'!L35+'KIN'!L35+'LE'!L35+'MER'!L35+'NDN'!L35+'SALT'!L35+'SDN'!L35+'SST'!L35+'WH'!L35+'FH'!L35</f>
        <v/>
      </c>
      <c r="M35" s="26">
        <f>'ABA'!M35+'BK'!M35+'BW'!M35+'CED'!M35+'HAB'!M35+'HB'!M35+'OD'!M35+'HDN'!M35+'KIN'!M35+'LE'!M35+'MER'!M35+'NDN'!M35+'SALT'!M35+'SDN'!M35+'SST'!M35+'WH'!M35+'FH'!M35</f>
        <v/>
      </c>
      <c r="N35" s="26">
        <f>'ABA'!N35+'BK'!N35+'BW'!N35+'CED'!N35+'HAB'!N35+'HB'!N35+'OD'!N35+'HDN'!N35+'KIN'!N35+'LE'!N35+'MER'!N35+'NDN'!N35+'SALT'!N35+'SDN'!N35+'SST'!N35+'WH'!N35+'FH'!N35</f>
        <v/>
      </c>
      <c r="O35" s="26">
        <f>'ABA'!O35+'BK'!O35+'BW'!O35+'CED'!O35+'HAB'!O35+'HB'!O35+'OD'!O35+'HDN'!O35+'KIN'!O35+'LE'!O35+'MER'!O35+'NDN'!O35+'SALT'!O35+'SDN'!O35+'SST'!O35+'WH'!O35+'FH'!O35</f>
        <v/>
      </c>
      <c r="P35" s="26">
        <f>'ABA'!P35+'BK'!P35+'BW'!P35+'CED'!P35+'HAB'!P35+'HB'!P35+'OD'!P35+'HDN'!P35+'KIN'!P35+'LE'!P35+'MER'!P35+'NDN'!P35+'SALT'!P35+'SDN'!P35+'SST'!P35+'WH'!P35+'FH'!P35</f>
        <v/>
      </c>
      <c r="Q35" s="26">
        <f>'ABA'!Q35+'BK'!Q35+'BW'!Q35+'CED'!Q35+'HAB'!Q35+'HB'!Q35+'OD'!Q35+'HDN'!Q35+'KIN'!Q35+'LE'!Q35+'MER'!Q35+'NDN'!Q35+'SALT'!Q35+'SDN'!Q35+'SST'!Q35+'WH'!Q35+'FH'!Q35</f>
        <v/>
      </c>
      <c r="R35" s="26">
        <f>'ABA'!R35+'BK'!R35+'BW'!R35+'CED'!R35+'HAB'!R35+'HB'!R35+'OD'!R35+'HDN'!R35+'KIN'!R35+'LE'!R35+'MER'!R35+'NDN'!R35+'SALT'!R35+'SDN'!R35+'SST'!R35+'WH'!R35+'FH'!R35</f>
        <v/>
      </c>
      <c r="S35" s="26">
        <f>'ABA'!S35+'BK'!S35+'BW'!S35+'CED'!S35+'HAB'!S35+'HB'!S35+'OD'!S35+'HDN'!S35+'KIN'!S35+'LE'!S35+'MER'!S35+'NDN'!S35+'SALT'!S35+'SDN'!S35+'SST'!S35+'WH'!S35+'FH'!S35</f>
        <v/>
      </c>
      <c r="T35" s="26">
        <f>'ABA'!T35+'BK'!T35+'BW'!T35+'CED'!T35+'HAB'!T35+'HB'!T35+'OD'!T35+'HDN'!T35+'KIN'!T35+'LE'!T35+'MER'!T35+'NDN'!T35+'SALT'!T35+'SDN'!T35+'SST'!T35+'WH'!T35+'FH'!T35</f>
        <v/>
      </c>
      <c r="U35" s="26">
        <f>'ABA'!U35+'BK'!U35+'BW'!U35+'CED'!U35+'HAB'!U35+'HB'!U35+'OD'!U35+'HDN'!U35+'KIN'!U35+'LE'!U35+'MER'!U35+'NDN'!U35+'SALT'!U35+'SDN'!U35+'SST'!U35+'WH'!U35+'FH'!U35</f>
        <v/>
      </c>
      <c r="V35" s="26">
        <f>'ABA'!V35+'BK'!V35+'BW'!V35+'CED'!V35+'HAB'!V35+'HB'!V35+'OD'!V35+'HDN'!V35+'KIN'!V35+'LE'!V35+'MER'!V35+'NDN'!V35+'SALT'!V35+'SDN'!V35+'SST'!V35+'WH'!V35+'FH'!V35</f>
        <v/>
      </c>
      <c r="W35" s="26">
        <f>'ABA'!W35+'BK'!W35+'BW'!W35+'CED'!W35+'HAB'!W35+'HB'!W35+'OD'!W35+'HDN'!W35+'KIN'!W35+'LE'!W35+'MER'!W35+'NDN'!W35+'SALT'!W35+'SDN'!W35+'SST'!W35+'WH'!W35+'FH'!W35</f>
        <v/>
      </c>
      <c r="X35" s="26">
        <f>'ABA'!X35+'BK'!X35+'BW'!X35+'CED'!X35+'HAB'!X35+'HB'!X35+'OD'!X35+'HDN'!X35+'KIN'!X35+'LE'!X35+'MER'!X35+'NDN'!X35+'SALT'!X35+'SDN'!X35+'SST'!X35+'WH'!X35+'FH'!X35</f>
        <v/>
      </c>
      <c r="Y35" s="26">
        <f>'ABA'!Y35+'BK'!Y35+'BW'!Y35+'CED'!Y35+'HAB'!Y35+'HB'!Y35+'OD'!Y35+'HDN'!Y35+'KIN'!Y35+'LE'!Y35+'MER'!Y35+'NDN'!Y35+'SALT'!Y35+'SDN'!Y35+'SST'!Y35+'WH'!Y35+'FH'!Y35</f>
        <v/>
      </c>
      <c r="Z35" s="26">
        <f>'ABA'!Z35+'BK'!Z35+'BW'!Z35+'CED'!Z35+'HAB'!Z35+'HB'!Z35+'OD'!Z35+'HDN'!Z35+'KIN'!Z35+'LE'!Z35+'MER'!Z35+'NDN'!Z35+'SALT'!Z35+'SDN'!Z35+'SST'!Z35+'WH'!Z35+'FH'!Z35</f>
        <v/>
      </c>
      <c r="AA35" s="26">
        <f>'ABA'!AA35+'BK'!AA35+'BW'!AA35+'CED'!AA35+'HAB'!AA35+'HB'!AA35+'OD'!AA35+'HDN'!AA35+'KIN'!AA35+'LE'!AA35+'MER'!AA35+'NDN'!AA35+'SALT'!AA35+'SDN'!AA35+'SST'!AA35+'WH'!AA35+'FH'!AA35</f>
        <v/>
      </c>
      <c r="AB35" s="26">
        <f>'ABA'!AB35+'BK'!AB35+'BW'!AB35+'CED'!AB35+'HAB'!AB35+'HB'!AB35+'OD'!AB35+'HDN'!AB35+'KIN'!AB35+'LE'!AB35+'MER'!AB35+'NDN'!AB35+'SALT'!AB35+'SDN'!AB35+'SST'!AB35+'WH'!AB35+'FH'!AB35</f>
        <v/>
      </c>
      <c r="AC35" s="26">
        <f>'ABA'!AC35+'BK'!AC35+'BW'!AC35+'CED'!AC35+'HAB'!AC35+'HB'!AC35+'OD'!AC35+'HDN'!AC35+'KIN'!AC35+'LE'!AC35+'MER'!AC35+'NDN'!AC35+'SALT'!AC35+'SDN'!AC35+'SST'!AC35+'WH'!AC35+'FH'!AC35</f>
        <v/>
      </c>
      <c r="AD35" s="26">
        <f>'ABA'!AD35+'BK'!AD35+'BW'!AD35+'CED'!AD35+'HAB'!AD35+'HB'!AD35+'OD'!AD35+'HDN'!AD35+'KIN'!AD35+'LE'!AD35+'MER'!AD35+'NDN'!AD35+'SALT'!AD35+'SDN'!AD35+'SST'!AD35+'WH'!AD35+'FH'!AD35</f>
        <v/>
      </c>
      <c r="AE35" s="26">
        <f>'ABA'!AE35+'BK'!AE35+'BW'!AE35+'CED'!AE35+'HAB'!AE35+'HB'!AE35+'OD'!AE35+'HDN'!AE35+'KIN'!AE35+'LE'!AE35+'MER'!AE35+'NDN'!AE35+'SALT'!AE35+'SDN'!AE35+'SST'!AE35+'WH'!AE35+'FH'!AE35</f>
        <v/>
      </c>
      <c r="AF35" s="26">
        <f>'ABA'!AF35+'BK'!AF35+'BW'!AF35+'CED'!AF35+'HAB'!AF35+'HB'!AF35+'OD'!AF35+'HDN'!AF35+'KIN'!AF35+'LE'!AF35+'MER'!AF35+'NDN'!AF35+'SALT'!AF35+'SDN'!AF35+'SST'!AF35+'WH'!AF35+'FH'!AF35</f>
        <v/>
      </c>
      <c r="AG35" s="26">
        <f>'ABA'!AG35+'BK'!AG35+'BW'!AG35+'CED'!AG35+'HAB'!AG35+'HB'!AG35+'OD'!AG35+'HDN'!AG35+'KIN'!AG35+'LE'!AG35+'MER'!AG35+'NDN'!AG35+'SALT'!AG35+'SDN'!AG35+'SST'!AG35+'WH'!AG35+'FH'!AG35</f>
        <v/>
      </c>
      <c r="AH35" s="26">
        <f>'ABA'!AH35+'BK'!AH35+'BW'!AH35+'CED'!AH35+'HAB'!AH35+'HB'!AH35+'OD'!AH35+'HDN'!AH35+'KIN'!AH35+'LE'!AH35+'MER'!AH35+'NDN'!AH35+'SALT'!AH35+'SDN'!AH35+'SST'!AH35+'WH'!AH35+'FH'!AH35</f>
        <v/>
      </c>
      <c r="AI35" s="26">
        <f>'ABA'!AI35+'BK'!AI35+'BW'!AI35+'CED'!AI35+'HAB'!AI35+'HB'!AI35+'OD'!AI35+'HDN'!AI35+'KIN'!AI35+'LE'!AI35+'MER'!AI35+'NDN'!AI35+'SALT'!AI35+'SDN'!AI35+'SST'!AI35+'WH'!AI35+'FH'!AI35</f>
        <v/>
      </c>
      <c r="AJ35" s="26">
        <f>'ABA'!AJ35+'BK'!AJ35+'BW'!AJ35+'CED'!AJ35+'HAB'!AJ35+'HB'!AJ35+'OD'!AJ35+'HDN'!AJ35+'KIN'!AJ35+'LE'!AJ35+'MER'!AJ35+'NDN'!AJ35+'SALT'!AJ35+'SDN'!AJ35+'SST'!AJ35+'WH'!AJ35+'FH'!AJ35</f>
        <v/>
      </c>
      <c r="AK35" s="11">
        <f>IF(N35&lt;&gt;0,(AB35-N35)/ABS(N35),0)</f>
        <v/>
      </c>
      <c r="AL35" s="11">
        <f>IF(AB35&lt;&gt;0,(AJ35-AB35)/ABS(AB35),0)</f>
        <v/>
      </c>
    </row>
    <row r="36" ht="13" customHeight="1">
      <c r="A36" s="25" t="inlineStr">
        <is>
          <t xml:space="preserve">    Repairs &amp; Maintenance</t>
        </is>
      </c>
      <c r="B36" s="26">
        <f>'ABA'!B36+'BK'!B36+'BW'!B36+'CED'!B36+'HAB'!B36+'HB'!B36+'OD'!B36+'HDN'!B36+'KIN'!B36+'LE'!B36+'MER'!B36+'NDN'!B36+'SALT'!B36+'SDN'!B36+'SST'!B36+'WH'!B36+'FH'!B36</f>
        <v/>
      </c>
      <c r="C36" s="26">
        <f>'ABA'!C36+'BK'!C36+'BW'!C36+'CED'!C36+'HAB'!C36+'HB'!C36+'OD'!C36+'HDN'!C36+'KIN'!C36+'LE'!C36+'MER'!C36+'NDN'!C36+'SALT'!C36+'SDN'!C36+'SST'!C36+'WH'!C36+'FH'!C36</f>
        <v/>
      </c>
      <c r="D36" s="26">
        <f>'ABA'!D36+'BK'!D36+'BW'!D36+'CED'!D36+'HAB'!D36+'HB'!D36+'OD'!D36+'HDN'!D36+'KIN'!D36+'LE'!D36+'MER'!D36+'NDN'!D36+'SALT'!D36+'SDN'!D36+'SST'!D36+'WH'!D36+'FH'!D36</f>
        <v/>
      </c>
      <c r="E36" s="26">
        <f>'ABA'!E36+'BK'!E36+'BW'!E36+'CED'!E36+'HAB'!E36+'HB'!E36+'OD'!E36+'HDN'!E36+'KIN'!E36+'LE'!E36+'MER'!E36+'NDN'!E36+'SALT'!E36+'SDN'!E36+'SST'!E36+'WH'!E36+'FH'!E36</f>
        <v/>
      </c>
      <c r="F36" s="26">
        <f>'ABA'!F36+'BK'!F36+'BW'!F36+'CED'!F36+'HAB'!F36+'HB'!F36+'OD'!F36+'HDN'!F36+'KIN'!F36+'LE'!F36+'MER'!F36+'NDN'!F36+'SALT'!F36+'SDN'!F36+'SST'!F36+'WH'!F36+'FH'!F36</f>
        <v/>
      </c>
      <c r="G36" s="26">
        <f>'ABA'!G36+'BK'!G36+'BW'!G36+'CED'!G36+'HAB'!G36+'HB'!G36+'OD'!G36+'HDN'!G36+'KIN'!G36+'LE'!G36+'MER'!G36+'NDN'!G36+'SALT'!G36+'SDN'!G36+'SST'!G36+'WH'!G36+'FH'!G36</f>
        <v/>
      </c>
      <c r="H36" s="26">
        <f>'ABA'!H36+'BK'!H36+'BW'!H36+'CED'!H36+'HAB'!H36+'HB'!H36+'OD'!H36+'HDN'!H36+'KIN'!H36+'LE'!H36+'MER'!H36+'NDN'!H36+'SALT'!H36+'SDN'!H36+'SST'!H36+'WH'!H36+'FH'!H36</f>
        <v/>
      </c>
      <c r="I36" s="26">
        <f>'ABA'!I36+'BK'!I36+'BW'!I36+'CED'!I36+'HAB'!I36+'HB'!I36+'OD'!I36+'HDN'!I36+'KIN'!I36+'LE'!I36+'MER'!I36+'NDN'!I36+'SALT'!I36+'SDN'!I36+'SST'!I36+'WH'!I36+'FH'!I36</f>
        <v/>
      </c>
      <c r="J36" s="26">
        <f>'ABA'!J36+'BK'!J36+'BW'!J36+'CED'!J36+'HAB'!J36+'HB'!J36+'OD'!J36+'HDN'!J36+'KIN'!J36+'LE'!J36+'MER'!J36+'NDN'!J36+'SALT'!J36+'SDN'!J36+'SST'!J36+'WH'!J36+'FH'!J36</f>
        <v/>
      </c>
      <c r="K36" s="26">
        <f>'ABA'!K36+'BK'!K36+'BW'!K36+'CED'!K36+'HAB'!K36+'HB'!K36+'OD'!K36+'HDN'!K36+'KIN'!K36+'LE'!K36+'MER'!K36+'NDN'!K36+'SALT'!K36+'SDN'!K36+'SST'!K36+'WH'!K36+'FH'!K36</f>
        <v/>
      </c>
      <c r="L36" s="26">
        <f>'ABA'!L36+'BK'!L36+'BW'!L36+'CED'!L36+'HAB'!L36+'HB'!L36+'OD'!L36+'HDN'!L36+'KIN'!L36+'LE'!L36+'MER'!L36+'NDN'!L36+'SALT'!L36+'SDN'!L36+'SST'!L36+'WH'!L36+'FH'!L36</f>
        <v/>
      </c>
      <c r="M36" s="26">
        <f>'ABA'!M36+'BK'!M36+'BW'!M36+'CED'!M36+'HAB'!M36+'HB'!M36+'OD'!M36+'HDN'!M36+'KIN'!M36+'LE'!M36+'MER'!M36+'NDN'!M36+'SALT'!M36+'SDN'!M36+'SST'!M36+'WH'!M36+'FH'!M36</f>
        <v/>
      </c>
      <c r="N36" s="26">
        <f>'ABA'!N36+'BK'!N36+'BW'!N36+'CED'!N36+'HAB'!N36+'HB'!N36+'OD'!N36+'HDN'!N36+'KIN'!N36+'LE'!N36+'MER'!N36+'NDN'!N36+'SALT'!N36+'SDN'!N36+'SST'!N36+'WH'!N36+'FH'!N36</f>
        <v/>
      </c>
      <c r="O36" s="26">
        <f>'ABA'!O36+'BK'!O36+'BW'!O36+'CED'!O36+'HAB'!O36+'HB'!O36+'OD'!O36+'HDN'!O36+'KIN'!O36+'LE'!O36+'MER'!O36+'NDN'!O36+'SALT'!O36+'SDN'!O36+'SST'!O36+'WH'!O36+'FH'!O36</f>
        <v/>
      </c>
      <c r="P36" s="26">
        <f>'ABA'!P36+'BK'!P36+'BW'!P36+'CED'!P36+'HAB'!P36+'HB'!P36+'OD'!P36+'HDN'!P36+'KIN'!P36+'LE'!P36+'MER'!P36+'NDN'!P36+'SALT'!P36+'SDN'!P36+'SST'!P36+'WH'!P36+'FH'!P36</f>
        <v/>
      </c>
      <c r="Q36" s="26">
        <f>'ABA'!Q36+'BK'!Q36+'BW'!Q36+'CED'!Q36+'HAB'!Q36+'HB'!Q36+'OD'!Q36+'HDN'!Q36+'KIN'!Q36+'LE'!Q36+'MER'!Q36+'NDN'!Q36+'SALT'!Q36+'SDN'!Q36+'SST'!Q36+'WH'!Q36+'FH'!Q36</f>
        <v/>
      </c>
      <c r="R36" s="26">
        <f>'ABA'!R36+'BK'!R36+'BW'!R36+'CED'!R36+'HAB'!R36+'HB'!R36+'OD'!R36+'HDN'!R36+'KIN'!R36+'LE'!R36+'MER'!R36+'NDN'!R36+'SALT'!R36+'SDN'!R36+'SST'!R36+'WH'!R36+'FH'!R36</f>
        <v/>
      </c>
      <c r="S36" s="26">
        <f>'ABA'!S36+'BK'!S36+'BW'!S36+'CED'!S36+'HAB'!S36+'HB'!S36+'OD'!S36+'HDN'!S36+'KIN'!S36+'LE'!S36+'MER'!S36+'NDN'!S36+'SALT'!S36+'SDN'!S36+'SST'!S36+'WH'!S36+'FH'!S36</f>
        <v/>
      </c>
      <c r="T36" s="26">
        <f>'ABA'!T36+'BK'!T36+'BW'!T36+'CED'!T36+'HAB'!T36+'HB'!T36+'OD'!T36+'HDN'!T36+'KIN'!T36+'LE'!T36+'MER'!T36+'NDN'!T36+'SALT'!T36+'SDN'!T36+'SST'!T36+'WH'!T36+'FH'!T36</f>
        <v/>
      </c>
      <c r="U36" s="26">
        <f>'ABA'!U36+'BK'!U36+'BW'!U36+'CED'!U36+'HAB'!U36+'HB'!U36+'OD'!U36+'HDN'!U36+'KIN'!U36+'LE'!U36+'MER'!U36+'NDN'!U36+'SALT'!U36+'SDN'!U36+'SST'!U36+'WH'!U36+'FH'!U36</f>
        <v/>
      </c>
      <c r="V36" s="26">
        <f>'ABA'!V36+'BK'!V36+'BW'!V36+'CED'!V36+'HAB'!V36+'HB'!V36+'OD'!V36+'HDN'!V36+'KIN'!V36+'LE'!V36+'MER'!V36+'NDN'!V36+'SALT'!V36+'SDN'!V36+'SST'!V36+'WH'!V36+'FH'!V36</f>
        <v/>
      </c>
      <c r="W36" s="26">
        <f>'ABA'!W36+'BK'!W36+'BW'!W36+'CED'!W36+'HAB'!W36+'HB'!W36+'OD'!W36+'HDN'!W36+'KIN'!W36+'LE'!W36+'MER'!W36+'NDN'!W36+'SALT'!W36+'SDN'!W36+'SST'!W36+'WH'!W36+'FH'!W36</f>
        <v/>
      </c>
      <c r="X36" s="26">
        <f>'ABA'!X36+'BK'!X36+'BW'!X36+'CED'!X36+'HAB'!X36+'HB'!X36+'OD'!X36+'HDN'!X36+'KIN'!X36+'LE'!X36+'MER'!X36+'NDN'!X36+'SALT'!X36+'SDN'!X36+'SST'!X36+'WH'!X36+'FH'!X36</f>
        <v/>
      </c>
      <c r="Y36" s="26">
        <f>'ABA'!Y36+'BK'!Y36+'BW'!Y36+'CED'!Y36+'HAB'!Y36+'HB'!Y36+'OD'!Y36+'HDN'!Y36+'KIN'!Y36+'LE'!Y36+'MER'!Y36+'NDN'!Y36+'SALT'!Y36+'SDN'!Y36+'SST'!Y36+'WH'!Y36+'FH'!Y36</f>
        <v/>
      </c>
      <c r="Z36" s="26">
        <f>'ABA'!Z36+'BK'!Z36+'BW'!Z36+'CED'!Z36+'HAB'!Z36+'HB'!Z36+'OD'!Z36+'HDN'!Z36+'KIN'!Z36+'LE'!Z36+'MER'!Z36+'NDN'!Z36+'SALT'!Z36+'SDN'!Z36+'SST'!Z36+'WH'!Z36+'FH'!Z36</f>
        <v/>
      </c>
      <c r="AA36" s="26">
        <f>'ABA'!AA36+'BK'!AA36+'BW'!AA36+'CED'!AA36+'HAB'!AA36+'HB'!AA36+'OD'!AA36+'HDN'!AA36+'KIN'!AA36+'LE'!AA36+'MER'!AA36+'NDN'!AA36+'SALT'!AA36+'SDN'!AA36+'SST'!AA36+'WH'!AA36+'FH'!AA36</f>
        <v/>
      </c>
      <c r="AB36" s="26">
        <f>'ABA'!AB36+'BK'!AB36+'BW'!AB36+'CED'!AB36+'HAB'!AB36+'HB'!AB36+'OD'!AB36+'HDN'!AB36+'KIN'!AB36+'LE'!AB36+'MER'!AB36+'NDN'!AB36+'SALT'!AB36+'SDN'!AB36+'SST'!AB36+'WH'!AB36+'FH'!AB36</f>
        <v/>
      </c>
      <c r="AC36" s="26">
        <f>'ABA'!AC36+'BK'!AC36+'BW'!AC36+'CED'!AC36+'HAB'!AC36+'HB'!AC36+'OD'!AC36+'HDN'!AC36+'KIN'!AC36+'LE'!AC36+'MER'!AC36+'NDN'!AC36+'SALT'!AC36+'SDN'!AC36+'SST'!AC36+'WH'!AC36+'FH'!AC36</f>
        <v/>
      </c>
      <c r="AD36" s="26">
        <f>'ABA'!AD36+'BK'!AD36+'BW'!AD36+'CED'!AD36+'HAB'!AD36+'HB'!AD36+'OD'!AD36+'HDN'!AD36+'KIN'!AD36+'LE'!AD36+'MER'!AD36+'NDN'!AD36+'SALT'!AD36+'SDN'!AD36+'SST'!AD36+'WH'!AD36+'FH'!AD36</f>
        <v/>
      </c>
      <c r="AE36" s="26">
        <f>'ABA'!AE36+'BK'!AE36+'BW'!AE36+'CED'!AE36+'HAB'!AE36+'HB'!AE36+'OD'!AE36+'HDN'!AE36+'KIN'!AE36+'LE'!AE36+'MER'!AE36+'NDN'!AE36+'SALT'!AE36+'SDN'!AE36+'SST'!AE36+'WH'!AE36+'FH'!AE36</f>
        <v/>
      </c>
      <c r="AF36" s="26">
        <f>'ABA'!AF36+'BK'!AF36+'BW'!AF36+'CED'!AF36+'HAB'!AF36+'HB'!AF36+'OD'!AF36+'HDN'!AF36+'KIN'!AF36+'LE'!AF36+'MER'!AF36+'NDN'!AF36+'SALT'!AF36+'SDN'!AF36+'SST'!AF36+'WH'!AF36+'FH'!AF36</f>
        <v/>
      </c>
      <c r="AG36" s="26">
        <f>'ABA'!AG36+'BK'!AG36+'BW'!AG36+'CED'!AG36+'HAB'!AG36+'HB'!AG36+'OD'!AG36+'HDN'!AG36+'KIN'!AG36+'LE'!AG36+'MER'!AG36+'NDN'!AG36+'SALT'!AG36+'SDN'!AG36+'SST'!AG36+'WH'!AG36+'FH'!AG36</f>
        <v/>
      </c>
      <c r="AH36" s="26">
        <f>'ABA'!AH36+'BK'!AH36+'BW'!AH36+'CED'!AH36+'HAB'!AH36+'HB'!AH36+'OD'!AH36+'HDN'!AH36+'KIN'!AH36+'LE'!AH36+'MER'!AH36+'NDN'!AH36+'SALT'!AH36+'SDN'!AH36+'SST'!AH36+'WH'!AH36+'FH'!AH36</f>
        <v/>
      </c>
      <c r="AI36" s="26">
        <f>'ABA'!AI36+'BK'!AI36+'BW'!AI36+'CED'!AI36+'HAB'!AI36+'HB'!AI36+'OD'!AI36+'HDN'!AI36+'KIN'!AI36+'LE'!AI36+'MER'!AI36+'NDN'!AI36+'SALT'!AI36+'SDN'!AI36+'SST'!AI36+'WH'!AI36+'FH'!AI36</f>
        <v/>
      </c>
      <c r="AJ36" s="26">
        <f>'ABA'!AJ36+'BK'!AJ36+'BW'!AJ36+'CED'!AJ36+'HAB'!AJ36+'HB'!AJ36+'OD'!AJ36+'HDN'!AJ36+'KIN'!AJ36+'LE'!AJ36+'MER'!AJ36+'NDN'!AJ36+'SALT'!AJ36+'SDN'!AJ36+'SST'!AJ36+'WH'!AJ36+'FH'!AJ36</f>
        <v/>
      </c>
      <c r="AK36" s="11">
        <f>IF(N36&lt;&gt;0,(AB36-N36)/ABS(N36),0)</f>
        <v/>
      </c>
      <c r="AL36" s="11">
        <f>IF(AB36&lt;&gt;0,(AJ36-AB36)/ABS(AB36),0)</f>
        <v/>
      </c>
    </row>
    <row r="37" ht="13" customHeight="1">
      <c r="A37" s="25" t="inlineStr">
        <is>
          <t xml:space="preserve">    Cleaning</t>
        </is>
      </c>
      <c r="B37" s="26">
        <f>'ABA'!B37+'BK'!B37+'BW'!B37+'CED'!B37+'HAB'!B37+'HB'!B37+'OD'!B37+'HDN'!B37+'KIN'!B37+'LE'!B37+'MER'!B37+'NDN'!B37+'SALT'!B37+'SDN'!B37+'SST'!B37+'WH'!B37+'FH'!B37</f>
        <v/>
      </c>
      <c r="C37" s="26">
        <f>'ABA'!C37+'BK'!C37+'BW'!C37+'CED'!C37+'HAB'!C37+'HB'!C37+'OD'!C37+'HDN'!C37+'KIN'!C37+'LE'!C37+'MER'!C37+'NDN'!C37+'SALT'!C37+'SDN'!C37+'SST'!C37+'WH'!C37+'FH'!C37</f>
        <v/>
      </c>
      <c r="D37" s="26">
        <f>'ABA'!D37+'BK'!D37+'BW'!D37+'CED'!D37+'HAB'!D37+'HB'!D37+'OD'!D37+'HDN'!D37+'KIN'!D37+'LE'!D37+'MER'!D37+'NDN'!D37+'SALT'!D37+'SDN'!D37+'SST'!D37+'WH'!D37+'FH'!D37</f>
        <v/>
      </c>
      <c r="E37" s="26">
        <f>'ABA'!E37+'BK'!E37+'BW'!E37+'CED'!E37+'HAB'!E37+'HB'!E37+'OD'!E37+'HDN'!E37+'KIN'!E37+'LE'!E37+'MER'!E37+'NDN'!E37+'SALT'!E37+'SDN'!E37+'SST'!E37+'WH'!E37+'FH'!E37</f>
        <v/>
      </c>
      <c r="F37" s="26">
        <f>'ABA'!F37+'BK'!F37+'BW'!F37+'CED'!F37+'HAB'!F37+'HB'!F37+'OD'!F37+'HDN'!F37+'KIN'!F37+'LE'!F37+'MER'!F37+'NDN'!F37+'SALT'!F37+'SDN'!F37+'SST'!F37+'WH'!F37+'FH'!F37</f>
        <v/>
      </c>
      <c r="G37" s="26">
        <f>'ABA'!G37+'BK'!G37+'BW'!G37+'CED'!G37+'HAB'!G37+'HB'!G37+'OD'!G37+'HDN'!G37+'KIN'!G37+'LE'!G37+'MER'!G37+'NDN'!G37+'SALT'!G37+'SDN'!G37+'SST'!G37+'WH'!G37+'FH'!G37</f>
        <v/>
      </c>
      <c r="H37" s="26">
        <f>'ABA'!H37+'BK'!H37+'BW'!H37+'CED'!H37+'HAB'!H37+'HB'!H37+'OD'!H37+'HDN'!H37+'KIN'!H37+'LE'!H37+'MER'!H37+'NDN'!H37+'SALT'!H37+'SDN'!H37+'SST'!H37+'WH'!H37+'FH'!H37</f>
        <v/>
      </c>
      <c r="I37" s="26">
        <f>'ABA'!I37+'BK'!I37+'BW'!I37+'CED'!I37+'HAB'!I37+'HB'!I37+'OD'!I37+'HDN'!I37+'KIN'!I37+'LE'!I37+'MER'!I37+'NDN'!I37+'SALT'!I37+'SDN'!I37+'SST'!I37+'WH'!I37+'FH'!I37</f>
        <v/>
      </c>
      <c r="J37" s="26">
        <f>'ABA'!J37+'BK'!J37+'BW'!J37+'CED'!J37+'HAB'!J37+'HB'!J37+'OD'!J37+'HDN'!J37+'KIN'!J37+'LE'!J37+'MER'!J37+'NDN'!J37+'SALT'!J37+'SDN'!J37+'SST'!J37+'WH'!J37+'FH'!J37</f>
        <v/>
      </c>
      <c r="K37" s="26">
        <f>'ABA'!K37+'BK'!K37+'BW'!K37+'CED'!K37+'HAB'!K37+'HB'!K37+'OD'!K37+'HDN'!K37+'KIN'!K37+'LE'!K37+'MER'!K37+'NDN'!K37+'SALT'!K37+'SDN'!K37+'SST'!K37+'WH'!K37+'FH'!K37</f>
        <v/>
      </c>
      <c r="L37" s="26">
        <f>'ABA'!L37+'BK'!L37+'BW'!L37+'CED'!L37+'HAB'!L37+'HB'!L37+'OD'!L37+'HDN'!L37+'KIN'!L37+'LE'!L37+'MER'!L37+'NDN'!L37+'SALT'!L37+'SDN'!L37+'SST'!L37+'WH'!L37+'FH'!L37</f>
        <v/>
      </c>
      <c r="M37" s="26">
        <f>'ABA'!M37+'BK'!M37+'BW'!M37+'CED'!M37+'HAB'!M37+'HB'!M37+'OD'!M37+'HDN'!M37+'KIN'!M37+'LE'!M37+'MER'!M37+'NDN'!M37+'SALT'!M37+'SDN'!M37+'SST'!M37+'WH'!M37+'FH'!M37</f>
        <v/>
      </c>
      <c r="N37" s="26">
        <f>'ABA'!N37+'BK'!N37+'BW'!N37+'CED'!N37+'HAB'!N37+'HB'!N37+'OD'!N37+'HDN'!N37+'KIN'!N37+'LE'!N37+'MER'!N37+'NDN'!N37+'SALT'!N37+'SDN'!N37+'SST'!N37+'WH'!N37+'FH'!N37</f>
        <v/>
      </c>
      <c r="O37" s="26">
        <f>'ABA'!O37+'BK'!O37+'BW'!O37+'CED'!O37+'HAB'!O37+'HB'!O37+'OD'!O37+'HDN'!O37+'KIN'!O37+'LE'!O37+'MER'!O37+'NDN'!O37+'SALT'!O37+'SDN'!O37+'SST'!O37+'WH'!O37+'FH'!O37</f>
        <v/>
      </c>
      <c r="P37" s="26">
        <f>'ABA'!P37+'BK'!P37+'BW'!P37+'CED'!P37+'HAB'!P37+'HB'!P37+'OD'!P37+'HDN'!P37+'KIN'!P37+'LE'!P37+'MER'!P37+'NDN'!P37+'SALT'!P37+'SDN'!P37+'SST'!P37+'WH'!P37+'FH'!P37</f>
        <v/>
      </c>
      <c r="Q37" s="26">
        <f>'ABA'!Q37+'BK'!Q37+'BW'!Q37+'CED'!Q37+'HAB'!Q37+'HB'!Q37+'OD'!Q37+'HDN'!Q37+'KIN'!Q37+'LE'!Q37+'MER'!Q37+'NDN'!Q37+'SALT'!Q37+'SDN'!Q37+'SST'!Q37+'WH'!Q37+'FH'!Q37</f>
        <v/>
      </c>
      <c r="R37" s="26">
        <f>'ABA'!R37+'BK'!R37+'BW'!R37+'CED'!R37+'HAB'!R37+'HB'!R37+'OD'!R37+'HDN'!R37+'KIN'!R37+'LE'!R37+'MER'!R37+'NDN'!R37+'SALT'!R37+'SDN'!R37+'SST'!R37+'WH'!R37+'FH'!R37</f>
        <v/>
      </c>
      <c r="S37" s="26">
        <f>'ABA'!S37+'BK'!S37+'BW'!S37+'CED'!S37+'HAB'!S37+'HB'!S37+'OD'!S37+'HDN'!S37+'KIN'!S37+'LE'!S37+'MER'!S37+'NDN'!S37+'SALT'!S37+'SDN'!S37+'SST'!S37+'WH'!S37+'FH'!S37</f>
        <v/>
      </c>
      <c r="T37" s="26">
        <f>'ABA'!T37+'BK'!T37+'BW'!T37+'CED'!T37+'HAB'!T37+'HB'!T37+'OD'!T37+'HDN'!T37+'KIN'!T37+'LE'!T37+'MER'!T37+'NDN'!T37+'SALT'!T37+'SDN'!T37+'SST'!T37+'WH'!T37+'FH'!T37</f>
        <v/>
      </c>
      <c r="U37" s="26">
        <f>'ABA'!U37+'BK'!U37+'BW'!U37+'CED'!U37+'HAB'!U37+'HB'!U37+'OD'!U37+'HDN'!U37+'KIN'!U37+'LE'!U37+'MER'!U37+'NDN'!U37+'SALT'!U37+'SDN'!U37+'SST'!U37+'WH'!U37+'FH'!U37</f>
        <v/>
      </c>
      <c r="V37" s="26">
        <f>'ABA'!V37+'BK'!V37+'BW'!V37+'CED'!V37+'HAB'!V37+'HB'!V37+'OD'!V37+'HDN'!V37+'KIN'!V37+'LE'!V37+'MER'!V37+'NDN'!V37+'SALT'!V37+'SDN'!V37+'SST'!V37+'WH'!V37+'FH'!V37</f>
        <v/>
      </c>
      <c r="W37" s="26">
        <f>'ABA'!W37+'BK'!W37+'BW'!W37+'CED'!W37+'HAB'!W37+'HB'!W37+'OD'!W37+'HDN'!W37+'KIN'!W37+'LE'!W37+'MER'!W37+'NDN'!W37+'SALT'!W37+'SDN'!W37+'SST'!W37+'WH'!W37+'FH'!W37</f>
        <v/>
      </c>
      <c r="X37" s="26">
        <f>'ABA'!X37+'BK'!X37+'BW'!X37+'CED'!X37+'HAB'!X37+'HB'!X37+'OD'!X37+'HDN'!X37+'KIN'!X37+'LE'!X37+'MER'!X37+'NDN'!X37+'SALT'!X37+'SDN'!X37+'SST'!X37+'WH'!X37+'FH'!X37</f>
        <v/>
      </c>
      <c r="Y37" s="26">
        <f>'ABA'!Y37+'BK'!Y37+'BW'!Y37+'CED'!Y37+'HAB'!Y37+'HB'!Y37+'OD'!Y37+'HDN'!Y37+'KIN'!Y37+'LE'!Y37+'MER'!Y37+'NDN'!Y37+'SALT'!Y37+'SDN'!Y37+'SST'!Y37+'WH'!Y37+'FH'!Y37</f>
        <v/>
      </c>
      <c r="Z37" s="26">
        <f>'ABA'!Z37+'BK'!Z37+'BW'!Z37+'CED'!Z37+'HAB'!Z37+'HB'!Z37+'OD'!Z37+'HDN'!Z37+'KIN'!Z37+'LE'!Z37+'MER'!Z37+'NDN'!Z37+'SALT'!Z37+'SDN'!Z37+'SST'!Z37+'WH'!Z37+'FH'!Z37</f>
        <v/>
      </c>
      <c r="AA37" s="26">
        <f>'ABA'!AA37+'BK'!AA37+'BW'!AA37+'CED'!AA37+'HAB'!AA37+'HB'!AA37+'OD'!AA37+'HDN'!AA37+'KIN'!AA37+'LE'!AA37+'MER'!AA37+'NDN'!AA37+'SALT'!AA37+'SDN'!AA37+'SST'!AA37+'WH'!AA37+'FH'!AA37</f>
        <v/>
      </c>
      <c r="AB37" s="26">
        <f>'ABA'!AB37+'BK'!AB37+'BW'!AB37+'CED'!AB37+'HAB'!AB37+'HB'!AB37+'OD'!AB37+'HDN'!AB37+'KIN'!AB37+'LE'!AB37+'MER'!AB37+'NDN'!AB37+'SALT'!AB37+'SDN'!AB37+'SST'!AB37+'WH'!AB37+'FH'!AB37</f>
        <v/>
      </c>
      <c r="AC37" s="26">
        <f>'ABA'!AC37+'BK'!AC37+'BW'!AC37+'CED'!AC37+'HAB'!AC37+'HB'!AC37+'OD'!AC37+'HDN'!AC37+'KIN'!AC37+'LE'!AC37+'MER'!AC37+'NDN'!AC37+'SALT'!AC37+'SDN'!AC37+'SST'!AC37+'WH'!AC37+'FH'!AC37</f>
        <v/>
      </c>
      <c r="AD37" s="26">
        <f>'ABA'!AD37+'BK'!AD37+'BW'!AD37+'CED'!AD37+'HAB'!AD37+'HB'!AD37+'OD'!AD37+'HDN'!AD37+'KIN'!AD37+'LE'!AD37+'MER'!AD37+'NDN'!AD37+'SALT'!AD37+'SDN'!AD37+'SST'!AD37+'WH'!AD37+'FH'!AD37</f>
        <v/>
      </c>
      <c r="AE37" s="26">
        <f>'ABA'!AE37+'BK'!AE37+'BW'!AE37+'CED'!AE37+'HAB'!AE37+'HB'!AE37+'OD'!AE37+'HDN'!AE37+'KIN'!AE37+'LE'!AE37+'MER'!AE37+'NDN'!AE37+'SALT'!AE37+'SDN'!AE37+'SST'!AE37+'WH'!AE37+'FH'!AE37</f>
        <v/>
      </c>
      <c r="AF37" s="26">
        <f>'ABA'!AF37+'BK'!AF37+'BW'!AF37+'CED'!AF37+'HAB'!AF37+'HB'!AF37+'OD'!AF37+'HDN'!AF37+'KIN'!AF37+'LE'!AF37+'MER'!AF37+'NDN'!AF37+'SALT'!AF37+'SDN'!AF37+'SST'!AF37+'WH'!AF37+'FH'!AF37</f>
        <v/>
      </c>
      <c r="AG37" s="26">
        <f>'ABA'!AG37+'BK'!AG37+'BW'!AG37+'CED'!AG37+'HAB'!AG37+'HB'!AG37+'OD'!AG37+'HDN'!AG37+'KIN'!AG37+'LE'!AG37+'MER'!AG37+'NDN'!AG37+'SALT'!AG37+'SDN'!AG37+'SST'!AG37+'WH'!AG37+'FH'!AG37</f>
        <v/>
      </c>
      <c r="AH37" s="26">
        <f>'ABA'!AH37+'BK'!AH37+'BW'!AH37+'CED'!AH37+'HAB'!AH37+'HB'!AH37+'OD'!AH37+'HDN'!AH37+'KIN'!AH37+'LE'!AH37+'MER'!AH37+'NDN'!AH37+'SALT'!AH37+'SDN'!AH37+'SST'!AH37+'WH'!AH37+'FH'!AH37</f>
        <v/>
      </c>
      <c r="AI37" s="26">
        <f>'ABA'!AI37+'BK'!AI37+'BW'!AI37+'CED'!AI37+'HAB'!AI37+'HB'!AI37+'OD'!AI37+'HDN'!AI37+'KIN'!AI37+'LE'!AI37+'MER'!AI37+'NDN'!AI37+'SALT'!AI37+'SDN'!AI37+'SST'!AI37+'WH'!AI37+'FH'!AI37</f>
        <v/>
      </c>
      <c r="AJ37" s="26">
        <f>'ABA'!AJ37+'BK'!AJ37+'BW'!AJ37+'CED'!AJ37+'HAB'!AJ37+'HB'!AJ37+'OD'!AJ37+'HDN'!AJ37+'KIN'!AJ37+'LE'!AJ37+'MER'!AJ37+'NDN'!AJ37+'SALT'!AJ37+'SDN'!AJ37+'SST'!AJ37+'WH'!AJ37+'FH'!AJ37</f>
        <v/>
      </c>
      <c r="AK37" s="11">
        <f>IF(N37&lt;&gt;0,(AB37-N37)/ABS(N37),0)</f>
        <v/>
      </c>
      <c r="AL37" s="11">
        <f>IF(AB37&lt;&gt;0,(AJ37-AB37)/ABS(AB37),0)</f>
        <v/>
      </c>
    </row>
    <row r="38" ht="13" customHeight="1">
      <c r="A38" s="25" t="inlineStr">
        <is>
          <t xml:space="preserve">    Waste Disposal</t>
        </is>
      </c>
      <c r="B38" s="26">
        <f>'ABA'!B38+'BK'!B38+'BW'!B38+'CED'!B38+'HAB'!B38+'HB'!B38+'OD'!B38+'HDN'!B38+'KIN'!B38+'LE'!B38+'MER'!B38+'NDN'!B38+'SALT'!B38+'SDN'!B38+'SST'!B38+'WH'!B38+'FH'!B38</f>
        <v/>
      </c>
      <c r="C38" s="26">
        <f>'ABA'!C38+'BK'!C38+'BW'!C38+'CED'!C38+'HAB'!C38+'HB'!C38+'OD'!C38+'HDN'!C38+'KIN'!C38+'LE'!C38+'MER'!C38+'NDN'!C38+'SALT'!C38+'SDN'!C38+'SST'!C38+'WH'!C38+'FH'!C38</f>
        <v/>
      </c>
      <c r="D38" s="26">
        <f>'ABA'!D38+'BK'!D38+'BW'!D38+'CED'!D38+'HAB'!D38+'HB'!D38+'OD'!D38+'HDN'!D38+'KIN'!D38+'LE'!D38+'MER'!D38+'NDN'!D38+'SALT'!D38+'SDN'!D38+'SST'!D38+'WH'!D38+'FH'!D38</f>
        <v/>
      </c>
      <c r="E38" s="26">
        <f>'ABA'!E38+'BK'!E38+'BW'!E38+'CED'!E38+'HAB'!E38+'HB'!E38+'OD'!E38+'HDN'!E38+'KIN'!E38+'LE'!E38+'MER'!E38+'NDN'!E38+'SALT'!E38+'SDN'!E38+'SST'!E38+'WH'!E38+'FH'!E38</f>
        <v/>
      </c>
      <c r="F38" s="26">
        <f>'ABA'!F38+'BK'!F38+'BW'!F38+'CED'!F38+'HAB'!F38+'HB'!F38+'OD'!F38+'HDN'!F38+'KIN'!F38+'LE'!F38+'MER'!F38+'NDN'!F38+'SALT'!F38+'SDN'!F38+'SST'!F38+'WH'!F38+'FH'!F38</f>
        <v/>
      </c>
      <c r="G38" s="26">
        <f>'ABA'!G38+'BK'!G38+'BW'!G38+'CED'!G38+'HAB'!G38+'HB'!G38+'OD'!G38+'HDN'!G38+'KIN'!G38+'LE'!G38+'MER'!G38+'NDN'!G38+'SALT'!G38+'SDN'!G38+'SST'!G38+'WH'!G38+'FH'!G38</f>
        <v/>
      </c>
      <c r="H38" s="26">
        <f>'ABA'!H38+'BK'!H38+'BW'!H38+'CED'!H38+'HAB'!H38+'HB'!H38+'OD'!H38+'HDN'!H38+'KIN'!H38+'LE'!H38+'MER'!H38+'NDN'!H38+'SALT'!H38+'SDN'!H38+'SST'!H38+'WH'!H38+'FH'!H38</f>
        <v/>
      </c>
      <c r="I38" s="26">
        <f>'ABA'!I38+'BK'!I38+'BW'!I38+'CED'!I38+'HAB'!I38+'HB'!I38+'OD'!I38+'HDN'!I38+'KIN'!I38+'LE'!I38+'MER'!I38+'NDN'!I38+'SALT'!I38+'SDN'!I38+'SST'!I38+'WH'!I38+'FH'!I38</f>
        <v/>
      </c>
      <c r="J38" s="26">
        <f>'ABA'!J38+'BK'!J38+'BW'!J38+'CED'!J38+'HAB'!J38+'HB'!J38+'OD'!J38+'HDN'!J38+'KIN'!J38+'LE'!J38+'MER'!J38+'NDN'!J38+'SALT'!J38+'SDN'!J38+'SST'!J38+'WH'!J38+'FH'!J38</f>
        <v/>
      </c>
      <c r="K38" s="26">
        <f>'ABA'!K38+'BK'!K38+'BW'!K38+'CED'!K38+'HAB'!K38+'HB'!K38+'OD'!K38+'HDN'!K38+'KIN'!K38+'LE'!K38+'MER'!K38+'NDN'!K38+'SALT'!K38+'SDN'!K38+'SST'!K38+'WH'!K38+'FH'!K38</f>
        <v/>
      </c>
      <c r="L38" s="26">
        <f>'ABA'!L38+'BK'!L38+'BW'!L38+'CED'!L38+'HAB'!L38+'HB'!L38+'OD'!L38+'HDN'!L38+'KIN'!L38+'LE'!L38+'MER'!L38+'NDN'!L38+'SALT'!L38+'SDN'!L38+'SST'!L38+'WH'!L38+'FH'!L38</f>
        <v/>
      </c>
      <c r="M38" s="26">
        <f>'ABA'!M38+'BK'!M38+'BW'!M38+'CED'!M38+'HAB'!M38+'HB'!M38+'OD'!M38+'HDN'!M38+'KIN'!M38+'LE'!M38+'MER'!M38+'NDN'!M38+'SALT'!M38+'SDN'!M38+'SST'!M38+'WH'!M38+'FH'!M38</f>
        <v/>
      </c>
      <c r="N38" s="26">
        <f>'ABA'!N38+'BK'!N38+'BW'!N38+'CED'!N38+'HAB'!N38+'HB'!N38+'OD'!N38+'HDN'!N38+'KIN'!N38+'LE'!N38+'MER'!N38+'NDN'!N38+'SALT'!N38+'SDN'!N38+'SST'!N38+'WH'!N38+'FH'!N38</f>
        <v/>
      </c>
      <c r="O38" s="26">
        <f>'ABA'!O38+'BK'!O38+'BW'!O38+'CED'!O38+'HAB'!O38+'HB'!O38+'OD'!O38+'HDN'!O38+'KIN'!O38+'LE'!O38+'MER'!O38+'NDN'!O38+'SALT'!O38+'SDN'!O38+'SST'!O38+'WH'!O38+'FH'!O38</f>
        <v/>
      </c>
      <c r="P38" s="26">
        <f>'ABA'!P38+'BK'!P38+'BW'!P38+'CED'!P38+'HAB'!P38+'HB'!P38+'OD'!P38+'HDN'!P38+'KIN'!P38+'LE'!P38+'MER'!P38+'NDN'!P38+'SALT'!P38+'SDN'!P38+'SST'!P38+'WH'!P38+'FH'!P38</f>
        <v/>
      </c>
      <c r="Q38" s="26">
        <f>'ABA'!Q38+'BK'!Q38+'BW'!Q38+'CED'!Q38+'HAB'!Q38+'HB'!Q38+'OD'!Q38+'HDN'!Q38+'KIN'!Q38+'LE'!Q38+'MER'!Q38+'NDN'!Q38+'SALT'!Q38+'SDN'!Q38+'SST'!Q38+'WH'!Q38+'FH'!Q38</f>
        <v/>
      </c>
      <c r="R38" s="26">
        <f>'ABA'!R38+'BK'!R38+'BW'!R38+'CED'!R38+'HAB'!R38+'HB'!R38+'OD'!R38+'HDN'!R38+'KIN'!R38+'LE'!R38+'MER'!R38+'NDN'!R38+'SALT'!R38+'SDN'!R38+'SST'!R38+'WH'!R38+'FH'!R38</f>
        <v/>
      </c>
      <c r="S38" s="26">
        <f>'ABA'!S38+'BK'!S38+'BW'!S38+'CED'!S38+'HAB'!S38+'HB'!S38+'OD'!S38+'HDN'!S38+'KIN'!S38+'LE'!S38+'MER'!S38+'NDN'!S38+'SALT'!S38+'SDN'!S38+'SST'!S38+'WH'!S38+'FH'!S38</f>
        <v/>
      </c>
      <c r="T38" s="26">
        <f>'ABA'!T38+'BK'!T38+'BW'!T38+'CED'!T38+'HAB'!T38+'HB'!T38+'OD'!T38+'HDN'!T38+'KIN'!T38+'LE'!T38+'MER'!T38+'NDN'!T38+'SALT'!T38+'SDN'!T38+'SST'!T38+'WH'!T38+'FH'!T38</f>
        <v/>
      </c>
      <c r="U38" s="26">
        <f>'ABA'!U38+'BK'!U38+'BW'!U38+'CED'!U38+'HAB'!U38+'HB'!U38+'OD'!U38+'HDN'!U38+'KIN'!U38+'LE'!U38+'MER'!U38+'NDN'!U38+'SALT'!U38+'SDN'!U38+'SST'!U38+'WH'!U38+'FH'!U38</f>
        <v/>
      </c>
      <c r="V38" s="26">
        <f>'ABA'!V38+'BK'!V38+'BW'!V38+'CED'!V38+'HAB'!V38+'HB'!V38+'OD'!V38+'HDN'!V38+'KIN'!V38+'LE'!V38+'MER'!V38+'NDN'!V38+'SALT'!V38+'SDN'!V38+'SST'!V38+'WH'!V38+'FH'!V38</f>
        <v/>
      </c>
      <c r="W38" s="26">
        <f>'ABA'!W38+'BK'!W38+'BW'!W38+'CED'!W38+'HAB'!W38+'HB'!W38+'OD'!W38+'HDN'!W38+'KIN'!W38+'LE'!W38+'MER'!W38+'NDN'!W38+'SALT'!W38+'SDN'!W38+'SST'!W38+'WH'!W38+'FH'!W38</f>
        <v/>
      </c>
      <c r="X38" s="26">
        <f>'ABA'!X38+'BK'!X38+'BW'!X38+'CED'!X38+'HAB'!X38+'HB'!X38+'OD'!X38+'HDN'!X38+'KIN'!X38+'LE'!X38+'MER'!X38+'NDN'!X38+'SALT'!X38+'SDN'!X38+'SST'!X38+'WH'!X38+'FH'!X38</f>
        <v/>
      </c>
      <c r="Y38" s="26">
        <f>'ABA'!Y38+'BK'!Y38+'BW'!Y38+'CED'!Y38+'HAB'!Y38+'HB'!Y38+'OD'!Y38+'HDN'!Y38+'KIN'!Y38+'LE'!Y38+'MER'!Y38+'NDN'!Y38+'SALT'!Y38+'SDN'!Y38+'SST'!Y38+'WH'!Y38+'FH'!Y38</f>
        <v/>
      </c>
      <c r="Z38" s="26">
        <f>'ABA'!Z38+'BK'!Z38+'BW'!Z38+'CED'!Z38+'HAB'!Z38+'HB'!Z38+'OD'!Z38+'HDN'!Z38+'KIN'!Z38+'LE'!Z38+'MER'!Z38+'NDN'!Z38+'SALT'!Z38+'SDN'!Z38+'SST'!Z38+'WH'!Z38+'FH'!Z38</f>
        <v/>
      </c>
      <c r="AA38" s="26">
        <f>'ABA'!AA38+'BK'!AA38+'BW'!AA38+'CED'!AA38+'HAB'!AA38+'HB'!AA38+'OD'!AA38+'HDN'!AA38+'KIN'!AA38+'LE'!AA38+'MER'!AA38+'NDN'!AA38+'SALT'!AA38+'SDN'!AA38+'SST'!AA38+'WH'!AA38+'FH'!AA38</f>
        <v/>
      </c>
      <c r="AB38" s="26">
        <f>'ABA'!AB38+'BK'!AB38+'BW'!AB38+'CED'!AB38+'HAB'!AB38+'HB'!AB38+'OD'!AB38+'HDN'!AB38+'KIN'!AB38+'LE'!AB38+'MER'!AB38+'NDN'!AB38+'SALT'!AB38+'SDN'!AB38+'SST'!AB38+'WH'!AB38+'FH'!AB38</f>
        <v/>
      </c>
      <c r="AC38" s="26">
        <f>'ABA'!AC38+'BK'!AC38+'BW'!AC38+'CED'!AC38+'HAB'!AC38+'HB'!AC38+'OD'!AC38+'HDN'!AC38+'KIN'!AC38+'LE'!AC38+'MER'!AC38+'NDN'!AC38+'SALT'!AC38+'SDN'!AC38+'SST'!AC38+'WH'!AC38+'FH'!AC38</f>
        <v/>
      </c>
      <c r="AD38" s="26">
        <f>'ABA'!AD38+'BK'!AD38+'BW'!AD38+'CED'!AD38+'HAB'!AD38+'HB'!AD38+'OD'!AD38+'HDN'!AD38+'KIN'!AD38+'LE'!AD38+'MER'!AD38+'NDN'!AD38+'SALT'!AD38+'SDN'!AD38+'SST'!AD38+'WH'!AD38+'FH'!AD38</f>
        <v/>
      </c>
      <c r="AE38" s="26">
        <f>'ABA'!AE38+'BK'!AE38+'BW'!AE38+'CED'!AE38+'HAB'!AE38+'HB'!AE38+'OD'!AE38+'HDN'!AE38+'KIN'!AE38+'LE'!AE38+'MER'!AE38+'NDN'!AE38+'SALT'!AE38+'SDN'!AE38+'SST'!AE38+'WH'!AE38+'FH'!AE38</f>
        <v/>
      </c>
      <c r="AF38" s="26">
        <f>'ABA'!AF38+'BK'!AF38+'BW'!AF38+'CED'!AF38+'HAB'!AF38+'HB'!AF38+'OD'!AF38+'HDN'!AF38+'KIN'!AF38+'LE'!AF38+'MER'!AF38+'NDN'!AF38+'SALT'!AF38+'SDN'!AF38+'SST'!AF38+'WH'!AF38+'FH'!AF38</f>
        <v/>
      </c>
      <c r="AG38" s="26">
        <f>'ABA'!AG38+'BK'!AG38+'BW'!AG38+'CED'!AG38+'HAB'!AG38+'HB'!AG38+'OD'!AG38+'HDN'!AG38+'KIN'!AG38+'LE'!AG38+'MER'!AG38+'NDN'!AG38+'SALT'!AG38+'SDN'!AG38+'SST'!AG38+'WH'!AG38+'FH'!AG38</f>
        <v/>
      </c>
      <c r="AH38" s="26">
        <f>'ABA'!AH38+'BK'!AH38+'BW'!AH38+'CED'!AH38+'HAB'!AH38+'HB'!AH38+'OD'!AH38+'HDN'!AH38+'KIN'!AH38+'LE'!AH38+'MER'!AH38+'NDN'!AH38+'SALT'!AH38+'SDN'!AH38+'SST'!AH38+'WH'!AH38+'FH'!AH38</f>
        <v/>
      </c>
      <c r="AI38" s="26">
        <f>'ABA'!AI38+'BK'!AI38+'BW'!AI38+'CED'!AI38+'HAB'!AI38+'HB'!AI38+'OD'!AI38+'HDN'!AI38+'KIN'!AI38+'LE'!AI38+'MER'!AI38+'NDN'!AI38+'SALT'!AI38+'SDN'!AI38+'SST'!AI38+'WH'!AI38+'FH'!AI38</f>
        <v/>
      </c>
      <c r="AJ38" s="26">
        <f>'ABA'!AJ38+'BK'!AJ38+'BW'!AJ38+'CED'!AJ38+'HAB'!AJ38+'HB'!AJ38+'OD'!AJ38+'HDN'!AJ38+'KIN'!AJ38+'LE'!AJ38+'MER'!AJ38+'NDN'!AJ38+'SALT'!AJ38+'SDN'!AJ38+'SST'!AJ38+'WH'!AJ38+'FH'!AJ38</f>
        <v/>
      </c>
      <c r="AK38" s="11">
        <f>IF(N38&lt;&gt;0,(AB38-N38)/ABS(N38),0)</f>
        <v/>
      </c>
      <c r="AL38" s="11">
        <f>IF(AB38&lt;&gt;0,(AJ38-AB38)/ABS(AB38),0)</f>
        <v/>
      </c>
    </row>
    <row r="39" ht="13" customHeight="1">
      <c r="A39" s="25" t="inlineStr">
        <is>
          <t xml:space="preserve">    Postage/Printing/Stationery</t>
        </is>
      </c>
      <c r="B39" s="26">
        <f>'ABA'!B39+'BK'!B39+'BW'!B39+'CED'!B39+'HAB'!B39+'HB'!B39+'OD'!B39+'HDN'!B39+'KIN'!B39+'LE'!B39+'MER'!B39+'NDN'!B39+'SALT'!B39+'SDN'!B39+'SST'!B39+'WH'!B39+'FH'!B39</f>
        <v/>
      </c>
      <c r="C39" s="26">
        <f>'ABA'!C39+'BK'!C39+'BW'!C39+'CED'!C39+'HAB'!C39+'HB'!C39+'OD'!C39+'HDN'!C39+'KIN'!C39+'LE'!C39+'MER'!C39+'NDN'!C39+'SALT'!C39+'SDN'!C39+'SST'!C39+'WH'!C39+'FH'!C39</f>
        <v/>
      </c>
      <c r="D39" s="26">
        <f>'ABA'!D39+'BK'!D39+'BW'!D39+'CED'!D39+'HAB'!D39+'HB'!D39+'OD'!D39+'HDN'!D39+'KIN'!D39+'LE'!D39+'MER'!D39+'NDN'!D39+'SALT'!D39+'SDN'!D39+'SST'!D39+'WH'!D39+'FH'!D39</f>
        <v/>
      </c>
      <c r="E39" s="26">
        <f>'ABA'!E39+'BK'!E39+'BW'!E39+'CED'!E39+'HAB'!E39+'HB'!E39+'OD'!E39+'HDN'!E39+'KIN'!E39+'LE'!E39+'MER'!E39+'NDN'!E39+'SALT'!E39+'SDN'!E39+'SST'!E39+'WH'!E39+'FH'!E39</f>
        <v/>
      </c>
      <c r="F39" s="26">
        <f>'ABA'!F39+'BK'!F39+'BW'!F39+'CED'!F39+'HAB'!F39+'HB'!F39+'OD'!F39+'HDN'!F39+'KIN'!F39+'LE'!F39+'MER'!F39+'NDN'!F39+'SALT'!F39+'SDN'!F39+'SST'!F39+'WH'!F39+'FH'!F39</f>
        <v/>
      </c>
      <c r="G39" s="26">
        <f>'ABA'!G39+'BK'!G39+'BW'!G39+'CED'!G39+'HAB'!G39+'HB'!G39+'OD'!G39+'HDN'!G39+'KIN'!G39+'LE'!G39+'MER'!G39+'NDN'!G39+'SALT'!G39+'SDN'!G39+'SST'!G39+'WH'!G39+'FH'!G39</f>
        <v/>
      </c>
      <c r="H39" s="26">
        <f>'ABA'!H39+'BK'!H39+'BW'!H39+'CED'!H39+'HAB'!H39+'HB'!H39+'OD'!H39+'HDN'!H39+'KIN'!H39+'LE'!H39+'MER'!H39+'NDN'!H39+'SALT'!H39+'SDN'!H39+'SST'!H39+'WH'!H39+'FH'!H39</f>
        <v/>
      </c>
      <c r="I39" s="26">
        <f>'ABA'!I39+'BK'!I39+'BW'!I39+'CED'!I39+'HAB'!I39+'HB'!I39+'OD'!I39+'HDN'!I39+'KIN'!I39+'LE'!I39+'MER'!I39+'NDN'!I39+'SALT'!I39+'SDN'!I39+'SST'!I39+'WH'!I39+'FH'!I39</f>
        <v/>
      </c>
      <c r="J39" s="26">
        <f>'ABA'!J39+'BK'!J39+'BW'!J39+'CED'!J39+'HAB'!J39+'HB'!J39+'OD'!J39+'HDN'!J39+'KIN'!J39+'LE'!J39+'MER'!J39+'NDN'!J39+'SALT'!J39+'SDN'!J39+'SST'!J39+'WH'!J39+'FH'!J39</f>
        <v/>
      </c>
      <c r="K39" s="26">
        <f>'ABA'!K39+'BK'!K39+'BW'!K39+'CED'!K39+'HAB'!K39+'HB'!K39+'OD'!K39+'HDN'!K39+'KIN'!K39+'LE'!K39+'MER'!K39+'NDN'!K39+'SALT'!K39+'SDN'!K39+'SST'!K39+'WH'!K39+'FH'!K39</f>
        <v/>
      </c>
      <c r="L39" s="26">
        <f>'ABA'!L39+'BK'!L39+'BW'!L39+'CED'!L39+'HAB'!L39+'HB'!L39+'OD'!L39+'HDN'!L39+'KIN'!L39+'LE'!L39+'MER'!L39+'NDN'!L39+'SALT'!L39+'SDN'!L39+'SST'!L39+'WH'!L39+'FH'!L39</f>
        <v/>
      </c>
      <c r="M39" s="26">
        <f>'ABA'!M39+'BK'!M39+'BW'!M39+'CED'!M39+'HAB'!M39+'HB'!M39+'OD'!M39+'HDN'!M39+'KIN'!M39+'LE'!M39+'MER'!M39+'NDN'!M39+'SALT'!M39+'SDN'!M39+'SST'!M39+'WH'!M39+'FH'!M39</f>
        <v/>
      </c>
      <c r="N39" s="26">
        <f>'ABA'!N39+'BK'!N39+'BW'!N39+'CED'!N39+'HAB'!N39+'HB'!N39+'OD'!N39+'HDN'!N39+'KIN'!N39+'LE'!N39+'MER'!N39+'NDN'!N39+'SALT'!N39+'SDN'!N39+'SST'!N39+'WH'!N39+'FH'!N39</f>
        <v/>
      </c>
      <c r="O39" s="26">
        <f>'ABA'!O39+'BK'!O39+'BW'!O39+'CED'!O39+'HAB'!O39+'HB'!O39+'OD'!O39+'HDN'!O39+'KIN'!O39+'LE'!O39+'MER'!O39+'NDN'!O39+'SALT'!O39+'SDN'!O39+'SST'!O39+'WH'!O39+'FH'!O39</f>
        <v/>
      </c>
      <c r="P39" s="26">
        <f>'ABA'!P39+'BK'!P39+'BW'!P39+'CED'!P39+'HAB'!P39+'HB'!P39+'OD'!P39+'HDN'!P39+'KIN'!P39+'LE'!P39+'MER'!P39+'NDN'!P39+'SALT'!P39+'SDN'!P39+'SST'!P39+'WH'!P39+'FH'!P39</f>
        <v/>
      </c>
      <c r="Q39" s="26">
        <f>'ABA'!Q39+'BK'!Q39+'BW'!Q39+'CED'!Q39+'HAB'!Q39+'HB'!Q39+'OD'!Q39+'HDN'!Q39+'KIN'!Q39+'LE'!Q39+'MER'!Q39+'NDN'!Q39+'SALT'!Q39+'SDN'!Q39+'SST'!Q39+'WH'!Q39+'FH'!Q39</f>
        <v/>
      </c>
      <c r="R39" s="26">
        <f>'ABA'!R39+'BK'!R39+'BW'!R39+'CED'!R39+'HAB'!R39+'HB'!R39+'OD'!R39+'HDN'!R39+'KIN'!R39+'LE'!R39+'MER'!R39+'NDN'!R39+'SALT'!R39+'SDN'!R39+'SST'!R39+'WH'!R39+'FH'!R39</f>
        <v/>
      </c>
      <c r="S39" s="26">
        <f>'ABA'!S39+'BK'!S39+'BW'!S39+'CED'!S39+'HAB'!S39+'HB'!S39+'OD'!S39+'HDN'!S39+'KIN'!S39+'LE'!S39+'MER'!S39+'NDN'!S39+'SALT'!S39+'SDN'!S39+'SST'!S39+'WH'!S39+'FH'!S39</f>
        <v/>
      </c>
      <c r="T39" s="26">
        <f>'ABA'!T39+'BK'!T39+'BW'!T39+'CED'!T39+'HAB'!T39+'HB'!T39+'OD'!T39+'HDN'!T39+'KIN'!T39+'LE'!T39+'MER'!T39+'NDN'!T39+'SALT'!T39+'SDN'!T39+'SST'!T39+'WH'!T39+'FH'!T39</f>
        <v/>
      </c>
      <c r="U39" s="26">
        <f>'ABA'!U39+'BK'!U39+'BW'!U39+'CED'!U39+'HAB'!U39+'HB'!U39+'OD'!U39+'HDN'!U39+'KIN'!U39+'LE'!U39+'MER'!U39+'NDN'!U39+'SALT'!U39+'SDN'!U39+'SST'!U39+'WH'!U39+'FH'!U39</f>
        <v/>
      </c>
      <c r="V39" s="26">
        <f>'ABA'!V39+'BK'!V39+'BW'!V39+'CED'!V39+'HAB'!V39+'HB'!V39+'OD'!V39+'HDN'!V39+'KIN'!V39+'LE'!V39+'MER'!V39+'NDN'!V39+'SALT'!V39+'SDN'!V39+'SST'!V39+'WH'!V39+'FH'!V39</f>
        <v/>
      </c>
      <c r="W39" s="26">
        <f>'ABA'!W39+'BK'!W39+'BW'!W39+'CED'!W39+'HAB'!W39+'HB'!W39+'OD'!W39+'HDN'!W39+'KIN'!W39+'LE'!W39+'MER'!W39+'NDN'!W39+'SALT'!W39+'SDN'!W39+'SST'!W39+'WH'!W39+'FH'!W39</f>
        <v/>
      </c>
      <c r="X39" s="26">
        <f>'ABA'!X39+'BK'!X39+'BW'!X39+'CED'!X39+'HAB'!X39+'HB'!X39+'OD'!X39+'HDN'!X39+'KIN'!X39+'LE'!X39+'MER'!X39+'NDN'!X39+'SALT'!X39+'SDN'!X39+'SST'!X39+'WH'!X39+'FH'!X39</f>
        <v/>
      </c>
      <c r="Y39" s="26">
        <f>'ABA'!Y39+'BK'!Y39+'BW'!Y39+'CED'!Y39+'HAB'!Y39+'HB'!Y39+'OD'!Y39+'HDN'!Y39+'KIN'!Y39+'LE'!Y39+'MER'!Y39+'NDN'!Y39+'SALT'!Y39+'SDN'!Y39+'SST'!Y39+'WH'!Y39+'FH'!Y39</f>
        <v/>
      </c>
      <c r="Z39" s="26">
        <f>'ABA'!Z39+'BK'!Z39+'BW'!Z39+'CED'!Z39+'HAB'!Z39+'HB'!Z39+'OD'!Z39+'HDN'!Z39+'KIN'!Z39+'LE'!Z39+'MER'!Z39+'NDN'!Z39+'SALT'!Z39+'SDN'!Z39+'SST'!Z39+'WH'!Z39+'FH'!Z39</f>
        <v/>
      </c>
      <c r="AA39" s="26">
        <f>'ABA'!AA39+'BK'!AA39+'BW'!AA39+'CED'!AA39+'HAB'!AA39+'HB'!AA39+'OD'!AA39+'HDN'!AA39+'KIN'!AA39+'LE'!AA39+'MER'!AA39+'NDN'!AA39+'SALT'!AA39+'SDN'!AA39+'SST'!AA39+'WH'!AA39+'FH'!AA39</f>
        <v/>
      </c>
      <c r="AB39" s="26">
        <f>'ABA'!AB39+'BK'!AB39+'BW'!AB39+'CED'!AB39+'HAB'!AB39+'HB'!AB39+'OD'!AB39+'HDN'!AB39+'KIN'!AB39+'LE'!AB39+'MER'!AB39+'NDN'!AB39+'SALT'!AB39+'SDN'!AB39+'SST'!AB39+'WH'!AB39+'FH'!AB39</f>
        <v/>
      </c>
      <c r="AC39" s="26">
        <f>'ABA'!AC39+'BK'!AC39+'BW'!AC39+'CED'!AC39+'HAB'!AC39+'HB'!AC39+'OD'!AC39+'HDN'!AC39+'KIN'!AC39+'LE'!AC39+'MER'!AC39+'NDN'!AC39+'SALT'!AC39+'SDN'!AC39+'SST'!AC39+'WH'!AC39+'FH'!AC39</f>
        <v/>
      </c>
      <c r="AD39" s="26">
        <f>'ABA'!AD39+'BK'!AD39+'BW'!AD39+'CED'!AD39+'HAB'!AD39+'HB'!AD39+'OD'!AD39+'HDN'!AD39+'KIN'!AD39+'LE'!AD39+'MER'!AD39+'NDN'!AD39+'SALT'!AD39+'SDN'!AD39+'SST'!AD39+'WH'!AD39+'FH'!AD39</f>
        <v/>
      </c>
      <c r="AE39" s="26">
        <f>'ABA'!AE39+'BK'!AE39+'BW'!AE39+'CED'!AE39+'HAB'!AE39+'HB'!AE39+'OD'!AE39+'HDN'!AE39+'KIN'!AE39+'LE'!AE39+'MER'!AE39+'NDN'!AE39+'SALT'!AE39+'SDN'!AE39+'SST'!AE39+'WH'!AE39+'FH'!AE39</f>
        <v/>
      </c>
      <c r="AF39" s="26">
        <f>'ABA'!AF39+'BK'!AF39+'BW'!AF39+'CED'!AF39+'HAB'!AF39+'HB'!AF39+'OD'!AF39+'HDN'!AF39+'KIN'!AF39+'LE'!AF39+'MER'!AF39+'NDN'!AF39+'SALT'!AF39+'SDN'!AF39+'SST'!AF39+'WH'!AF39+'FH'!AF39</f>
        <v/>
      </c>
      <c r="AG39" s="26">
        <f>'ABA'!AG39+'BK'!AG39+'BW'!AG39+'CED'!AG39+'HAB'!AG39+'HB'!AG39+'OD'!AG39+'HDN'!AG39+'KIN'!AG39+'LE'!AG39+'MER'!AG39+'NDN'!AG39+'SALT'!AG39+'SDN'!AG39+'SST'!AG39+'WH'!AG39+'FH'!AG39</f>
        <v/>
      </c>
      <c r="AH39" s="26">
        <f>'ABA'!AH39+'BK'!AH39+'BW'!AH39+'CED'!AH39+'HAB'!AH39+'HB'!AH39+'OD'!AH39+'HDN'!AH39+'KIN'!AH39+'LE'!AH39+'MER'!AH39+'NDN'!AH39+'SALT'!AH39+'SDN'!AH39+'SST'!AH39+'WH'!AH39+'FH'!AH39</f>
        <v/>
      </c>
      <c r="AI39" s="26">
        <f>'ABA'!AI39+'BK'!AI39+'BW'!AI39+'CED'!AI39+'HAB'!AI39+'HB'!AI39+'OD'!AI39+'HDN'!AI39+'KIN'!AI39+'LE'!AI39+'MER'!AI39+'NDN'!AI39+'SALT'!AI39+'SDN'!AI39+'SST'!AI39+'WH'!AI39+'FH'!AI39</f>
        <v/>
      </c>
      <c r="AJ39" s="26">
        <f>'ABA'!AJ39+'BK'!AJ39+'BW'!AJ39+'CED'!AJ39+'HAB'!AJ39+'HB'!AJ39+'OD'!AJ39+'HDN'!AJ39+'KIN'!AJ39+'LE'!AJ39+'MER'!AJ39+'NDN'!AJ39+'SALT'!AJ39+'SDN'!AJ39+'SST'!AJ39+'WH'!AJ39+'FH'!AJ39</f>
        <v/>
      </c>
      <c r="AK39" s="11">
        <f>IF(N39&lt;&gt;0,(AB39-N39)/ABS(N39),0)</f>
        <v/>
      </c>
      <c r="AL39" s="11">
        <f>IF(AB39&lt;&gt;0,(AJ39-AB39)/ABS(AB39),0)</f>
        <v/>
      </c>
    </row>
    <row r="40" ht="13" customHeight="1">
      <c r="A40" s="25" t="inlineStr">
        <is>
          <t xml:space="preserve">    Telephone</t>
        </is>
      </c>
      <c r="B40" s="26">
        <f>'ABA'!B40+'BK'!B40+'BW'!B40+'CED'!B40+'HAB'!B40+'HB'!B40+'OD'!B40+'HDN'!B40+'KIN'!B40+'LE'!B40+'MER'!B40+'NDN'!B40+'SALT'!B40+'SDN'!B40+'SST'!B40+'WH'!B40+'FH'!B40</f>
        <v/>
      </c>
      <c r="C40" s="26">
        <f>'ABA'!C40+'BK'!C40+'BW'!C40+'CED'!C40+'HAB'!C40+'HB'!C40+'OD'!C40+'HDN'!C40+'KIN'!C40+'LE'!C40+'MER'!C40+'NDN'!C40+'SALT'!C40+'SDN'!C40+'SST'!C40+'WH'!C40+'FH'!C40</f>
        <v/>
      </c>
      <c r="D40" s="26">
        <f>'ABA'!D40+'BK'!D40+'BW'!D40+'CED'!D40+'HAB'!D40+'HB'!D40+'OD'!D40+'HDN'!D40+'KIN'!D40+'LE'!D40+'MER'!D40+'NDN'!D40+'SALT'!D40+'SDN'!D40+'SST'!D40+'WH'!D40+'FH'!D40</f>
        <v/>
      </c>
      <c r="E40" s="26">
        <f>'ABA'!E40+'BK'!E40+'BW'!E40+'CED'!E40+'HAB'!E40+'HB'!E40+'OD'!E40+'HDN'!E40+'KIN'!E40+'LE'!E40+'MER'!E40+'NDN'!E40+'SALT'!E40+'SDN'!E40+'SST'!E40+'WH'!E40+'FH'!E40</f>
        <v/>
      </c>
      <c r="F40" s="26">
        <f>'ABA'!F40+'BK'!F40+'BW'!F40+'CED'!F40+'HAB'!F40+'HB'!F40+'OD'!F40+'HDN'!F40+'KIN'!F40+'LE'!F40+'MER'!F40+'NDN'!F40+'SALT'!F40+'SDN'!F40+'SST'!F40+'WH'!F40+'FH'!F40</f>
        <v/>
      </c>
      <c r="G40" s="26">
        <f>'ABA'!G40+'BK'!G40+'BW'!G40+'CED'!G40+'HAB'!G40+'HB'!G40+'OD'!G40+'HDN'!G40+'KIN'!G40+'LE'!G40+'MER'!G40+'NDN'!G40+'SALT'!G40+'SDN'!G40+'SST'!G40+'WH'!G40+'FH'!G40</f>
        <v/>
      </c>
      <c r="H40" s="26">
        <f>'ABA'!H40+'BK'!H40+'BW'!H40+'CED'!H40+'HAB'!H40+'HB'!H40+'OD'!H40+'HDN'!H40+'KIN'!H40+'LE'!H40+'MER'!H40+'NDN'!H40+'SALT'!H40+'SDN'!H40+'SST'!H40+'WH'!H40+'FH'!H40</f>
        <v/>
      </c>
      <c r="I40" s="26">
        <f>'ABA'!I40+'BK'!I40+'BW'!I40+'CED'!I40+'HAB'!I40+'HB'!I40+'OD'!I40+'HDN'!I40+'KIN'!I40+'LE'!I40+'MER'!I40+'NDN'!I40+'SALT'!I40+'SDN'!I40+'SST'!I40+'WH'!I40+'FH'!I40</f>
        <v/>
      </c>
      <c r="J40" s="26">
        <f>'ABA'!J40+'BK'!J40+'BW'!J40+'CED'!J40+'HAB'!J40+'HB'!J40+'OD'!J40+'HDN'!J40+'KIN'!J40+'LE'!J40+'MER'!J40+'NDN'!J40+'SALT'!J40+'SDN'!J40+'SST'!J40+'WH'!J40+'FH'!J40</f>
        <v/>
      </c>
      <c r="K40" s="26">
        <f>'ABA'!K40+'BK'!K40+'BW'!K40+'CED'!K40+'HAB'!K40+'HB'!K40+'OD'!K40+'HDN'!K40+'KIN'!K40+'LE'!K40+'MER'!K40+'NDN'!K40+'SALT'!K40+'SDN'!K40+'SST'!K40+'WH'!K40+'FH'!K40</f>
        <v/>
      </c>
      <c r="L40" s="26">
        <f>'ABA'!L40+'BK'!L40+'BW'!L40+'CED'!L40+'HAB'!L40+'HB'!L40+'OD'!L40+'HDN'!L40+'KIN'!L40+'LE'!L40+'MER'!L40+'NDN'!L40+'SALT'!L40+'SDN'!L40+'SST'!L40+'WH'!L40+'FH'!L40</f>
        <v/>
      </c>
      <c r="M40" s="26">
        <f>'ABA'!M40+'BK'!M40+'BW'!M40+'CED'!M40+'HAB'!M40+'HB'!M40+'OD'!M40+'HDN'!M40+'KIN'!M40+'LE'!M40+'MER'!M40+'NDN'!M40+'SALT'!M40+'SDN'!M40+'SST'!M40+'WH'!M40+'FH'!M40</f>
        <v/>
      </c>
      <c r="N40" s="26">
        <f>'ABA'!N40+'BK'!N40+'BW'!N40+'CED'!N40+'HAB'!N40+'HB'!N40+'OD'!N40+'HDN'!N40+'KIN'!N40+'LE'!N40+'MER'!N40+'NDN'!N40+'SALT'!N40+'SDN'!N40+'SST'!N40+'WH'!N40+'FH'!N40</f>
        <v/>
      </c>
      <c r="O40" s="26">
        <f>'ABA'!O40+'BK'!O40+'BW'!O40+'CED'!O40+'HAB'!O40+'HB'!O40+'OD'!O40+'HDN'!O40+'KIN'!O40+'LE'!O40+'MER'!O40+'NDN'!O40+'SALT'!O40+'SDN'!O40+'SST'!O40+'WH'!O40+'FH'!O40</f>
        <v/>
      </c>
      <c r="P40" s="26">
        <f>'ABA'!P40+'BK'!P40+'BW'!P40+'CED'!P40+'HAB'!P40+'HB'!P40+'OD'!P40+'HDN'!P40+'KIN'!P40+'LE'!P40+'MER'!P40+'NDN'!P40+'SALT'!P40+'SDN'!P40+'SST'!P40+'WH'!P40+'FH'!P40</f>
        <v/>
      </c>
      <c r="Q40" s="26">
        <f>'ABA'!Q40+'BK'!Q40+'BW'!Q40+'CED'!Q40+'HAB'!Q40+'HB'!Q40+'OD'!Q40+'HDN'!Q40+'KIN'!Q40+'LE'!Q40+'MER'!Q40+'NDN'!Q40+'SALT'!Q40+'SDN'!Q40+'SST'!Q40+'WH'!Q40+'FH'!Q40</f>
        <v/>
      </c>
      <c r="R40" s="26">
        <f>'ABA'!R40+'BK'!R40+'BW'!R40+'CED'!R40+'HAB'!R40+'HB'!R40+'OD'!R40+'HDN'!R40+'KIN'!R40+'LE'!R40+'MER'!R40+'NDN'!R40+'SALT'!R40+'SDN'!R40+'SST'!R40+'WH'!R40+'FH'!R40</f>
        <v/>
      </c>
      <c r="S40" s="26">
        <f>'ABA'!S40+'BK'!S40+'BW'!S40+'CED'!S40+'HAB'!S40+'HB'!S40+'OD'!S40+'HDN'!S40+'KIN'!S40+'LE'!S40+'MER'!S40+'NDN'!S40+'SALT'!S40+'SDN'!S40+'SST'!S40+'WH'!S40+'FH'!S40</f>
        <v/>
      </c>
      <c r="T40" s="26">
        <f>'ABA'!T40+'BK'!T40+'BW'!T40+'CED'!T40+'HAB'!T40+'HB'!T40+'OD'!T40+'HDN'!T40+'KIN'!T40+'LE'!T40+'MER'!T40+'NDN'!T40+'SALT'!T40+'SDN'!T40+'SST'!T40+'WH'!T40+'FH'!T40</f>
        <v/>
      </c>
      <c r="U40" s="26">
        <f>'ABA'!U40+'BK'!U40+'BW'!U40+'CED'!U40+'HAB'!U40+'HB'!U40+'OD'!U40+'HDN'!U40+'KIN'!U40+'LE'!U40+'MER'!U40+'NDN'!U40+'SALT'!U40+'SDN'!U40+'SST'!U40+'WH'!U40+'FH'!U40</f>
        <v/>
      </c>
      <c r="V40" s="26">
        <f>'ABA'!V40+'BK'!V40+'BW'!V40+'CED'!V40+'HAB'!V40+'HB'!V40+'OD'!V40+'HDN'!V40+'KIN'!V40+'LE'!V40+'MER'!V40+'NDN'!V40+'SALT'!V40+'SDN'!V40+'SST'!V40+'WH'!V40+'FH'!V40</f>
        <v/>
      </c>
      <c r="W40" s="26">
        <f>'ABA'!W40+'BK'!W40+'BW'!W40+'CED'!W40+'HAB'!W40+'HB'!W40+'OD'!W40+'HDN'!W40+'KIN'!W40+'LE'!W40+'MER'!W40+'NDN'!W40+'SALT'!W40+'SDN'!W40+'SST'!W40+'WH'!W40+'FH'!W40</f>
        <v/>
      </c>
      <c r="X40" s="26">
        <f>'ABA'!X40+'BK'!X40+'BW'!X40+'CED'!X40+'HAB'!X40+'HB'!X40+'OD'!X40+'HDN'!X40+'KIN'!X40+'LE'!X40+'MER'!X40+'NDN'!X40+'SALT'!X40+'SDN'!X40+'SST'!X40+'WH'!X40+'FH'!X40</f>
        <v/>
      </c>
      <c r="Y40" s="26">
        <f>'ABA'!Y40+'BK'!Y40+'BW'!Y40+'CED'!Y40+'HAB'!Y40+'HB'!Y40+'OD'!Y40+'HDN'!Y40+'KIN'!Y40+'LE'!Y40+'MER'!Y40+'NDN'!Y40+'SALT'!Y40+'SDN'!Y40+'SST'!Y40+'WH'!Y40+'FH'!Y40</f>
        <v/>
      </c>
      <c r="Z40" s="26">
        <f>'ABA'!Z40+'BK'!Z40+'BW'!Z40+'CED'!Z40+'HAB'!Z40+'HB'!Z40+'OD'!Z40+'HDN'!Z40+'KIN'!Z40+'LE'!Z40+'MER'!Z40+'NDN'!Z40+'SALT'!Z40+'SDN'!Z40+'SST'!Z40+'WH'!Z40+'FH'!Z40</f>
        <v/>
      </c>
      <c r="AA40" s="26">
        <f>'ABA'!AA40+'BK'!AA40+'BW'!AA40+'CED'!AA40+'HAB'!AA40+'HB'!AA40+'OD'!AA40+'HDN'!AA40+'KIN'!AA40+'LE'!AA40+'MER'!AA40+'NDN'!AA40+'SALT'!AA40+'SDN'!AA40+'SST'!AA40+'WH'!AA40+'FH'!AA40</f>
        <v/>
      </c>
      <c r="AB40" s="26">
        <f>'ABA'!AB40+'BK'!AB40+'BW'!AB40+'CED'!AB40+'HAB'!AB40+'HB'!AB40+'OD'!AB40+'HDN'!AB40+'KIN'!AB40+'LE'!AB40+'MER'!AB40+'NDN'!AB40+'SALT'!AB40+'SDN'!AB40+'SST'!AB40+'WH'!AB40+'FH'!AB40</f>
        <v/>
      </c>
      <c r="AC40" s="26">
        <f>'ABA'!AC40+'BK'!AC40+'BW'!AC40+'CED'!AC40+'HAB'!AC40+'HB'!AC40+'OD'!AC40+'HDN'!AC40+'KIN'!AC40+'LE'!AC40+'MER'!AC40+'NDN'!AC40+'SALT'!AC40+'SDN'!AC40+'SST'!AC40+'WH'!AC40+'FH'!AC40</f>
        <v/>
      </c>
      <c r="AD40" s="26">
        <f>'ABA'!AD40+'BK'!AD40+'BW'!AD40+'CED'!AD40+'HAB'!AD40+'HB'!AD40+'OD'!AD40+'HDN'!AD40+'KIN'!AD40+'LE'!AD40+'MER'!AD40+'NDN'!AD40+'SALT'!AD40+'SDN'!AD40+'SST'!AD40+'WH'!AD40+'FH'!AD40</f>
        <v/>
      </c>
      <c r="AE40" s="26">
        <f>'ABA'!AE40+'BK'!AE40+'BW'!AE40+'CED'!AE40+'HAB'!AE40+'HB'!AE40+'OD'!AE40+'HDN'!AE40+'KIN'!AE40+'LE'!AE40+'MER'!AE40+'NDN'!AE40+'SALT'!AE40+'SDN'!AE40+'SST'!AE40+'WH'!AE40+'FH'!AE40</f>
        <v/>
      </c>
      <c r="AF40" s="26">
        <f>'ABA'!AF40+'BK'!AF40+'BW'!AF40+'CED'!AF40+'HAB'!AF40+'HB'!AF40+'OD'!AF40+'HDN'!AF40+'KIN'!AF40+'LE'!AF40+'MER'!AF40+'NDN'!AF40+'SALT'!AF40+'SDN'!AF40+'SST'!AF40+'WH'!AF40+'FH'!AF40</f>
        <v/>
      </c>
      <c r="AG40" s="26">
        <f>'ABA'!AG40+'BK'!AG40+'BW'!AG40+'CED'!AG40+'HAB'!AG40+'HB'!AG40+'OD'!AG40+'HDN'!AG40+'KIN'!AG40+'LE'!AG40+'MER'!AG40+'NDN'!AG40+'SALT'!AG40+'SDN'!AG40+'SST'!AG40+'WH'!AG40+'FH'!AG40</f>
        <v/>
      </c>
      <c r="AH40" s="26">
        <f>'ABA'!AH40+'BK'!AH40+'BW'!AH40+'CED'!AH40+'HAB'!AH40+'HB'!AH40+'OD'!AH40+'HDN'!AH40+'KIN'!AH40+'LE'!AH40+'MER'!AH40+'NDN'!AH40+'SALT'!AH40+'SDN'!AH40+'SST'!AH40+'WH'!AH40+'FH'!AH40</f>
        <v/>
      </c>
      <c r="AI40" s="26">
        <f>'ABA'!AI40+'BK'!AI40+'BW'!AI40+'CED'!AI40+'HAB'!AI40+'HB'!AI40+'OD'!AI40+'HDN'!AI40+'KIN'!AI40+'LE'!AI40+'MER'!AI40+'NDN'!AI40+'SALT'!AI40+'SDN'!AI40+'SST'!AI40+'WH'!AI40+'FH'!AI40</f>
        <v/>
      </c>
      <c r="AJ40" s="26">
        <f>'ABA'!AJ40+'BK'!AJ40+'BW'!AJ40+'CED'!AJ40+'HAB'!AJ40+'HB'!AJ40+'OD'!AJ40+'HDN'!AJ40+'KIN'!AJ40+'LE'!AJ40+'MER'!AJ40+'NDN'!AJ40+'SALT'!AJ40+'SDN'!AJ40+'SST'!AJ40+'WH'!AJ40+'FH'!AJ40</f>
        <v/>
      </c>
      <c r="AK40" s="11">
        <f>IF(N40&lt;&gt;0,(AB40-N40)/ABS(N40),0)</f>
        <v/>
      </c>
      <c r="AL40" s="11">
        <f>IF(AB40&lt;&gt;0,(AJ40-AB40)/ABS(AB40),0)</f>
        <v/>
      </c>
    </row>
    <row r="41" ht="13" customHeight="1">
      <c r="A41" s="25" t="inlineStr">
        <is>
          <t xml:space="preserve">    Marketing</t>
        </is>
      </c>
      <c r="B41" s="26">
        <f>'ABA'!B41+'BK'!B41+'BW'!B41+'CED'!B41+'HAB'!B41+'HB'!B41+'OD'!B41+'HDN'!B41+'KIN'!B41+'LE'!B41+'MER'!B41+'NDN'!B41+'SALT'!B41+'SDN'!B41+'SST'!B41+'WH'!B41+'FH'!B41</f>
        <v/>
      </c>
      <c r="C41" s="26">
        <f>'ABA'!C41+'BK'!C41+'BW'!C41+'CED'!C41+'HAB'!C41+'HB'!C41+'OD'!C41+'HDN'!C41+'KIN'!C41+'LE'!C41+'MER'!C41+'NDN'!C41+'SALT'!C41+'SDN'!C41+'SST'!C41+'WH'!C41+'FH'!C41</f>
        <v/>
      </c>
      <c r="D41" s="26">
        <f>'ABA'!D41+'BK'!D41+'BW'!D41+'CED'!D41+'HAB'!D41+'HB'!D41+'OD'!D41+'HDN'!D41+'KIN'!D41+'LE'!D41+'MER'!D41+'NDN'!D41+'SALT'!D41+'SDN'!D41+'SST'!D41+'WH'!D41+'FH'!D41</f>
        <v/>
      </c>
      <c r="E41" s="26">
        <f>'ABA'!E41+'BK'!E41+'BW'!E41+'CED'!E41+'HAB'!E41+'HB'!E41+'OD'!E41+'HDN'!E41+'KIN'!E41+'LE'!E41+'MER'!E41+'NDN'!E41+'SALT'!E41+'SDN'!E41+'SST'!E41+'WH'!E41+'FH'!E41</f>
        <v/>
      </c>
      <c r="F41" s="26">
        <f>'ABA'!F41+'BK'!F41+'BW'!F41+'CED'!F41+'HAB'!F41+'HB'!F41+'OD'!F41+'HDN'!F41+'KIN'!F41+'LE'!F41+'MER'!F41+'NDN'!F41+'SALT'!F41+'SDN'!F41+'SST'!F41+'WH'!F41+'FH'!F41</f>
        <v/>
      </c>
      <c r="G41" s="26">
        <f>'ABA'!G41+'BK'!G41+'BW'!G41+'CED'!G41+'HAB'!G41+'HB'!G41+'OD'!G41+'HDN'!G41+'KIN'!G41+'LE'!G41+'MER'!G41+'NDN'!G41+'SALT'!G41+'SDN'!G41+'SST'!G41+'WH'!G41+'FH'!G41</f>
        <v/>
      </c>
      <c r="H41" s="26">
        <f>'ABA'!H41+'BK'!H41+'BW'!H41+'CED'!H41+'HAB'!H41+'HB'!H41+'OD'!H41+'HDN'!H41+'KIN'!H41+'LE'!H41+'MER'!H41+'NDN'!H41+'SALT'!H41+'SDN'!H41+'SST'!H41+'WH'!H41+'FH'!H41</f>
        <v/>
      </c>
      <c r="I41" s="26">
        <f>'ABA'!I41+'BK'!I41+'BW'!I41+'CED'!I41+'HAB'!I41+'HB'!I41+'OD'!I41+'HDN'!I41+'KIN'!I41+'LE'!I41+'MER'!I41+'NDN'!I41+'SALT'!I41+'SDN'!I41+'SST'!I41+'WH'!I41+'FH'!I41</f>
        <v/>
      </c>
      <c r="J41" s="26">
        <f>'ABA'!J41+'BK'!J41+'BW'!J41+'CED'!J41+'HAB'!J41+'HB'!J41+'OD'!J41+'HDN'!J41+'KIN'!J41+'LE'!J41+'MER'!J41+'NDN'!J41+'SALT'!J41+'SDN'!J41+'SST'!J41+'WH'!J41+'FH'!J41</f>
        <v/>
      </c>
      <c r="K41" s="26">
        <f>'ABA'!K41+'BK'!K41+'BW'!K41+'CED'!K41+'HAB'!K41+'HB'!K41+'OD'!K41+'HDN'!K41+'KIN'!K41+'LE'!K41+'MER'!K41+'NDN'!K41+'SALT'!K41+'SDN'!K41+'SST'!K41+'WH'!K41+'FH'!K41</f>
        <v/>
      </c>
      <c r="L41" s="26">
        <f>'ABA'!L41+'BK'!L41+'BW'!L41+'CED'!L41+'HAB'!L41+'HB'!L41+'OD'!L41+'HDN'!L41+'KIN'!L41+'LE'!L41+'MER'!L41+'NDN'!L41+'SALT'!L41+'SDN'!L41+'SST'!L41+'WH'!L41+'FH'!L41</f>
        <v/>
      </c>
      <c r="M41" s="26">
        <f>'ABA'!M41+'BK'!M41+'BW'!M41+'CED'!M41+'HAB'!M41+'HB'!M41+'OD'!M41+'HDN'!M41+'KIN'!M41+'LE'!M41+'MER'!M41+'NDN'!M41+'SALT'!M41+'SDN'!M41+'SST'!M41+'WH'!M41+'FH'!M41</f>
        <v/>
      </c>
      <c r="N41" s="26">
        <f>'ABA'!N41+'BK'!N41+'BW'!N41+'CED'!N41+'HAB'!N41+'HB'!N41+'OD'!N41+'HDN'!N41+'KIN'!N41+'LE'!N41+'MER'!N41+'NDN'!N41+'SALT'!N41+'SDN'!N41+'SST'!N41+'WH'!N41+'FH'!N41</f>
        <v/>
      </c>
      <c r="O41" s="26">
        <f>'ABA'!O41+'BK'!O41+'BW'!O41+'CED'!O41+'HAB'!O41+'HB'!O41+'OD'!O41+'HDN'!O41+'KIN'!O41+'LE'!O41+'MER'!O41+'NDN'!O41+'SALT'!O41+'SDN'!O41+'SST'!O41+'WH'!O41+'FH'!O41</f>
        <v/>
      </c>
      <c r="P41" s="26">
        <f>'ABA'!P41+'BK'!P41+'BW'!P41+'CED'!P41+'HAB'!P41+'HB'!P41+'OD'!P41+'HDN'!P41+'KIN'!P41+'LE'!P41+'MER'!P41+'NDN'!P41+'SALT'!P41+'SDN'!P41+'SST'!P41+'WH'!P41+'FH'!P41</f>
        <v/>
      </c>
      <c r="Q41" s="26">
        <f>'ABA'!Q41+'BK'!Q41+'BW'!Q41+'CED'!Q41+'HAB'!Q41+'HB'!Q41+'OD'!Q41+'HDN'!Q41+'KIN'!Q41+'LE'!Q41+'MER'!Q41+'NDN'!Q41+'SALT'!Q41+'SDN'!Q41+'SST'!Q41+'WH'!Q41+'FH'!Q41</f>
        <v/>
      </c>
      <c r="R41" s="26">
        <f>'ABA'!R41+'BK'!R41+'BW'!R41+'CED'!R41+'HAB'!R41+'HB'!R41+'OD'!R41+'HDN'!R41+'KIN'!R41+'LE'!R41+'MER'!R41+'NDN'!R41+'SALT'!R41+'SDN'!R41+'SST'!R41+'WH'!R41+'FH'!R41</f>
        <v/>
      </c>
      <c r="S41" s="26">
        <f>'ABA'!S41+'BK'!S41+'BW'!S41+'CED'!S41+'HAB'!S41+'HB'!S41+'OD'!S41+'HDN'!S41+'KIN'!S41+'LE'!S41+'MER'!S41+'NDN'!S41+'SALT'!S41+'SDN'!S41+'SST'!S41+'WH'!S41+'FH'!S41</f>
        <v/>
      </c>
      <c r="T41" s="26">
        <f>'ABA'!T41+'BK'!T41+'BW'!T41+'CED'!T41+'HAB'!T41+'HB'!T41+'OD'!T41+'HDN'!T41+'KIN'!T41+'LE'!T41+'MER'!T41+'NDN'!T41+'SALT'!T41+'SDN'!T41+'SST'!T41+'WH'!T41+'FH'!T41</f>
        <v/>
      </c>
      <c r="U41" s="26">
        <f>'ABA'!U41+'BK'!U41+'BW'!U41+'CED'!U41+'HAB'!U41+'HB'!U41+'OD'!U41+'HDN'!U41+'KIN'!U41+'LE'!U41+'MER'!U41+'NDN'!U41+'SALT'!U41+'SDN'!U41+'SST'!U41+'WH'!U41+'FH'!U41</f>
        <v/>
      </c>
      <c r="V41" s="26">
        <f>'ABA'!V41+'BK'!V41+'BW'!V41+'CED'!V41+'HAB'!V41+'HB'!V41+'OD'!V41+'HDN'!V41+'KIN'!V41+'LE'!V41+'MER'!V41+'NDN'!V41+'SALT'!V41+'SDN'!V41+'SST'!V41+'WH'!V41+'FH'!V41</f>
        <v/>
      </c>
      <c r="W41" s="26">
        <f>'ABA'!W41+'BK'!W41+'BW'!W41+'CED'!W41+'HAB'!W41+'HB'!W41+'OD'!W41+'HDN'!W41+'KIN'!W41+'LE'!W41+'MER'!W41+'NDN'!W41+'SALT'!W41+'SDN'!W41+'SST'!W41+'WH'!W41+'FH'!W41</f>
        <v/>
      </c>
      <c r="X41" s="26">
        <f>'ABA'!X41+'BK'!X41+'BW'!X41+'CED'!X41+'HAB'!X41+'HB'!X41+'OD'!X41+'HDN'!X41+'KIN'!X41+'LE'!X41+'MER'!X41+'NDN'!X41+'SALT'!X41+'SDN'!X41+'SST'!X41+'WH'!X41+'FH'!X41</f>
        <v/>
      </c>
      <c r="Y41" s="26">
        <f>'ABA'!Y41+'BK'!Y41+'BW'!Y41+'CED'!Y41+'HAB'!Y41+'HB'!Y41+'OD'!Y41+'HDN'!Y41+'KIN'!Y41+'LE'!Y41+'MER'!Y41+'NDN'!Y41+'SALT'!Y41+'SDN'!Y41+'SST'!Y41+'WH'!Y41+'FH'!Y41</f>
        <v/>
      </c>
      <c r="Z41" s="26">
        <f>'ABA'!Z41+'BK'!Z41+'BW'!Z41+'CED'!Z41+'HAB'!Z41+'HB'!Z41+'OD'!Z41+'HDN'!Z41+'KIN'!Z41+'LE'!Z41+'MER'!Z41+'NDN'!Z41+'SALT'!Z41+'SDN'!Z41+'SST'!Z41+'WH'!Z41+'FH'!Z41</f>
        <v/>
      </c>
      <c r="AA41" s="26">
        <f>'ABA'!AA41+'BK'!AA41+'BW'!AA41+'CED'!AA41+'HAB'!AA41+'HB'!AA41+'OD'!AA41+'HDN'!AA41+'KIN'!AA41+'LE'!AA41+'MER'!AA41+'NDN'!AA41+'SALT'!AA41+'SDN'!AA41+'SST'!AA41+'WH'!AA41+'FH'!AA41</f>
        <v/>
      </c>
      <c r="AB41" s="26">
        <f>'ABA'!AB41+'BK'!AB41+'BW'!AB41+'CED'!AB41+'HAB'!AB41+'HB'!AB41+'OD'!AB41+'HDN'!AB41+'KIN'!AB41+'LE'!AB41+'MER'!AB41+'NDN'!AB41+'SALT'!AB41+'SDN'!AB41+'SST'!AB41+'WH'!AB41+'FH'!AB41</f>
        <v/>
      </c>
      <c r="AC41" s="26">
        <f>'ABA'!AC41+'BK'!AC41+'BW'!AC41+'CED'!AC41+'HAB'!AC41+'HB'!AC41+'OD'!AC41+'HDN'!AC41+'KIN'!AC41+'LE'!AC41+'MER'!AC41+'NDN'!AC41+'SALT'!AC41+'SDN'!AC41+'SST'!AC41+'WH'!AC41+'FH'!AC41</f>
        <v/>
      </c>
      <c r="AD41" s="26">
        <f>'ABA'!AD41+'BK'!AD41+'BW'!AD41+'CED'!AD41+'HAB'!AD41+'HB'!AD41+'OD'!AD41+'HDN'!AD41+'KIN'!AD41+'LE'!AD41+'MER'!AD41+'NDN'!AD41+'SALT'!AD41+'SDN'!AD41+'SST'!AD41+'WH'!AD41+'FH'!AD41</f>
        <v/>
      </c>
      <c r="AE41" s="26">
        <f>'ABA'!AE41+'BK'!AE41+'BW'!AE41+'CED'!AE41+'HAB'!AE41+'HB'!AE41+'OD'!AE41+'HDN'!AE41+'KIN'!AE41+'LE'!AE41+'MER'!AE41+'NDN'!AE41+'SALT'!AE41+'SDN'!AE41+'SST'!AE41+'WH'!AE41+'FH'!AE41</f>
        <v/>
      </c>
      <c r="AF41" s="26">
        <f>'ABA'!AF41+'BK'!AF41+'BW'!AF41+'CED'!AF41+'HAB'!AF41+'HB'!AF41+'OD'!AF41+'HDN'!AF41+'KIN'!AF41+'LE'!AF41+'MER'!AF41+'NDN'!AF41+'SALT'!AF41+'SDN'!AF41+'SST'!AF41+'WH'!AF41+'FH'!AF41</f>
        <v/>
      </c>
      <c r="AG41" s="26">
        <f>'ABA'!AG41+'BK'!AG41+'BW'!AG41+'CED'!AG41+'HAB'!AG41+'HB'!AG41+'OD'!AG41+'HDN'!AG41+'KIN'!AG41+'LE'!AG41+'MER'!AG41+'NDN'!AG41+'SALT'!AG41+'SDN'!AG41+'SST'!AG41+'WH'!AG41+'FH'!AG41</f>
        <v/>
      </c>
      <c r="AH41" s="26">
        <f>'ABA'!AH41+'BK'!AH41+'BW'!AH41+'CED'!AH41+'HAB'!AH41+'HB'!AH41+'OD'!AH41+'HDN'!AH41+'KIN'!AH41+'LE'!AH41+'MER'!AH41+'NDN'!AH41+'SALT'!AH41+'SDN'!AH41+'SST'!AH41+'WH'!AH41+'FH'!AH41</f>
        <v/>
      </c>
      <c r="AI41" s="26">
        <f>'ABA'!AI41+'BK'!AI41+'BW'!AI41+'CED'!AI41+'HAB'!AI41+'HB'!AI41+'OD'!AI41+'HDN'!AI41+'KIN'!AI41+'LE'!AI41+'MER'!AI41+'NDN'!AI41+'SALT'!AI41+'SDN'!AI41+'SST'!AI41+'WH'!AI41+'FH'!AI41</f>
        <v/>
      </c>
      <c r="AJ41" s="26">
        <f>'ABA'!AJ41+'BK'!AJ41+'BW'!AJ41+'CED'!AJ41+'HAB'!AJ41+'HB'!AJ41+'OD'!AJ41+'HDN'!AJ41+'KIN'!AJ41+'LE'!AJ41+'MER'!AJ41+'NDN'!AJ41+'SALT'!AJ41+'SDN'!AJ41+'SST'!AJ41+'WH'!AJ41+'FH'!AJ41</f>
        <v/>
      </c>
      <c r="AK41" s="11">
        <f>IF(N41&lt;&gt;0,(AB41-N41)/ABS(N41),0)</f>
        <v/>
      </c>
      <c r="AL41" s="11">
        <f>IF(AB41&lt;&gt;0,(AJ41-AB41)/ABS(AB41),0)</f>
        <v/>
      </c>
    </row>
    <row r="42" ht="13" customHeight="1">
      <c r="A42" s="27" t="inlineStr">
        <is>
          <t>Total Premises &amp; Admin</t>
        </is>
      </c>
      <c r="B42" s="28">
        <f>'ABA'!B42+'BK'!B42+'BW'!B42+'CED'!B42+'HAB'!B42+'HB'!B42+'OD'!B42+'HDN'!B42+'KIN'!B42+'LE'!B42+'MER'!B42+'NDN'!B42+'SALT'!B42+'SDN'!B42+'SST'!B42+'WH'!B42+'FH'!B42</f>
        <v/>
      </c>
      <c r="C42" s="28">
        <f>'ABA'!C42+'BK'!C42+'BW'!C42+'CED'!C42+'HAB'!C42+'HB'!C42+'OD'!C42+'HDN'!C42+'KIN'!C42+'LE'!C42+'MER'!C42+'NDN'!C42+'SALT'!C42+'SDN'!C42+'SST'!C42+'WH'!C42+'FH'!C42</f>
        <v/>
      </c>
      <c r="D42" s="28">
        <f>'ABA'!D42+'BK'!D42+'BW'!D42+'CED'!D42+'HAB'!D42+'HB'!D42+'OD'!D42+'HDN'!D42+'KIN'!D42+'LE'!D42+'MER'!D42+'NDN'!D42+'SALT'!D42+'SDN'!D42+'SST'!D42+'WH'!D42+'FH'!D42</f>
        <v/>
      </c>
      <c r="E42" s="28">
        <f>'ABA'!E42+'BK'!E42+'BW'!E42+'CED'!E42+'HAB'!E42+'HB'!E42+'OD'!E42+'HDN'!E42+'KIN'!E42+'LE'!E42+'MER'!E42+'NDN'!E42+'SALT'!E42+'SDN'!E42+'SST'!E42+'WH'!E42+'FH'!E42</f>
        <v/>
      </c>
      <c r="F42" s="28">
        <f>'ABA'!F42+'BK'!F42+'BW'!F42+'CED'!F42+'HAB'!F42+'HB'!F42+'OD'!F42+'HDN'!F42+'KIN'!F42+'LE'!F42+'MER'!F42+'NDN'!F42+'SALT'!F42+'SDN'!F42+'SST'!F42+'WH'!F42+'FH'!F42</f>
        <v/>
      </c>
      <c r="G42" s="28">
        <f>'ABA'!G42+'BK'!G42+'BW'!G42+'CED'!G42+'HAB'!G42+'HB'!G42+'OD'!G42+'HDN'!G42+'KIN'!G42+'LE'!G42+'MER'!G42+'NDN'!G42+'SALT'!G42+'SDN'!G42+'SST'!G42+'WH'!G42+'FH'!G42</f>
        <v/>
      </c>
      <c r="H42" s="28">
        <f>'ABA'!H42+'BK'!H42+'BW'!H42+'CED'!H42+'HAB'!H42+'HB'!H42+'OD'!H42+'HDN'!H42+'KIN'!H42+'LE'!H42+'MER'!H42+'NDN'!H42+'SALT'!H42+'SDN'!H42+'SST'!H42+'WH'!H42+'FH'!H42</f>
        <v/>
      </c>
      <c r="I42" s="28">
        <f>'ABA'!I42+'BK'!I42+'BW'!I42+'CED'!I42+'HAB'!I42+'HB'!I42+'OD'!I42+'HDN'!I42+'KIN'!I42+'LE'!I42+'MER'!I42+'NDN'!I42+'SALT'!I42+'SDN'!I42+'SST'!I42+'WH'!I42+'FH'!I42</f>
        <v/>
      </c>
      <c r="J42" s="28">
        <f>'ABA'!J42+'BK'!J42+'BW'!J42+'CED'!J42+'HAB'!J42+'HB'!J42+'OD'!J42+'HDN'!J42+'KIN'!J42+'LE'!J42+'MER'!J42+'NDN'!J42+'SALT'!J42+'SDN'!J42+'SST'!J42+'WH'!J42+'FH'!J42</f>
        <v/>
      </c>
      <c r="K42" s="28">
        <f>'ABA'!K42+'BK'!K42+'BW'!K42+'CED'!K42+'HAB'!K42+'HB'!K42+'OD'!K42+'HDN'!K42+'KIN'!K42+'LE'!K42+'MER'!K42+'NDN'!K42+'SALT'!K42+'SDN'!K42+'SST'!K42+'WH'!K42+'FH'!K42</f>
        <v/>
      </c>
      <c r="L42" s="28">
        <f>'ABA'!L42+'BK'!L42+'BW'!L42+'CED'!L42+'HAB'!L42+'HB'!L42+'OD'!L42+'HDN'!L42+'KIN'!L42+'LE'!L42+'MER'!L42+'NDN'!L42+'SALT'!L42+'SDN'!L42+'SST'!L42+'WH'!L42+'FH'!L42</f>
        <v/>
      </c>
      <c r="M42" s="28">
        <f>'ABA'!M42+'BK'!M42+'BW'!M42+'CED'!M42+'HAB'!M42+'HB'!M42+'OD'!M42+'HDN'!M42+'KIN'!M42+'LE'!M42+'MER'!M42+'NDN'!M42+'SALT'!M42+'SDN'!M42+'SST'!M42+'WH'!M42+'FH'!M42</f>
        <v/>
      </c>
      <c r="N42" s="28">
        <f>'ABA'!N42+'BK'!N42+'BW'!N42+'CED'!N42+'HAB'!N42+'HB'!N42+'OD'!N42+'HDN'!N42+'KIN'!N42+'LE'!N42+'MER'!N42+'NDN'!N42+'SALT'!N42+'SDN'!N42+'SST'!N42+'WH'!N42+'FH'!N42</f>
        <v/>
      </c>
      <c r="O42" s="28">
        <f>'ABA'!O42+'BK'!O42+'BW'!O42+'CED'!O42+'HAB'!O42+'HB'!O42+'OD'!O42+'HDN'!O42+'KIN'!O42+'LE'!O42+'MER'!O42+'NDN'!O42+'SALT'!O42+'SDN'!O42+'SST'!O42+'WH'!O42+'FH'!O42</f>
        <v/>
      </c>
      <c r="P42" s="28">
        <f>'ABA'!P42+'BK'!P42+'BW'!P42+'CED'!P42+'HAB'!P42+'HB'!P42+'OD'!P42+'HDN'!P42+'KIN'!P42+'LE'!P42+'MER'!P42+'NDN'!P42+'SALT'!P42+'SDN'!P42+'SST'!P42+'WH'!P42+'FH'!P42</f>
        <v/>
      </c>
      <c r="Q42" s="28">
        <f>'ABA'!Q42+'BK'!Q42+'BW'!Q42+'CED'!Q42+'HAB'!Q42+'HB'!Q42+'OD'!Q42+'HDN'!Q42+'KIN'!Q42+'LE'!Q42+'MER'!Q42+'NDN'!Q42+'SALT'!Q42+'SDN'!Q42+'SST'!Q42+'WH'!Q42+'FH'!Q42</f>
        <v/>
      </c>
      <c r="R42" s="28">
        <f>'ABA'!R42+'BK'!R42+'BW'!R42+'CED'!R42+'HAB'!R42+'HB'!R42+'OD'!R42+'HDN'!R42+'KIN'!R42+'LE'!R42+'MER'!R42+'NDN'!R42+'SALT'!R42+'SDN'!R42+'SST'!R42+'WH'!R42+'FH'!R42</f>
        <v/>
      </c>
      <c r="S42" s="28">
        <f>'ABA'!S42+'BK'!S42+'BW'!S42+'CED'!S42+'HAB'!S42+'HB'!S42+'OD'!S42+'HDN'!S42+'KIN'!S42+'LE'!S42+'MER'!S42+'NDN'!S42+'SALT'!S42+'SDN'!S42+'SST'!S42+'WH'!S42+'FH'!S42</f>
        <v/>
      </c>
      <c r="T42" s="28">
        <f>'ABA'!T42+'BK'!T42+'BW'!T42+'CED'!T42+'HAB'!T42+'HB'!T42+'OD'!T42+'HDN'!T42+'KIN'!T42+'LE'!T42+'MER'!T42+'NDN'!T42+'SALT'!T42+'SDN'!T42+'SST'!T42+'WH'!T42+'FH'!T42</f>
        <v/>
      </c>
      <c r="U42" s="28">
        <f>'ABA'!U42+'BK'!U42+'BW'!U42+'CED'!U42+'HAB'!U42+'HB'!U42+'OD'!U42+'HDN'!U42+'KIN'!U42+'LE'!U42+'MER'!U42+'NDN'!U42+'SALT'!U42+'SDN'!U42+'SST'!U42+'WH'!U42+'FH'!U42</f>
        <v/>
      </c>
      <c r="V42" s="28">
        <f>'ABA'!V42+'BK'!V42+'BW'!V42+'CED'!V42+'HAB'!V42+'HB'!V42+'OD'!V42+'HDN'!V42+'KIN'!V42+'LE'!V42+'MER'!V42+'NDN'!V42+'SALT'!V42+'SDN'!V42+'SST'!V42+'WH'!V42+'FH'!V42</f>
        <v/>
      </c>
      <c r="W42" s="28">
        <f>'ABA'!W42+'BK'!W42+'BW'!W42+'CED'!W42+'HAB'!W42+'HB'!W42+'OD'!W42+'HDN'!W42+'KIN'!W42+'LE'!W42+'MER'!W42+'NDN'!W42+'SALT'!W42+'SDN'!W42+'SST'!W42+'WH'!W42+'FH'!W42</f>
        <v/>
      </c>
      <c r="X42" s="28">
        <f>'ABA'!X42+'BK'!X42+'BW'!X42+'CED'!X42+'HAB'!X42+'HB'!X42+'OD'!X42+'HDN'!X42+'KIN'!X42+'LE'!X42+'MER'!X42+'NDN'!X42+'SALT'!X42+'SDN'!X42+'SST'!X42+'WH'!X42+'FH'!X42</f>
        <v/>
      </c>
      <c r="Y42" s="28">
        <f>'ABA'!Y42+'BK'!Y42+'BW'!Y42+'CED'!Y42+'HAB'!Y42+'HB'!Y42+'OD'!Y42+'HDN'!Y42+'KIN'!Y42+'LE'!Y42+'MER'!Y42+'NDN'!Y42+'SALT'!Y42+'SDN'!Y42+'SST'!Y42+'WH'!Y42+'FH'!Y42</f>
        <v/>
      </c>
      <c r="Z42" s="28">
        <f>'ABA'!Z42+'BK'!Z42+'BW'!Z42+'CED'!Z42+'HAB'!Z42+'HB'!Z42+'OD'!Z42+'HDN'!Z42+'KIN'!Z42+'LE'!Z42+'MER'!Z42+'NDN'!Z42+'SALT'!Z42+'SDN'!Z42+'SST'!Z42+'WH'!Z42+'FH'!Z42</f>
        <v/>
      </c>
      <c r="AA42" s="28">
        <f>'ABA'!AA42+'BK'!AA42+'BW'!AA42+'CED'!AA42+'HAB'!AA42+'HB'!AA42+'OD'!AA42+'HDN'!AA42+'KIN'!AA42+'LE'!AA42+'MER'!AA42+'NDN'!AA42+'SALT'!AA42+'SDN'!AA42+'SST'!AA42+'WH'!AA42+'FH'!AA42</f>
        <v/>
      </c>
      <c r="AB42" s="28">
        <f>'ABA'!AB42+'BK'!AB42+'BW'!AB42+'CED'!AB42+'HAB'!AB42+'HB'!AB42+'OD'!AB42+'HDN'!AB42+'KIN'!AB42+'LE'!AB42+'MER'!AB42+'NDN'!AB42+'SALT'!AB42+'SDN'!AB42+'SST'!AB42+'WH'!AB42+'FH'!AB42</f>
        <v/>
      </c>
      <c r="AC42" s="28">
        <f>'ABA'!AC42+'BK'!AC42+'BW'!AC42+'CED'!AC42+'HAB'!AC42+'HB'!AC42+'OD'!AC42+'HDN'!AC42+'KIN'!AC42+'LE'!AC42+'MER'!AC42+'NDN'!AC42+'SALT'!AC42+'SDN'!AC42+'SST'!AC42+'WH'!AC42+'FH'!AC42</f>
        <v/>
      </c>
      <c r="AD42" s="28">
        <f>'ABA'!AD42+'BK'!AD42+'BW'!AD42+'CED'!AD42+'HAB'!AD42+'HB'!AD42+'OD'!AD42+'HDN'!AD42+'KIN'!AD42+'LE'!AD42+'MER'!AD42+'NDN'!AD42+'SALT'!AD42+'SDN'!AD42+'SST'!AD42+'WH'!AD42+'FH'!AD42</f>
        <v/>
      </c>
      <c r="AE42" s="28">
        <f>'ABA'!AE42+'BK'!AE42+'BW'!AE42+'CED'!AE42+'HAB'!AE42+'HB'!AE42+'OD'!AE42+'HDN'!AE42+'KIN'!AE42+'LE'!AE42+'MER'!AE42+'NDN'!AE42+'SALT'!AE42+'SDN'!AE42+'SST'!AE42+'WH'!AE42+'FH'!AE42</f>
        <v/>
      </c>
      <c r="AF42" s="28">
        <f>'ABA'!AF42+'BK'!AF42+'BW'!AF42+'CED'!AF42+'HAB'!AF42+'HB'!AF42+'OD'!AF42+'HDN'!AF42+'KIN'!AF42+'LE'!AF42+'MER'!AF42+'NDN'!AF42+'SALT'!AF42+'SDN'!AF42+'SST'!AF42+'WH'!AF42+'FH'!AF42</f>
        <v/>
      </c>
      <c r="AG42" s="28">
        <f>'ABA'!AG42+'BK'!AG42+'BW'!AG42+'CED'!AG42+'HAB'!AG42+'HB'!AG42+'OD'!AG42+'HDN'!AG42+'KIN'!AG42+'LE'!AG42+'MER'!AG42+'NDN'!AG42+'SALT'!AG42+'SDN'!AG42+'SST'!AG42+'WH'!AG42+'FH'!AG42</f>
        <v/>
      </c>
      <c r="AH42" s="28">
        <f>'ABA'!AH42+'BK'!AH42+'BW'!AH42+'CED'!AH42+'HAB'!AH42+'HB'!AH42+'OD'!AH42+'HDN'!AH42+'KIN'!AH42+'LE'!AH42+'MER'!AH42+'NDN'!AH42+'SALT'!AH42+'SDN'!AH42+'SST'!AH42+'WH'!AH42+'FH'!AH42</f>
        <v/>
      </c>
      <c r="AI42" s="28">
        <f>'ABA'!AI42+'BK'!AI42+'BW'!AI42+'CED'!AI42+'HAB'!AI42+'HB'!AI42+'OD'!AI42+'HDN'!AI42+'KIN'!AI42+'LE'!AI42+'MER'!AI42+'NDN'!AI42+'SALT'!AI42+'SDN'!AI42+'SST'!AI42+'WH'!AI42+'FH'!AI42</f>
        <v/>
      </c>
      <c r="AJ42" s="28">
        <f>'ABA'!AJ42+'BK'!AJ42+'BW'!AJ42+'CED'!AJ42+'HAB'!AJ42+'HB'!AJ42+'OD'!AJ42+'HDN'!AJ42+'KIN'!AJ42+'LE'!AJ42+'MER'!AJ42+'NDN'!AJ42+'SALT'!AJ42+'SDN'!AJ42+'SST'!AJ42+'WH'!AJ42+'FH'!AJ42</f>
        <v/>
      </c>
      <c r="AK42" s="11">
        <f>IF(N42&lt;&gt;0,(AB42-N42)/ABS(N42),0)</f>
        <v/>
      </c>
      <c r="AL42" s="11">
        <f>IF(AB42&lt;&gt;0,(AJ42-AB42)/ABS(AB42),0)</f>
        <v/>
      </c>
    </row>
    <row r="43" ht="5" customHeight="1"/>
    <row r="44" ht="13" customHeight="1">
      <c r="A44" s="29" t="inlineStr">
        <is>
          <t>Total Direct Costs</t>
        </is>
      </c>
      <c r="B44" s="35">
        <f>'ABA'!B44+'BK'!B44+'BW'!B44+'CED'!B44+'HAB'!B44+'HB'!B44+'OD'!B44+'HDN'!B44+'KIN'!B44+'LE'!B44+'MER'!B44+'NDN'!B44+'SALT'!B44+'SDN'!B44+'SST'!B44+'WH'!B44+'FH'!B44</f>
        <v/>
      </c>
      <c r="C44" s="35">
        <f>'ABA'!C44+'BK'!C44+'BW'!C44+'CED'!C44+'HAB'!C44+'HB'!C44+'OD'!C44+'HDN'!C44+'KIN'!C44+'LE'!C44+'MER'!C44+'NDN'!C44+'SALT'!C44+'SDN'!C44+'SST'!C44+'WH'!C44+'FH'!C44</f>
        <v/>
      </c>
      <c r="D44" s="35">
        <f>'ABA'!D44+'BK'!D44+'BW'!D44+'CED'!D44+'HAB'!D44+'HB'!D44+'OD'!D44+'HDN'!D44+'KIN'!D44+'LE'!D44+'MER'!D44+'NDN'!D44+'SALT'!D44+'SDN'!D44+'SST'!D44+'WH'!D44+'FH'!D44</f>
        <v/>
      </c>
      <c r="E44" s="35">
        <f>'ABA'!E44+'BK'!E44+'BW'!E44+'CED'!E44+'HAB'!E44+'HB'!E44+'OD'!E44+'HDN'!E44+'KIN'!E44+'LE'!E44+'MER'!E44+'NDN'!E44+'SALT'!E44+'SDN'!E44+'SST'!E44+'WH'!E44+'FH'!E44</f>
        <v/>
      </c>
      <c r="F44" s="35">
        <f>'ABA'!F44+'BK'!F44+'BW'!F44+'CED'!F44+'HAB'!F44+'HB'!F44+'OD'!F44+'HDN'!F44+'KIN'!F44+'LE'!F44+'MER'!F44+'NDN'!F44+'SALT'!F44+'SDN'!F44+'SST'!F44+'WH'!F44+'FH'!F44</f>
        <v/>
      </c>
      <c r="G44" s="35">
        <f>'ABA'!G44+'BK'!G44+'BW'!G44+'CED'!G44+'HAB'!G44+'HB'!G44+'OD'!G44+'HDN'!G44+'KIN'!G44+'LE'!G44+'MER'!G44+'NDN'!G44+'SALT'!G44+'SDN'!G44+'SST'!G44+'WH'!G44+'FH'!G44</f>
        <v/>
      </c>
      <c r="H44" s="35">
        <f>'ABA'!H44+'BK'!H44+'BW'!H44+'CED'!H44+'HAB'!H44+'HB'!H44+'OD'!H44+'HDN'!H44+'KIN'!H44+'LE'!H44+'MER'!H44+'NDN'!H44+'SALT'!H44+'SDN'!H44+'SST'!H44+'WH'!H44+'FH'!H44</f>
        <v/>
      </c>
      <c r="I44" s="35">
        <f>'ABA'!I44+'BK'!I44+'BW'!I44+'CED'!I44+'HAB'!I44+'HB'!I44+'OD'!I44+'HDN'!I44+'KIN'!I44+'LE'!I44+'MER'!I44+'NDN'!I44+'SALT'!I44+'SDN'!I44+'SST'!I44+'WH'!I44+'FH'!I44</f>
        <v/>
      </c>
      <c r="J44" s="35">
        <f>'ABA'!J44+'BK'!J44+'BW'!J44+'CED'!J44+'HAB'!J44+'HB'!J44+'OD'!J44+'HDN'!J44+'KIN'!J44+'LE'!J44+'MER'!J44+'NDN'!J44+'SALT'!J44+'SDN'!J44+'SST'!J44+'WH'!J44+'FH'!J44</f>
        <v/>
      </c>
      <c r="K44" s="35">
        <f>'ABA'!K44+'BK'!K44+'BW'!K44+'CED'!K44+'HAB'!K44+'HB'!K44+'OD'!K44+'HDN'!K44+'KIN'!K44+'LE'!K44+'MER'!K44+'NDN'!K44+'SALT'!K44+'SDN'!K44+'SST'!K44+'WH'!K44+'FH'!K44</f>
        <v/>
      </c>
      <c r="L44" s="35">
        <f>'ABA'!L44+'BK'!L44+'BW'!L44+'CED'!L44+'HAB'!L44+'HB'!L44+'OD'!L44+'HDN'!L44+'KIN'!L44+'LE'!L44+'MER'!L44+'NDN'!L44+'SALT'!L44+'SDN'!L44+'SST'!L44+'WH'!L44+'FH'!L44</f>
        <v/>
      </c>
      <c r="M44" s="35">
        <f>'ABA'!M44+'BK'!M44+'BW'!M44+'CED'!M44+'HAB'!M44+'HB'!M44+'OD'!M44+'HDN'!M44+'KIN'!M44+'LE'!M44+'MER'!M44+'NDN'!M44+'SALT'!M44+'SDN'!M44+'SST'!M44+'WH'!M44+'FH'!M44</f>
        <v/>
      </c>
      <c r="N44" s="35">
        <f>'ABA'!N44+'BK'!N44+'BW'!N44+'CED'!N44+'HAB'!N44+'HB'!N44+'OD'!N44+'HDN'!N44+'KIN'!N44+'LE'!N44+'MER'!N44+'NDN'!N44+'SALT'!N44+'SDN'!N44+'SST'!N44+'WH'!N44+'FH'!N44</f>
        <v/>
      </c>
      <c r="O44" s="35">
        <f>'ABA'!O44+'BK'!O44+'BW'!O44+'CED'!O44+'HAB'!O44+'HB'!O44+'OD'!O44+'HDN'!O44+'KIN'!O44+'LE'!O44+'MER'!O44+'NDN'!O44+'SALT'!O44+'SDN'!O44+'SST'!O44+'WH'!O44+'FH'!O44</f>
        <v/>
      </c>
      <c r="P44" s="35">
        <f>'ABA'!P44+'BK'!P44+'BW'!P44+'CED'!P44+'HAB'!P44+'HB'!P44+'OD'!P44+'HDN'!P44+'KIN'!P44+'LE'!P44+'MER'!P44+'NDN'!P44+'SALT'!P44+'SDN'!P44+'SST'!P44+'WH'!P44+'FH'!P44</f>
        <v/>
      </c>
      <c r="Q44" s="35">
        <f>'ABA'!Q44+'BK'!Q44+'BW'!Q44+'CED'!Q44+'HAB'!Q44+'HB'!Q44+'OD'!Q44+'HDN'!Q44+'KIN'!Q44+'LE'!Q44+'MER'!Q44+'NDN'!Q44+'SALT'!Q44+'SDN'!Q44+'SST'!Q44+'WH'!Q44+'FH'!Q44</f>
        <v/>
      </c>
      <c r="R44" s="35">
        <f>'ABA'!R44+'BK'!R44+'BW'!R44+'CED'!R44+'HAB'!R44+'HB'!R44+'OD'!R44+'HDN'!R44+'KIN'!R44+'LE'!R44+'MER'!R44+'NDN'!R44+'SALT'!R44+'SDN'!R44+'SST'!R44+'WH'!R44+'FH'!R44</f>
        <v/>
      </c>
      <c r="S44" s="35">
        <f>'ABA'!S44+'BK'!S44+'BW'!S44+'CED'!S44+'HAB'!S44+'HB'!S44+'OD'!S44+'HDN'!S44+'KIN'!S44+'LE'!S44+'MER'!S44+'NDN'!S44+'SALT'!S44+'SDN'!S44+'SST'!S44+'WH'!S44+'FH'!S44</f>
        <v/>
      </c>
      <c r="T44" s="35">
        <f>'ABA'!T44+'BK'!T44+'BW'!T44+'CED'!T44+'HAB'!T44+'HB'!T44+'OD'!T44+'HDN'!T44+'KIN'!T44+'LE'!T44+'MER'!T44+'NDN'!T44+'SALT'!T44+'SDN'!T44+'SST'!T44+'WH'!T44+'FH'!T44</f>
        <v/>
      </c>
      <c r="U44" s="35">
        <f>'ABA'!U44+'BK'!U44+'BW'!U44+'CED'!U44+'HAB'!U44+'HB'!U44+'OD'!U44+'HDN'!U44+'KIN'!U44+'LE'!U44+'MER'!U44+'NDN'!U44+'SALT'!U44+'SDN'!U44+'SST'!U44+'WH'!U44+'FH'!U44</f>
        <v/>
      </c>
      <c r="V44" s="35">
        <f>'ABA'!V44+'BK'!V44+'BW'!V44+'CED'!V44+'HAB'!V44+'HB'!V44+'OD'!V44+'HDN'!V44+'KIN'!V44+'LE'!V44+'MER'!V44+'NDN'!V44+'SALT'!V44+'SDN'!V44+'SST'!V44+'WH'!V44+'FH'!V44</f>
        <v/>
      </c>
      <c r="W44" s="35">
        <f>'ABA'!W44+'BK'!W44+'BW'!W44+'CED'!W44+'HAB'!W44+'HB'!W44+'OD'!W44+'HDN'!W44+'KIN'!W44+'LE'!W44+'MER'!W44+'NDN'!W44+'SALT'!W44+'SDN'!W44+'SST'!W44+'WH'!W44+'FH'!W44</f>
        <v/>
      </c>
      <c r="X44" s="35">
        <f>'ABA'!X44+'BK'!X44+'BW'!X44+'CED'!X44+'HAB'!X44+'HB'!X44+'OD'!X44+'HDN'!X44+'KIN'!X44+'LE'!X44+'MER'!X44+'NDN'!X44+'SALT'!X44+'SDN'!X44+'SST'!X44+'WH'!X44+'FH'!X44</f>
        <v/>
      </c>
      <c r="Y44" s="35">
        <f>'ABA'!Y44+'BK'!Y44+'BW'!Y44+'CED'!Y44+'HAB'!Y44+'HB'!Y44+'OD'!Y44+'HDN'!Y44+'KIN'!Y44+'LE'!Y44+'MER'!Y44+'NDN'!Y44+'SALT'!Y44+'SDN'!Y44+'SST'!Y44+'WH'!Y44+'FH'!Y44</f>
        <v/>
      </c>
      <c r="Z44" s="35">
        <f>'ABA'!Z44+'BK'!Z44+'BW'!Z44+'CED'!Z44+'HAB'!Z44+'HB'!Z44+'OD'!Z44+'HDN'!Z44+'KIN'!Z44+'LE'!Z44+'MER'!Z44+'NDN'!Z44+'SALT'!Z44+'SDN'!Z44+'SST'!Z44+'WH'!Z44+'FH'!Z44</f>
        <v/>
      </c>
      <c r="AA44" s="35">
        <f>'ABA'!AA44+'BK'!AA44+'BW'!AA44+'CED'!AA44+'HAB'!AA44+'HB'!AA44+'OD'!AA44+'HDN'!AA44+'KIN'!AA44+'LE'!AA44+'MER'!AA44+'NDN'!AA44+'SALT'!AA44+'SDN'!AA44+'SST'!AA44+'WH'!AA44+'FH'!AA44</f>
        <v/>
      </c>
      <c r="AB44" s="35">
        <f>'ABA'!AB44+'BK'!AB44+'BW'!AB44+'CED'!AB44+'HAB'!AB44+'HB'!AB44+'OD'!AB44+'HDN'!AB44+'KIN'!AB44+'LE'!AB44+'MER'!AB44+'NDN'!AB44+'SALT'!AB44+'SDN'!AB44+'SST'!AB44+'WH'!AB44+'FH'!AB44</f>
        <v/>
      </c>
      <c r="AC44" s="35">
        <f>'ABA'!AC44+'BK'!AC44+'BW'!AC44+'CED'!AC44+'HAB'!AC44+'HB'!AC44+'OD'!AC44+'HDN'!AC44+'KIN'!AC44+'LE'!AC44+'MER'!AC44+'NDN'!AC44+'SALT'!AC44+'SDN'!AC44+'SST'!AC44+'WH'!AC44+'FH'!AC44</f>
        <v/>
      </c>
      <c r="AD44" s="35">
        <f>'ABA'!AD44+'BK'!AD44+'BW'!AD44+'CED'!AD44+'HAB'!AD44+'HB'!AD44+'OD'!AD44+'HDN'!AD44+'KIN'!AD44+'LE'!AD44+'MER'!AD44+'NDN'!AD44+'SALT'!AD44+'SDN'!AD44+'SST'!AD44+'WH'!AD44+'FH'!AD44</f>
        <v/>
      </c>
      <c r="AE44" s="35">
        <f>'ABA'!AE44+'BK'!AE44+'BW'!AE44+'CED'!AE44+'HAB'!AE44+'HB'!AE44+'OD'!AE44+'HDN'!AE44+'KIN'!AE44+'LE'!AE44+'MER'!AE44+'NDN'!AE44+'SALT'!AE44+'SDN'!AE44+'SST'!AE44+'WH'!AE44+'FH'!AE44</f>
        <v/>
      </c>
      <c r="AF44" s="35">
        <f>'ABA'!AF44+'BK'!AF44+'BW'!AF44+'CED'!AF44+'HAB'!AF44+'HB'!AF44+'OD'!AF44+'HDN'!AF44+'KIN'!AF44+'LE'!AF44+'MER'!AF44+'NDN'!AF44+'SALT'!AF44+'SDN'!AF44+'SST'!AF44+'WH'!AF44+'FH'!AF44</f>
        <v/>
      </c>
      <c r="AG44" s="35">
        <f>'ABA'!AG44+'BK'!AG44+'BW'!AG44+'CED'!AG44+'HAB'!AG44+'HB'!AG44+'OD'!AG44+'HDN'!AG44+'KIN'!AG44+'LE'!AG44+'MER'!AG44+'NDN'!AG44+'SALT'!AG44+'SDN'!AG44+'SST'!AG44+'WH'!AG44+'FH'!AG44</f>
        <v/>
      </c>
      <c r="AH44" s="35">
        <f>'ABA'!AH44+'BK'!AH44+'BW'!AH44+'CED'!AH44+'HAB'!AH44+'HB'!AH44+'OD'!AH44+'HDN'!AH44+'KIN'!AH44+'LE'!AH44+'MER'!AH44+'NDN'!AH44+'SALT'!AH44+'SDN'!AH44+'SST'!AH44+'WH'!AH44+'FH'!AH44</f>
        <v/>
      </c>
      <c r="AI44" s="35">
        <f>'ABA'!AI44+'BK'!AI44+'BW'!AI44+'CED'!AI44+'HAB'!AI44+'HB'!AI44+'OD'!AI44+'HDN'!AI44+'KIN'!AI44+'LE'!AI44+'MER'!AI44+'NDN'!AI44+'SALT'!AI44+'SDN'!AI44+'SST'!AI44+'WH'!AI44+'FH'!AI44</f>
        <v/>
      </c>
      <c r="AJ44" s="35">
        <f>'ABA'!AJ44+'BK'!AJ44+'BW'!AJ44+'CED'!AJ44+'HAB'!AJ44+'HB'!AJ44+'OD'!AJ44+'HDN'!AJ44+'KIN'!AJ44+'LE'!AJ44+'MER'!AJ44+'NDN'!AJ44+'SALT'!AJ44+'SDN'!AJ44+'SST'!AJ44+'WH'!AJ44+'FH'!AJ44</f>
        <v/>
      </c>
      <c r="AK44" s="11">
        <f>IF(N44&lt;&gt;0,(AB44-N44)/ABS(N44),0)</f>
        <v/>
      </c>
      <c r="AL44" s="11">
        <f>IF(AB44&lt;&gt;0,(AJ44-AB44)/ABS(AB44),0)</f>
        <v/>
      </c>
    </row>
    <row r="45" ht="5" customHeight="1"/>
    <row r="46" ht="15" customHeight="1">
      <c r="A46" s="30" t="inlineStr">
        <is>
          <t>CONTRIBUTION</t>
        </is>
      </c>
      <c r="B46" s="31">
        <f>('ABA'!B7+'BK'!B7+'BW'!B7+'CED'!B7+'HAB'!B7+'HB'!B7+'OD'!B7+'HDN'!B7+'KIN'!B7+'LE'!B7+'MER'!B7+'NDN'!B7+'SALT'!B7+'SDN'!B7+'SST'!B7+'WH'!B7+'FH'!B7)-('ABA'!B44+'BK'!B44+'BW'!B44+'CED'!B44+'HAB'!B44+'HB'!B44+'OD'!B44+'HDN'!B44+'KIN'!B44+'LE'!B44+'MER'!B44+'NDN'!B44+'SALT'!B44+'SDN'!B44+'SST'!B44+'WH'!B44+'FH'!B44)</f>
        <v/>
      </c>
      <c r="C46" s="31">
        <f>('ABA'!C7+'BK'!C7+'BW'!C7+'CED'!C7+'HAB'!C7+'HB'!C7+'OD'!C7+'HDN'!C7+'KIN'!C7+'LE'!C7+'MER'!C7+'NDN'!C7+'SALT'!C7+'SDN'!C7+'SST'!C7+'WH'!C7+'FH'!C7)-('ABA'!C44+'BK'!C44+'BW'!C44+'CED'!C44+'HAB'!C44+'HB'!C44+'OD'!C44+'HDN'!C44+'KIN'!C44+'LE'!C44+'MER'!C44+'NDN'!C44+'SALT'!C44+'SDN'!C44+'SST'!C44+'WH'!C44+'FH'!C44)</f>
        <v/>
      </c>
      <c r="D46" s="31">
        <f>('ABA'!D7+'BK'!D7+'BW'!D7+'CED'!D7+'HAB'!D7+'HB'!D7+'OD'!D7+'HDN'!D7+'KIN'!D7+'LE'!D7+'MER'!D7+'NDN'!D7+'SALT'!D7+'SDN'!D7+'SST'!D7+'WH'!D7+'FH'!D7)-('ABA'!D44+'BK'!D44+'BW'!D44+'CED'!D44+'HAB'!D44+'HB'!D44+'OD'!D44+'HDN'!D44+'KIN'!D44+'LE'!D44+'MER'!D44+'NDN'!D44+'SALT'!D44+'SDN'!D44+'SST'!D44+'WH'!D44+'FH'!D44)</f>
        <v/>
      </c>
      <c r="E46" s="31">
        <f>('ABA'!E7+'BK'!E7+'BW'!E7+'CED'!E7+'HAB'!E7+'HB'!E7+'OD'!E7+'HDN'!E7+'KIN'!E7+'LE'!E7+'MER'!E7+'NDN'!E7+'SALT'!E7+'SDN'!E7+'SST'!E7+'WH'!E7+'FH'!E7)-('ABA'!E44+'BK'!E44+'BW'!E44+'CED'!E44+'HAB'!E44+'HB'!E44+'OD'!E44+'HDN'!E44+'KIN'!E44+'LE'!E44+'MER'!E44+'NDN'!E44+'SALT'!E44+'SDN'!E44+'SST'!E44+'WH'!E44+'FH'!E44)</f>
        <v/>
      </c>
      <c r="F46" s="31">
        <f>('ABA'!F7+'BK'!F7+'BW'!F7+'CED'!F7+'HAB'!F7+'HB'!F7+'OD'!F7+'HDN'!F7+'KIN'!F7+'LE'!F7+'MER'!F7+'NDN'!F7+'SALT'!F7+'SDN'!F7+'SST'!F7+'WH'!F7+'FH'!F7)-('ABA'!F44+'BK'!F44+'BW'!F44+'CED'!F44+'HAB'!F44+'HB'!F44+'OD'!F44+'HDN'!F44+'KIN'!F44+'LE'!F44+'MER'!F44+'NDN'!F44+'SALT'!F44+'SDN'!F44+'SST'!F44+'WH'!F44+'FH'!F44)</f>
        <v/>
      </c>
      <c r="G46" s="31">
        <f>('ABA'!G7+'BK'!G7+'BW'!G7+'CED'!G7+'HAB'!G7+'HB'!G7+'OD'!G7+'HDN'!G7+'KIN'!G7+'LE'!G7+'MER'!G7+'NDN'!G7+'SALT'!G7+'SDN'!G7+'SST'!G7+'WH'!G7+'FH'!G7)-('ABA'!G44+'BK'!G44+'BW'!G44+'CED'!G44+'HAB'!G44+'HB'!G44+'OD'!G44+'HDN'!G44+'KIN'!G44+'LE'!G44+'MER'!G44+'NDN'!G44+'SALT'!G44+'SDN'!G44+'SST'!G44+'WH'!G44+'FH'!G44)</f>
        <v/>
      </c>
      <c r="H46" s="31">
        <f>('ABA'!H7+'BK'!H7+'BW'!H7+'CED'!H7+'HAB'!H7+'HB'!H7+'OD'!H7+'HDN'!H7+'KIN'!H7+'LE'!H7+'MER'!H7+'NDN'!H7+'SALT'!H7+'SDN'!H7+'SST'!H7+'WH'!H7+'FH'!H7)-('ABA'!H44+'BK'!H44+'BW'!H44+'CED'!H44+'HAB'!H44+'HB'!H44+'OD'!H44+'HDN'!H44+'KIN'!H44+'LE'!H44+'MER'!H44+'NDN'!H44+'SALT'!H44+'SDN'!H44+'SST'!H44+'WH'!H44+'FH'!H44)</f>
        <v/>
      </c>
      <c r="I46" s="31">
        <f>('ABA'!I7+'BK'!I7+'BW'!I7+'CED'!I7+'HAB'!I7+'HB'!I7+'OD'!I7+'HDN'!I7+'KIN'!I7+'LE'!I7+'MER'!I7+'NDN'!I7+'SALT'!I7+'SDN'!I7+'SST'!I7+'WH'!I7+'FH'!I7)-('ABA'!I44+'BK'!I44+'BW'!I44+'CED'!I44+'HAB'!I44+'HB'!I44+'OD'!I44+'HDN'!I44+'KIN'!I44+'LE'!I44+'MER'!I44+'NDN'!I44+'SALT'!I44+'SDN'!I44+'SST'!I44+'WH'!I44+'FH'!I44)</f>
        <v/>
      </c>
      <c r="J46" s="31">
        <f>('ABA'!J7+'BK'!J7+'BW'!J7+'CED'!J7+'HAB'!J7+'HB'!J7+'OD'!J7+'HDN'!J7+'KIN'!J7+'LE'!J7+'MER'!J7+'NDN'!J7+'SALT'!J7+'SDN'!J7+'SST'!J7+'WH'!J7+'FH'!J7)-('ABA'!J44+'BK'!J44+'BW'!J44+'CED'!J44+'HAB'!J44+'HB'!J44+'OD'!J44+'HDN'!J44+'KIN'!J44+'LE'!J44+'MER'!J44+'NDN'!J44+'SALT'!J44+'SDN'!J44+'SST'!J44+'WH'!J44+'FH'!J44)</f>
        <v/>
      </c>
      <c r="K46" s="31">
        <f>('ABA'!K7+'BK'!K7+'BW'!K7+'CED'!K7+'HAB'!K7+'HB'!K7+'OD'!K7+'HDN'!K7+'KIN'!K7+'LE'!K7+'MER'!K7+'NDN'!K7+'SALT'!K7+'SDN'!K7+'SST'!K7+'WH'!K7+'FH'!K7)-('ABA'!K44+'BK'!K44+'BW'!K44+'CED'!K44+'HAB'!K44+'HB'!K44+'OD'!K44+'HDN'!K44+'KIN'!K44+'LE'!K44+'MER'!K44+'NDN'!K44+'SALT'!K44+'SDN'!K44+'SST'!K44+'WH'!K44+'FH'!K44)</f>
        <v/>
      </c>
      <c r="L46" s="31">
        <f>('ABA'!L7+'BK'!L7+'BW'!L7+'CED'!L7+'HAB'!L7+'HB'!L7+'OD'!L7+'HDN'!L7+'KIN'!L7+'LE'!L7+'MER'!L7+'NDN'!L7+'SALT'!L7+'SDN'!L7+'SST'!L7+'WH'!L7+'FH'!L7)-('ABA'!L44+'BK'!L44+'BW'!L44+'CED'!L44+'HAB'!L44+'HB'!L44+'OD'!L44+'HDN'!L44+'KIN'!L44+'LE'!L44+'MER'!L44+'NDN'!L44+'SALT'!L44+'SDN'!L44+'SST'!L44+'WH'!L44+'FH'!L44)</f>
        <v/>
      </c>
      <c r="M46" s="31">
        <f>('ABA'!M7+'BK'!M7+'BW'!M7+'CED'!M7+'HAB'!M7+'HB'!M7+'OD'!M7+'HDN'!M7+'KIN'!M7+'LE'!M7+'MER'!M7+'NDN'!M7+'SALT'!M7+'SDN'!M7+'SST'!M7+'WH'!M7+'FH'!M7)-('ABA'!M44+'BK'!M44+'BW'!M44+'CED'!M44+'HAB'!M44+'HB'!M44+'OD'!M44+'HDN'!M44+'KIN'!M44+'LE'!M44+'MER'!M44+'NDN'!M44+'SALT'!M44+'SDN'!M44+'SST'!M44+'WH'!M44+'FH'!M44)</f>
        <v/>
      </c>
      <c r="N46" s="31">
        <f>('ABA'!N7+'BK'!N7+'BW'!N7+'CED'!N7+'HAB'!N7+'HB'!N7+'OD'!N7+'HDN'!N7+'KIN'!N7+'LE'!N7+'MER'!N7+'NDN'!N7+'SALT'!N7+'SDN'!N7+'SST'!N7+'WH'!N7+'FH'!N7)-('ABA'!N44+'BK'!N44+'BW'!N44+'CED'!N44+'HAB'!N44+'HB'!N44+'OD'!N44+'HDN'!N44+'KIN'!N44+'LE'!N44+'MER'!N44+'NDN'!N44+'SALT'!N44+'SDN'!N44+'SST'!N44+'WH'!N44+'FH'!N44)</f>
        <v/>
      </c>
      <c r="O46" s="31">
        <f>('ABA'!O7+'BK'!O7+'BW'!O7+'CED'!O7+'HAB'!O7+'HB'!O7+'OD'!O7+'HDN'!O7+'KIN'!O7+'LE'!O7+'MER'!O7+'NDN'!O7+'SALT'!O7+'SDN'!O7+'SST'!O7+'WH'!O7+'FH'!O7)-('ABA'!O44+'BK'!O44+'BW'!O44+'CED'!O44+'HAB'!O44+'HB'!O44+'OD'!O44+'HDN'!O44+'KIN'!O44+'LE'!O44+'MER'!O44+'NDN'!O44+'SALT'!O44+'SDN'!O44+'SST'!O44+'WH'!O44+'FH'!O44)</f>
        <v/>
      </c>
      <c r="P46" s="31">
        <f>('ABA'!P7+'BK'!P7+'BW'!P7+'CED'!P7+'HAB'!P7+'HB'!P7+'OD'!P7+'HDN'!P7+'KIN'!P7+'LE'!P7+'MER'!P7+'NDN'!P7+'SALT'!P7+'SDN'!P7+'SST'!P7+'WH'!P7+'FH'!P7)-('ABA'!P44+'BK'!P44+'BW'!P44+'CED'!P44+'HAB'!P44+'HB'!P44+'OD'!P44+'HDN'!P44+'KIN'!P44+'LE'!P44+'MER'!P44+'NDN'!P44+'SALT'!P44+'SDN'!P44+'SST'!P44+'WH'!P44+'FH'!P44)</f>
        <v/>
      </c>
      <c r="Q46" s="31">
        <f>('ABA'!Q7+'BK'!Q7+'BW'!Q7+'CED'!Q7+'HAB'!Q7+'HB'!Q7+'OD'!Q7+'HDN'!Q7+'KIN'!Q7+'LE'!Q7+'MER'!Q7+'NDN'!Q7+'SALT'!Q7+'SDN'!Q7+'SST'!Q7+'WH'!Q7+'FH'!Q7)-('ABA'!Q44+'BK'!Q44+'BW'!Q44+'CED'!Q44+'HAB'!Q44+'HB'!Q44+'OD'!Q44+'HDN'!Q44+'KIN'!Q44+'LE'!Q44+'MER'!Q44+'NDN'!Q44+'SALT'!Q44+'SDN'!Q44+'SST'!Q44+'WH'!Q44+'FH'!Q44)</f>
        <v/>
      </c>
      <c r="R46" s="31">
        <f>('ABA'!R7+'BK'!R7+'BW'!R7+'CED'!R7+'HAB'!R7+'HB'!R7+'OD'!R7+'HDN'!R7+'KIN'!R7+'LE'!R7+'MER'!R7+'NDN'!R7+'SALT'!R7+'SDN'!R7+'SST'!R7+'WH'!R7+'FH'!R7)-('ABA'!R44+'BK'!R44+'BW'!R44+'CED'!R44+'HAB'!R44+'HB'!R44+'OD'!R44+'HDN'!R44+'KIN'!R44+'LE'!R44+'MER'!R44+'NDN'!R44+'SALT'!R44+'SDN'!R44+'SST'!R44+'WH'!R44+'FH'!R44)</f>
        <v/>
      </c>
      <c r="S46" s="31">
        <f>('ABA'!S7+'BK'!S7+'BW'!S7+'CED'!S7+'HAB'!S7+'HB'!S7+'OD'!S7+'HDN'!S7+'KIN'!S7+'LE'!S7+'MER'!S7+'NDN'!S7+'SALT'!S7+'SDN'!S7+'SST'!S7+'WH'!S7+'FH'!S7)-('ABA'!S44+'BK'!S44+'BW'!S44+'CED'!S44+'HAB'!S44+'HB'!S44+'OD'!S44+'HDN'!S44+'KIN'!S44+'LE'!S44+'MER'!S44+'NDN'!S44+'SALT'!S44+'SDN'!S44+'SST'!S44+'WH'!S44+'FH'!S44)</f>
        <v/>
      </c>
      <c r="T46" s="31">
        <f>('ABA'!T7+'BK'!T7+'BW'!T7+'CED'!T7+'HAB'!T7+'HB'!T7+'OD'!T7+'HDN'!T7+'KIN'!T7+'LE'!T7+'MER'!T7+'NDN'!T7+'SALT'!T7+'SDN'!T7+'SST'!T7+'WH'!T7+'FH'!T7)-('ABA'!T44+'BK'!T44+'BW'!T44+'CED'!T44+'HAB'!T44+'HB'!T44+'OD'!T44+'HDN'!T44+'KIN'!T44+'LE'!T44+'MER'!T44+'NDN'!T44+'SALT'!T44+'SDN'!T44+'SST'!T44+'WH'!T44+'FH'!T44)</f>
        <v/>
      </c>
      <c r="U46" s="31">
        <f>('ABA'!U7+'BK'!U7+'BW'!U7+'CED'!U7+'HAB'!U7+'HB'!U7+'OD'!U7+'HDN'!U7+'KIN'!U7+'LE'!U7+'MER'!U7+'NDN'!U7+'SALT'!U7+'SDN'!U7+'SST'!U7+'WH'!U7+'FH'!U7)-('ABA'!U44+'BK'!U44+'BW'!U44+'CED'!U44+'HAB'!U44+'HB'!U44+'OD'!U44+'HDN'!U44+'KIN'!U44+'LE'!U44+'MER'!U44+'NDN'!U44+'SALT'!U44+'SDN'!U44+'SST'!U44+'WH'!U44+'FH'!U44)</f>
        <v/>
      </c>
      <c r="V46" s="31">
        <f>('ABA'!V7+'BK'!V7+'BW'!V7+'CED'!V7+'HAB'!V7+'HB'!V7+'OD'!V7+'HDN'!V7+'KIN'!V7+'LE'!V7+'MER'!V7+'NDN'!V7+'SALT'!V7+'SDN'!V7+'SST'!V7+'WH'!V7+'FH'!V7)-('ABA'!V44+'BK'!V44+'BW'!V44+'CED'!V44+'HAB'!V44+'HB'!V44+'OD'!V44+'HDN'!V44+'KIN'!V44+'LE'!V44+'MER'!V44+'NDN'!V44+'SALT'!V44+'SDN'!V44+'SST'!V44+'WH'!V44+'FH'!V44)</f>
        <v/>
      </c>
      <c r="W46" s="31">
        <f>('ABA'!W7+'BK'!W7+'BW'!W7+'CED'!W7+'HAB'!W7+'HB'!W7+'OD'!W7+'HDN'!W7+'KIN'!W7+'LE'!W7+'MER'!W7+'NDN'!W7+'SALT'!W7+'SDN'!W7+'SST'!W7+'WH'!W7+'FH'!W7)-('ABA'!W44+'BK'!W44+'BW'!W44+'CED'!W44+'HAB'!W44+'HB'!W44+'OD'!W44+'HDN'!W44+'KIN'!W44+'LE'!W44+'MER'!W44+'NDN'!W44+'SALT'!W44+'SDN'!W44+'SST'!W44+'WH'!W44+'FH'!W44)</f>
        <v/>
      </c>
      <c r="X46" s="31">
        <f>('ABA'!X7+'BK'!X7+'BW'!X7+'CED'!X7+'HAB'!X7+'HB'!X7+'OD'!X7+'HDN'!X7+'KIN'!X7+'LE'!X7+'MER'!X7+'NDN'!X7+'SALT'!X7+'SDN'!X7+'SST'!X7+'WH'!X7+'FH'!X7)-('ABA'!X44+'BK'!X44+'BW'!X44+'CED'!X44+'HAB'!X44+'HB'!X44+'OD'!X44+'HDN'!X44+'KIN'!X44+'LE'!X44+'MER'!X44+'NDN'!X44+'SALT'!X44+'SDN'!X44+'SST'!X44+'WH'!X44+'FH'!X44)</f>
        <v/>
      </c>
      <c r="Y46" s="31">
        <f>('ABA'!Y7+'BK'!Y7+'BW'!Y7+'CED'!Y7+'HAB'!Y7+'HB'!Y7+'OD'!Y7+'HDN'!Y7+'KIN'!Y7+'LE'!Y7+'MER'!Y7+'NDN'!Y7+'SALT'!Y7+'SDN'!Y7+'SST'!Y7+'WH'!Y7+'FH'!Y7)-('ABA'!Y44+'BK'!Y44+'BW'!Y44+'CED'!Y44+'HAB'!Y44+'HB'!Y44+'OD'!Y44+'HDN'!Y44+'KIN'!Y44+'LE'!Y44+'MER'!Y44+'NDN'!Y44+'SALT'!Y44+'SDN'!Y44+'SST'!Y44+'WH'!Y44+'FH'!Y44)</f>
        <v/>
      </c>
      <c r="Z46" s="31">
        <f>('ABA'!Z7+'BK'!Z7+'BW'!Z7+'CED'!Z7+'HAB'!Z7+'HB'!Z7+'OD'!Z7+'HDN'!Z7+'KIN'!Z7+'LE'!Z7+'MER'!Z7+'NDN'!Z7+'SALT'!Z7+'SDN'!Z7+'SST'!Z7+'WH'!Z7+'FH'!Z7)-('ABA'!Z44+'BK'!Z44+'BW'!Z44+'CED'!Z44+'HAB'!Z44+'HB'!Z44+'OD'!Z44+'HDN'!Z44+'KIN'!Z44+'LE'!Z44+'MER'!Z44+'NDN'!Z44+'SALT'!Z44+'SDN'!Z44+'SST'!Z44+'WH'!Z44+'FH'!Z44)</f>
        <v/>
      </c>
      <c r="AA46" s="31">
        <f>('ABA'!AA7+'BK'!AA7+'BW'!AA7+'CED'!AA7+'HAB'!AA7+'HB'!AA7+'OD'!AA7+'HDN'!AA7+'KIN'!AA7+'LE'!AA7+'MER'!AA7+'NDN'!AA7+'SALT'!AA7+'SDN'!AA7+'SST'!AA7+'WH'!AA7+'FH'!AA7)-('ABA'!AA44+'BK'!AA44+'BW'!AA44+'CED'!AA44+'HAB'!AA44+'HB'!AA44+'OD'!AA44+'HDN'!AA44+'KIN'!AA44+'LE'!AA44+'MER'!AA44+'NDN'!AA44+'SALT'!AA44+'SDN'!AA44+'SST'!AA44+'WH'!AA44+'FH'!AA44)</f>
        <v/>
      </c>
      <c r="AB46" s="31">
        <f>('ABA'!AB7+'BK'!AB7+'BW'!AB7+'CED'!AB7+'HAB'!AB7+'HB'!AB7+'OD'!AB7+'HDN'!AB7+'KIN'!AB7+'LE'!AB7+'MER'!AB7+'NDN'!AB7+'SALT'!AB7+'SDN'!AB7+'SST'!AB7+'WH'!AB7+'FH'!AB7)-('ABA'!AB44+'BK'!AB44+'BW'!AB44+'CED'!AB44+'HAB'!AB44+'HB'!AB44+'OD'!AB44+'HDN'!AB44+'KIN'!AB44+'LE'!AB44+'MER'!AB44+'NDN'!AB44+'SALT'!AB44+'SDN'!AB44+'SST'!AB44+'WH'!AB44+'FH'!AB44)</f>
        <v/>
      </c>
      <c r="AC46" s="31">
        <f>('ABA'!AC7+'BK'!AC7+'BW'!AC7+'CED'!AC7+'HAB'!AC7+'HB'!AC7+'OD'!AC7+'HDN'!AC7+'KIN'!AC7+'LE'!AC7+'MER'!AC7+'NDN'!AC7+'SALT'!AC7+'SDN'!AC7+'SST'!AC7+'WH'!AC7+'FH'!AC7)-('ABA'!AC44+'BK'!AC44+'BW'!AC44+'CED'!AC44+'HAB'!AC44+'HB'!AC44+'OD'!AC44+'HDN'!AC44+'KIN'!AC44+'LE'!AC44+'MER'!AC44+'NDN'!AC44+'SALT'!AC44+'SDN'!AC44+'SST'!AC44+'WH'!AC44+'FH'!AC44)</f>
        <v/>
      </c>
      <c r="AD46" s="31">
        <f>('ABA'!AD7+'BK'!AD7+'BW'!AD7+'CED'!AD7+'HAB'!AD7+'HB'!AD7+'OD'!AD7+'HDN'!AD7+'KIN'!AD7+'LE'!AD7+'MER'!AD7+'NDN'!AD7+'SALT'!AD7+'SDN'!AD7+'SST'!AD7+'WH'!AD7+'FH'!AD7)-('ABA'!AD44+'BK'!AD44+'BW'!AD44+'CED'!AD44+'HAB'!AD44+'HB'!AD44+'OD'!AD44+'HDN'!AD44+'KIN'!AD44+'LE'!AD44+'MER'!AD44+'NDN'!AD44+'SALT'!AD44+'SDN'!AD44+'SST'!AD44+'WH'!AD44+'FH'!AD44)</f>
        <v/>
      </c>
      <c r="AE46" s="31">
        <f>('ABA'!AE7+'BK'!AE7+'BW'!AE7+'CED'!AE7+'HAB'!AE7+'HB'!AE7+'OD'!AE7+'HDN'!AE7+'KIN'!AE7+'LE'!AE7+'MER'!AE7+'NDN'!AE7+'SALT'!AE7+'SDN'!AE7+'SST'!AE7+'WH'!AE7+'FH'!AE7)-('ABA'!AE44+'BK'!AE44+'BW'!AE44+'CED'!AE44+'HAB'!AE44+'HB'!AE44+'OD'!AE44+'HDN'!AE44+'KIN'!AE44+'LE'!AE44+'MER'!AE44+'NDN'!AE44+'SALT'!AE44+'SDN'!AE44+'SST'!AE44+'WH'!AE44+'FH'!AE44)</f>
        <v/>
      </c>
      <c r="AF46" s="31">
        <f>('ABA'!AF7+'BK'!AF7+'BW'!AF7+'CED'!AF7+'HAB'!AF7+'HB'!AF7+'OD'!AF7+'HDN'!AF7+'KIN'!AF7+'LE'!AF7+'MER'!AF7+'NDN'!AF7+'SALT'!AF7+'SDN'!AF7+'SST'!AF7+'WH'!AF7+'FH'!AF7)-('ABA'!AF44+'BK'!AF44+'BW'!AF44+'CED'!AF44+'HAB'!AF44+'HB'!AF44+'OD'!AF44+'HDN'!AF44+'KIN'!AF44+'LE'!AF44+'MER'!AF44+'NDN'!AF44+'SALT'!AF44+'SDN'!AF44+'SST'!AF44+'WH'!AF44+'FH'!AF44)</f>
        <v/>
      </c>
      <c r="AG46" s="31">
        <f>('ABA'!AG7+'BK'!AG7+'BW'!AG7+'CED'!AG7+'HAB'!AG7+'HB'!AG7+'OD'!AG7+'HDN'!AG7+'KIN'!AG7+'LE'!AG7+'MER'!AG7+'NDN'!AG7+'SALT'!AG7+'SDN'!AG7+'SST'!AG7+'WH'!AG7+'FH'!AG7)-('ABA'!AG44+'BK'!AG44+'BW'!AG44+'CED'!AG44+'HAB'!AG44+'HB'!AG44+'OD'!AG44+'HDN'!AG44+'KIN'!AG44+'LE'!AG44+'MER'!AG44+'NDN'!AG44+'SALT'!AG44+'SDN'!AG44+'SST'!AG44+'WH'!AG44+'FH'!AG44)</f>
        <v/>
      </c>
      <c r="AH46" s="31">
        <f>('ABA'!AH7+'BK'!AH7+'BW'!AH7+'CED'!AH7+'HAB'!AH7+'HB'!AH7+'OD'!AH7+'HDN'!AH7+'KIN'!AH7+'LE'!AH7+'MER'!AH7+'NDN'!AH7+'SALT'!AH7+'SDN'!AH7+'SST'!AH7+'WH'!AH7+'FH'!AH7)-('ABA'!AH44+'BK'!AH44+'BW'!AH44+'CED'!AH44+'HAB'!AH44+'HB'!AH44+'OD'!AH44+'HDN'!AH44+'KIN'!AH44+'LE'!AH44+'MER'!AH44+'NDN'!AH44+'SALT'!AH44+'SDN'!AH44+'SST'!AH44+'WH'!AH44+'FH'!AH44)</f>
        <v/>
      </c>
      <c r="AI46" s="31">
        <f>('ABA'!AI7+'BK'!AI7+'BW'!AI7+'CED'!AI7+'HAB'!AI7+'HB'!AI7+'OD'!AI7+'HDN'!AI7+'KIN'!AI7+'LE'!AI7+'MER'!AI7+'NDN'!AI7+'SALT'!AI7+'SDN'!AI7+'SST'!AI7+'WH'!AI7+'FH'!AI7)-('ABA'!AI44+'BK'!AI44+'BW'!AI44+'CED'!AI44+'HAB'!AI44+'HB'!AI44+'OD'!AI44+'HDN'!AI44+'KIN'!AI44+'LE'!AI44+'MER'!AI44+'NDN'!AI44+'SALT'!AI44+'SDN'!AI44+'SST'!AI44+'WH'!AI44+'FH'!AI44)</f>
        <v/>
      </c>
      <c r="AJ46" s="31">
        <f>('ABA'!AJ7+'BK'!AJ7+'BW'!AJ7+'CED'!AJ7+'HAB'!AJ7+'HB'!AJ7+'OD'!AJ7+'HDN'!AJ7+'KIN'!AJ7+'LE'!AJ7+'MER'!AJ7+'NDN'!AJ7+'SALT'!AJ7+'SDN'!AJ7+'SST'!AJ7+'WH'!AJ7+'FH'!AJ7)-('ABA'!AJ44+'BK'!AJ44+'BW'!AJ44+'CED'!AJ44+'HAB'!AJ44+'HB'!AJ44+'OD'!AJ44+'HDN'!AJ44+'KIN'!AJ44+'LE'!AJ44+'MER'!AJ44+'NDN'!AJ44+'SALT'!AJ44+'SDN'!AJ44+'SST'!AJ44+'WH'!AJ44+'FH'!AJ44)</f>
        <v/>
      </c>
      <c r="AK46" s="11">
        <f>IF(N46&lt;&gt;0,(AB46-N46)/ABS(N46),0)</f>
        <v/>
      </c>
      <c r="AL46" s="11">
        <f>IF(AB46&lt;&gt;0,(AJ46-AB46)/ABS(AB46),0)</f>
        <v/>
      </c>
    </row>
    <row r="47" ht="5" customHeight="1"/>
    <row r="48" ht="15" customHeight="1">
      <c r="A48" s="7" t="inlineStr">
        <is>
          <t>HEAD OFFICE OVERHEADS</t>
        </is>
      </c>
    </row>
    <row r="49" ht="13" customHeight="1">
      <c r="A49" s="15" t="inlineStr">
        <is>
          <t xml:space="preserve">    HO Salaries</t>
        </is>
      </c>
      <c r="B49" s="16" t="n">
        <v>82089.10000000001</v>
      </c>
      <c r="C49" s="16" t="n">
        <v>83145.28</v>
      </c>
      <c r="D49" s="16" t="n">
        <v>82791.22</v>
      </c>
      <c r="E49" s="16" t="n">
        <v>134235.96</v>
      </c>
      <c r="F49" s="16" t="n">
        <v>81426.45999999999</v>
      </c>
      <c r="G49" s="16" t="n">
        <v>97910.46000000001</v>
      </c>
      <c r="H49" s="16" t="n">
        <v>97978.69</v>
      </c>
      <c r="I49" s="16" t="n">
        <v>112374.73</v>
      </c>
      <c r="J49" s="16" t="n">
        <v>137394</v>
      </c>
      <c r="K49" s="16" t="n">
        <v>102166.94</v>
      </c>
      <c r="L49" s="16" t="n">
        <v>108279</v>
      </c>
      <c r="M49" s="16" t="n">
        <v>384692.96</v>
      </c>
      <c r="N49" s="16">
        <f>SUM(B49:M49)</f>
        <v/>
      </c>
      <c r="O49" s="16" t="n">
        <v>110561.6</v>
      </c>
      <c r="P49" s="16" t="n">
        <v>104194.85</v>
      </c>
      <c r="Q49" s="16" t="n">
        <v>122684.97</v>
      </c>
      <c r="R49" s="16" t="n">
        <v>172859.62</v>
      </c>
      <c r="S49" s="16" t="n">
        <v>117438.53</v>
      </c>
      <c r="T49" s="16" t="n">
        <v>116497.42</v>
      </c>
      <c r="U49" s="16" t="n">
        <v>117057.9</v>
      </c>
      <c r="V49" s="16" t="n">
        <v>117439</v>
      </c>
      <c r="W49" s="16" t="n">
        <v>117439</v>
      </c>
      <c r="X49" s="16" t="n">
        <v>117439</v>
      </c>
      <c r="Y49" s="16" t="n">
        <v>117439</v>
      </c>
      <c r="Z49" s="16" t="n">
        <v>398439</v>
      </c>
      <c r="AA49" s="16">
        <f>SUM(O49:U49)</f>
        <v/>
      </c>
      <c r="AB49" s="16">
        <f>SUM(O49:Z49)</f>
        <v/>
      </c>
      <c r="AC49" s="16" t="n">
        <v>117439</v>
      </c>
      <c r="AD49" s="16" t="n">
        <v>117439</v>
      </c>
      <c r="AE49" s="16" t="n">
        <v>117439</v>
      </c>
      <c r="AF49" s="16" t="n">
        <v>117439</v>
      </c>
      <c r="AG49" s="16" t="n">
        <v>117439</v>
      </c>
      <c r="AH49" s="16" t="n">
        <v>117439</v>
      </c>
      <c r="AI49" s="10" t="n">
        <v>704634</v>
      </c>
      <c r="AJ49" s="16">
        <f>SUM(AC49:AH49)+AI49</f>
        <v/>
      </c>
      <c r="AK49" s="11">
        <f>IF(N49&lt;&gt;0,(AB49-N49)/ABS(N49),0)</f>
        <v/>
      </c>
      <c r="AL49" s="11">
        <f>IF(AB49&lt;&gt;0,(AJ49-AB49)/ABS(AB49),0)</f>
        <v/>
      </c>
    </row>
    <row r="50" ht="13" customHeight="1">
      <c r="A50" s="15" t="inlineStr">
        <is>
          <t xml:space="preserve">    HO NI</t>
        </is>
      </c>
      <c r="B50" s="16" t="n">
        <v>9992.110000000001</v>
      </c>
      <c r="C50" s="16" t="n">
        <v>11326.84</v>
      </c>
      <c r="D50" s="16" t="n">
        <v>11325.06</v>
      </c>
      <c r="E50" s="16" t="n">
        <v>20699.56</v>
      </c>
      <c r="F50" s="16" t="n">
        <v>12797.69</v>
      </c>
      <c r="G50" s="16" t="n">
        <v>15261.34</v>
      </c>
      <c r="H50" s="16" t="n">
        <v>15170.04</v>
      </c>
      <c r="I50" s="16" t="n">
        <v>17278.08</v>
      </c>
      <c r="J50" s="16" t="n">
        <v>15614.88</v>
      </c>
      <c r="K50" s="16" t="n">
        <v>14827.88</v>
      </c>
      <c r="L50" s="16" t="n">
        <v>15458.86</v>
      </c>
      <c r="M50" s="16" t="n">
        <v>57020.84</v>
      </c>
      <c r="N50" s="16">
        <f>SUM(B50:M50)</f>
        <v/>
      </c>
      <c r="O50" s="16" t="n">
        <v>15829.25</v>
      </c>
      <c r="P50" s="16" t="n">
        <v>14890.45</v>
      </c>
      <c r="Q50" s="16" t="n">
        <v>17671.3</v>
      </c>
      <c r="R50" s="16" t="n">
        <v>25136.38</v>
      </c>
      <c r="S50" s="16" t="n">
        <v>16772.83</v>
      </c>
      <c r="T50" s="16" t="n">
        <v>16744.56</v>
      </c>
      <c r="U50" s="16" t="n">
        <v>16640.7</v>
      </c>
      <c r="V50" s="16" t="n">
        <v>16773</v>
      </c>
      <c r="W50" s="16" t="n">
        <v>16773</v>
      </c>
      <c r="X50" s="16" t="n">
        <v>16773</v>
      </c>
      <c r="Y50" s="16" t="n">
        <v>16773</v>
      </c>
      <c r="Z50" s="16" t="n">
        <v>16773</v>
      </c>
      <c r="AA50" s="16">
        <f>SUM(O50:U50)</f>
        <v/>
      </c>
      <c r="AB50" s="16">
        <f>SUM(O50:Z50)</f>
        <v/>
      </c>
      <c r="AC50" s="16" t="n">
        <v>16773</v>
      </c>
      <c r="AD50" s="16" t="n">
        <v>16773</v>
      </c>
      <c r="AE50" s="16" t="n">
        <v>16773</v>
      </c>
      <c r="AF50" s="16" t="n">
        <v>16773</v>
      </c>
      <c r="AG50" s="16" t="n">
        <v>16773</v>
      </c>
      <c r="AH50" s="16" t="n">
        <v>16773</v>
      </c>
      <c r="AI50" s="10" t="n">
        <v>100638</v>
      </c>
      <c r="AJ50" s="16">
        <f>SUM(AC50:AH50)+AI50</f>
        <v/>
      </c>
      <c r="AK50" s="11">
        <f>IF(N50&lt;&gt;0,(AB50-N50)/ABS(N50),0)</f>
        <v/>
      </c>
      <c r="AL50" s="11">
        <f>IF(AB50&lt;&gt;0,(AJ50-AB50)/ABS(AB50),0)</f>
        <v/>
      </c>
    </row>
    <row r="51" ht="13" customHeight="1">
      <c r="A51" s="15" t="inlineStr">
        <is>
          <t xml:space="preserve">    HO Pension</t>
        </is>
      </c>
      <c r="B51" s="16" t="n">
        <v>832.4000000000001</v>
      </c>
      <c r="C51" s="16" t="n">
        <v>886.37</v>
      </c>
      <c r="D51" s="16" t="n">
        <v>987.53</v>
      </c>
      <c r="E51" s="16" t="n">
        <v>1010.72</v>
      </c>
      <c r="F51" s="16" t="n">
        <v>917.11</v>
      </c>
      <c r="G51" s="16" t="n">
        <v>900.63</v>
      </c>
      <c r="H51" s="16" t="n">
        <v>1072.08</v>
      </c>
      <c r="I51" s="16" t="n">
        <v>989.58</v>
      </c>
      <c r="J51" s="16" t="n">
        <v>823.79</v>
      </c>
      <c r="K51" s="16" t="n">
        <v>958.6500000000001</v>
      </c>
      <c r="L51" s="16" t="n">
        <v>1038.97</v>
      </c>
      <c r="M51" s="16" t="n">
        <v>980.35</v>
      </c>
      <c r="N51" s="16">
        <f>SUM(B51:M51)</f>
        <v/>
      </c>
      <c r="O51" s="16" t="n">
        <v>1185.13</v>
      </c>
      <c r="P51" s="16" t="n">
        <v>1099.1</v>
      </c>
      <c r="Q51" s="16" t="n">
        <v>1911.99</v>
      </c>
      <c r="R51" s="16" t="n">
        <v>1982.45</v>
      </c>
      <c r="S51" s="16" t="n">
        <v>1897.62</v>
      </c>
      <c r="T51" s="16" t="n">
        <v>1896.13</v>
      </c>
      <c r="U51" s="16" t="n">
        <v>1156.53</v>
      </c>
      <c r="V51" s="16" t="n">
        <v>1897.62</v>
      </c>
      <c r="W51" s="16" t="n">
        <v>1897.62</v>
      </c>
      <c r="X51" s="16" t="n">
        <v>1897.62</v>
      </c>
      <c r="Y51" s="16" t="n">
        <v>1897.62</v>
      </c>
      <c r="Z51" s="16" t="n">
        <v>1897.62</v>
      </c>
      <c r="AA51" s="16">
        <f>SUM(O51:U51)</f>
        <v/>
      </c>
      <c r="AB51" s="16">
        <f>SUM(O51:Z51)</f>
        <v/>
      </c>
      <c r="AC51" s="16" t="n">
        <v>1897.62</v>
      </c>
      <c r="AD51" s="16" t="n">
        <v>1897.62</v>
      </c>
      <c r="AE51" s="16" t="n">
        <v>1897.62</v>
      </c>
      <c r="AF51" s="16" t="n">
        <v>1897.62</v>
      </c>
      <c r="AG51" s="16" t="n">
        <v>1897.62</v>
      </c>
      <c r="AH51" s="16" t="n">
        <v>1897.62</v>
      </c>
      <c r="AI51" s="10" t="n">
        <v>11385.72</v>
      </c>
      <c r="AJ51" s="16">
        <f>SUM(AC51:AH51)+AI51</f>
        <v/>
      </c>
      <c r="AK51" s="11">
        <f>IF(N51&lt;&gt;0,(AB51-N51)/ABS(N51),0)</f>
        <v/>
      </c>
      <c r="AL51" s="11">
        <f>IF(AB51&lt;&gt;0,(AJ51-AB51)/ABS(AB51),0)</f>
        <v/>
      </c>
    </row>
    <row r="52" ht="13" customHeight="1">
      <c r="A52" s="15" t="inlineStr">
        <is>
          <t xml:space="preserve">    IT Support</t>
        </is>
      </c>
      <c r="B52" s="16" t="n">
        <v>2433.87</v>
      </c>
      <c r="C52" s="16" t="n">
        <v>3479.54</v>
      </c>
      <c r="D52" s="16" t="n">
        <v>2017.34</v>
      </c>
      <c r="E52" s="16" t="n">
        <v>2017.34</v>
      </c>
      <c r="F52" s="16" t="n">
        <v>1354.84</v>
      </c>
      <c r="G52" s="16" t="n">
        <v>2674.84</v>
      </c>
      <c r="H52" s="16" t="n">
        <v>2011.34</v>
      </c>
      <c r="I52" s="16" t="n">
        <v>3673.34</v>
      </c>
      <c r="J52" s="16" t="n">
        <v>8823.34</v>
      </c>
      <c r="K52" s="16" t="n">
        <v>1983.34</v>
      </c>
      <c r="L52" s="16" t="n">
        <v>2678.34</v>
      </c>
      <c r="M52" s="16" t="n">
        <v>2876.74</v>
      </c>
      <c r="N52" s="16">
        <f>SUM(B52:M52)</f>
        <v/>
      </c>
      <c r="O52" s="16" t="n">
        <v>2238.11</v>
      </c>
      <c r="P52" s="16" t="n">
        <v>1404.87</v>
      </c>
      <c r="Q52" s="16" t="n">
        <v>1404.87</v>
      </c>
      <c r="R52" s="16" t="n">
        <v>2893.39</v>
      </c>
      <c r="S52" s="16" t="n">
        <v>2933.33</v>
      </c>
      <c r="T52" s="16" t="n">
        <v>14489.47</v>
      </c>
      <c r="U52" s="16" t="n">
        <v>3526.92</v>
      </c>
      <c r="V52" s="16" t="n">
        <v>2856</v>
      </c>
      <c r="W52" s="16" t="n">
        <v>2856</v>
      </c>
      <c r="X52" s="16" t="n">
        <v>2856</v>
      </c>
      <c r="Y52" s="16" t="n">
        <v>2856</v>
      </c>
      <c r="Z52" s="16" t="n">
        <v>2856</v>
      </c>
      <c r="AA52" s="16">
        <f>SUM(O52:U52)</f>
        <v/>
      </c>
      <c r="AB52" s="16">
        <f>SUM(O52:Z52)</f>
        <v/>
      </c>
      <c r="AC52" s="16" t="n">
        <v>2856</v>
      </c>
      <c r="AD52" s="16" t="n">
        <v>2856</v>
      </c>
      <c r="AE52" s="16" t="n">
        <v>2856</v>
      </c>
      <c r="AF52" s="16" t="n">
        <v>2856</v>
      </c>
      <c r="AG52" s="16" t="n">
        <v>2856</v>
      </c>
      <c r="AH52" s="16" t="n">
        <v>2856</v>
      </c>
      <c r="AI52" s="10" t="n">
        <v>17136</v>
      </c>
      <c r="AJ52" s="16">
        <f>SUM(AC52:AH52)+AI52</f>
        <v/>
      </c>
      <c r="AK52" s="11">
        <f>IF(N52&lt;&gt;0,(AB52-N52)/ABS(N52),0)</f>
        <v/>
      </c>
      <c r="AL52" s="11">
        <f>IF(AB52&lt;&gt;0,(AJ52-AB52)/ABS(AB52),0)</f>
        <v/>
      </c>
    </row>
    <row r="53" ht="13" customHeight="1">
      <c r="A53" s="15" t="inlineStr">
        <is>
          <t xml:space="preserve">    Fees &amp; Subscriptions</t>
        </is>
      </c>
      <c r="B53" s="16" t="n">
        <v>2454.27</v>
      </c>
      <c r="C53" s="16" t="n">
        <v>1106.72</v>
      </c>
      <c r="D53" s="16" t="n">
        <v>889.8899999999999</v>
      </c>
      <c r="E53" s="16" t="n">
        <v>816.7800000000002</v>
      </c>
      <c r="F53" s="16" t="n">
        <v>596.15</v>
      </c>
      <c r="G53" s="16" t="n">
        <v>1147.02</v>
      </c>
      <c r="H53" s="16" t="n">
        <v>691.1</v>
      </c>
      <c r="I53" s="16" t="n">
        <v>643.24</v>
      </c>
      <c r="J53" s="16" t="n">
        <v>702.25</v>
      </c>
      <c r="K53" s="16" t="n">
        <v>1270.33</v>
      </c>
      <c r="L53" s="16" t="n">
        <v>1521.97</v>
      </c>
      <c r="M53" s="16" t="n">
        <v>2788.829999999999</v>
      </c>
      <c r="N53" s="16">
        <f>SUM(B53:M53)</f>
        <v/>
      </c>
      <c r="O53" s="16" t="n">
        <v>1186.5</v>
      </c>
      <c r="P53" s="16" t="n">
        <v>1186.5</v>
      </c>
      <c r="Q53" s="16" t="n">
        <v>1186.5</v>
      </c>
      <c r="R53" s="16" t="n">
        <v>2593.73</v>
      </c>
      <c r="S53" s="16" t="n">
        <v>2593.73</v>
      </c>
      <c r="T53" s="16" t="n">
        <v>2593.73</v>
      </c>
      <c r="U53" s="16" t="n">
        <v>2593.71</v>
      </c>
      <c r="V53" s="16" t="n">
        <v>2466</v>
      </c>
      <c r="W53" s="16" t="n">
        <v>2466</v>
      </c>
      <c r="X53" s="16" t="n">
        <v>2466</v>
      </c>
      <c r="Y53" s="16" t="n">
        <v>2466</v>
      </c>
      <c r="Z53" s="16" t="n">
        <v>2466</v>
      </c>
      <c r="AA53" s="16">
        <f>SUM(O53:U53)</f>
        <v/>
      </c>
      <c r="AB53" s="16">
        <f>SUM(O53:Z53)</f>
        <v/>
      </c>
      <c r="AC53" s="16" t="n">
        <v>2466</v>
      </c>
      <c r="AD53" s="16" t="n">
        <v>2466</v>
      </c>
      <c r="AE53" s="16" t="n">
        <v>2466</v>
      </c>
      <c r="AF53" s="16" t="n">
        <v>2466</v>
      </c>
      <c r="AG53" s="16" t="n">
        <v>2466</v>
      </c>
      <c r="AH53" s="16" t="n">
        <v>2466</v>
      </c>
      <c r="AI53" s="10" t="n">
        <v>14796</v>
      </c>
      <c r="AJ53" s="16">
        <f>SUM(AC53:AH53)+AI53</f>
        <v/>
      </c>
      <c r="AK53" s="11">
        <f>IF(N53&lt;&gt;0,(AB53-N53)/ABS(N53),0)</f>
        <v/>
      </c>
      <c r="AL53" s="11">
        <f>IF(AB53&lt;&gt;0,(AJ53-AB53)/ABS(AB53),0)</f>
        <v/>
      </c>
    </row>
    <row r="54" ht="13" customHeight="1">
      <c r="A54" s="15" t="inlineStr">
        <is>
          <t xml:space="preserve">    Business Insurance</t>
        </is>
      </c>
      <c r="B54" s="16" t="n">
        <v>465.62</v>
      </c>
      <c r="C54" s="16" t="n">
        <v>465.62</v>
      </c>
      <c r="D54" s="16" t="n">
        <v>465.62</v>
      </c>
      <c r="E54" s="16" t="n">
        <v>465.62</v>
      </c>
      <c r="F54" s="16" t="n">
        <v>465.62</v>
      </c>
      <c r="G54" s="16" t="n">
        <v>341.4</v>
      </c>
      <c r="H54" s="16" t="n">
        <v>341.4</v>
      </c>
      <c r="I54" s="16" t="n">
        <v>341.4</v>
      </c>
      <c r="J54" s="16" t="n">
        <v>341.4</v>
      </c>
      <c r="K54" s="16" t="n">
        <v>341.4</v>
      </c>
      <c r="L54" s="16" t="n">
        <v>341.4</v>
      </c>
      <c r="M54" s="16" t="n">
        <v>0</v>
      </c>
      <c r="N54" s="16">
        <f>SUM(B54:M54)</f>
        <v/>
      </c>
      <c r="O54" s="16" t="n">
        <v>0</v>
      </c>
      <c r="P54" s="16" t="n">
        <v>0</v>
      </c>
      <c r="Q54" s="16" t="n">
        <v>12212.4</v>
      </c>
      <c r="R54" s="16" t="n">
        <v>2756.4</v>
      </c>
      <c r="S54" s="16" t="n">
        <v>0</v>
      </c>
      <c r="T54" s="16" t="n">
        <v>0</v>
      </c>
      <c r="U54" s="16" t="n">
        <v>195.75</v>
      </c>
      <c r="V54" s="16" t="n">
        <v>0</v>
      </c>
      <c r="W54" s="16" t="n">
        <v>0</v>
      </c>
      <c r="X54" s="16" t="n">
        <v>0</v>
      </c>
      <c r="Y54" s="16" t="n">
        <v>0</v>
      </c>
      <c r="Z54" s="16" t="n">
        <v>0</v>
      </c>
      <c r="AA54" s="16">
        <f>SUM(O54:U54)</f>
        <v/>
      </c>
      <c r="AB54" s="16">
        <f>SUM(O54:Z54)</f>
        <v/>
      </c>
      <c r="AC54" s="16" t="n">
        <v>0</v>
      </c>
      <c r="AD54" s="16" t="n">
        <v>0</v>
      </c>
      <c r="AE54" s="16" t="n">
        <v>0</v>
      </c>
      <c r="AF54" s="16" t="n">
        <v>0</v>
      </c>
      <c r="AG54" s="16" t="n">
        <v>0</v>
      </c>
      <c r="AH54" s="16" t="n">
        <v>0</v>
      </c>
      <c r="AI54" s="10" t="n">
        <v>0</v>
      </c>
      <c r="AJ54" s="16">
        <f>SUM(AC54:AH54)+AI54</f>
        <v/>
      </c>
      <c r="AK54" s="11">
        <f>IF(N54&lt;&gt;0,(AB54-N54)/ABS(N54),0)</f>
        <v/>
      </c>
      <c r="AL54" s="11">
        <f>IF(AB54&lt;&gt;0,(AJ54-AB54)/ABS(AB54),0)</f>
        <v/>
      </c>
    </row>
    <row r="55" ht="13" customHeight="1">
      <c r="A55" s="15" t="inlineStr">
        <is>
          <t xml:space="preserve">    Audit &amp; Accountancy</t>
        </is>
      </c>
      <c r="B55" s="16" t="n">
        <v>18018</v>
      </c>
      <c r="C55" s="16" t="n">
        <v>120</v>
      </c>
      <c r="D55" s="16" t="n">
        <v>33842.39999999999</v>
      </c>
      <c r="E55" s="16" t="n">
        <v>3073.2</v>
      </c>
      <c r="F55" s="16" t="n">
        <v>0</v>
      </c>
      <c r="G55" s="16" t="n">
        <v>0</v>
      </c>
      <c r="H55" s="16" t="n">
        <v>0</v>
      </c>
      <c r="I55" s="16" t="n">
        <v>0</v>
      </c>
      <c r="J55" s="16" t="n">
        <v>0</v>
      </c>
      <c r="K55" s="16" t="n">
        <v>0</v>
      </c>
      <c r="L55" s="16" t="n">
        <v>0</v>
      </c>
      <c r="M55" s="16" t="n">
        <v>6616.8</v>
      </c>
      <c r="N55" s="16">
        <f>SUM(B55:M55)</f>
        <v/>
      </c>
      <c r="O55" s="16" t="n">
        <v>13797.88</v>
      </c>
      <c r="P55" s="16" t="n">
        <v>5720.969999999999</v>
      </c>
      <c r="Q55" s="16" t="n">
        <v>5427.91</v>
      </c>
      <c r="R55" s="16" t="n">
        <v>4311.21</v>
      </c>
      <c r="S55" s="16" t="n">
        <v>4359.15</v>
      </c>
      <c r="T55" s="16" t="n">
        <v>4667.76</v>
      </c>
      <c r="U55" s="16" t="n">
        <v>27831.66</v>
      </c>
      <c r="V55" s="16" t="n">
        <v>0</v>
      </c>
      <c r="W55" s="16" t="n">
        <v>0</v>
      </c>
      <c r="X55" s="16" t="n">
        <v>0</v>
      </c>
      <c r="Y55" s="16" t="n">
        <v>0</v>
      </c>
      <c r="Z55" s="16" t="n">
        <v>0</v>
      </c>
      <c r="AA55" s="16">
        <f>SUM(O55:U55)</f>
        <v/>
      </c>
      <c r="AB55" s="16">
        <f>SUM(O55:Z55)</f>
        <v/>
      </c>
      <c r="AC55" s="16" t="n">
        <v>0</v>
      </c>
      <c r="AD55" s="16" t="n">
        <v>0</v>
      </c>
      <c r="AE55" s="16" t="n">
        <v>0</v>
      </c>
      <c r="AF55" s="16" t="n">
        <v>0</v>
      </c>
      <c r="AG55" s="16" t="n">
        <v>0</v>
      </c>
      <c r="AH55" s="16" t="n">
        <v>0</v>
      </c>
      <c r="AI55" s="10" t="n">
        <v>0</v>
      </c>
      <c r="AJ55" s="16">
        <f>SUM(AC55:AH55)+AI55</f>
        <v/>
      </c>
      <c r="AK55" s="11">
        <f>IF(N55&lt;&gt;0,(AB55-N55)/ABS(N55),0)</f>
        <v/>
      </c>
      <c r="AL55" s="11">
        <f>IF(AB55&lt;&gt;0,(AJ55-AB55)/ABS(AB55),0)</f>
        <v/>
      </c>
    </row>
    <row r="56" ht="13" customHeight="1">
      <c r="A56" s="15" t="inlineStr">
        <is>
          <t xml:space="preserve">    Professional Fees</t>
        </is>
      </c>
      <c r="B56" s="16" t="n">
        <v>-4290.96</v>
      </c>
      <c r="C56" s="16" t="n">
        <v>24986.81</v>
      </c>
      <c r="D56" s="16" t="n">
        <v>6956.65</v>
      </c>
      <c r="E56" s="16" t="n">
        <v>21087.51</v>
      </c>
      <c r="F56" s="16" t="n">
        <v>12608.06</v>
      </c>
      <c r="G56" s="16" t="n">
        <v>6125.08</v>
      </c>
      <c r="H56" s="16" t="n">
        <v>5820.87</v>
      </c>
      <c r="I56" s="16" t="n">
        <v>5723.580000000001</v>
      </c>
      <c r="J56" s="16" t="n">
        <v>17537.91</v>
      </c>
      <c r="K56" s="16" t="n">
        <v>7968.910000000001</v>
      </c>
      <c r="L56" s="16" t="n">
        <v>6737.47</v>
      </c>
      <c r="M56" s="16" t="n">
        <v>8110.19</v>
      </c>
      <c r="N56" s="16">
        <f>SUM(B56:M56)</f>
        <v/>
      </c>
      <c r="O56" s="16" t="n">
        <v>0</v>
      </c>
      <c r="P56" s="16" t="n">
        <v>0</v>
      </c>
      <c r="Q56" s="16" t="n">
        <v>0</v>
      </c>
      <c r="R56" s="16" t="n">
        <v>0</v>
      </c>
      <c r="S56" s="16" t="n">
        <v>0</v>
      </c>
      <c r="T56" s="16" t="n">
        <v>0</v>
      </c>
      <c r="U56" s="16" t="n">
        <v>162.4</v>
      </c>
      <c r="V56" s="16" t="n">
        <v>6000</v>
      </c>
      <c r="W56" s="16" t="n">
        <v>6000</v>
      </c>
      <c r="X56" s="16" t="n">
        <v>6000</v>
      </c>
      <c r="Y56" s="16" t="n">
        <v>6000</v>
      </c>
      <c r="Z56" s="16" t="n">
        <v>6000</v>
      </c>
      <c r="AA56" s="16">
        <f>SUM(O56:U56)</f>
        <v/>
      </c>
      <c r="AB56" s="16">
        <f>SUM(O56:Z56)</f>
        <v/>
      </c>
      <c r="AC56" s="16" t="n">
        <v>6000</v>
      </c>
      <c r="AD56" s="16" t="n">
        <v>6000</v>
      </c>
      <c r="AE56" s="16" t="n">
        <v>6000</v>
      </c>
      <c r="AF56" s="16" t="n">
        <v>6000</v>
      </c>
      <c r="AG56" s="16" t="n">
        <v>6000</v>
      </c>
      <c r="AH56" s="16" t="n">
        <v>6000</v>
      </c>
      <c r="AI56" s="10" t="n">
        <v>36000</v>
      </c>
      <c r="AJ56" s="16">
        <f>SUM(AC56:AH56)+AI56</f>
        <v/>
      </c>
      <c r="AK56" s="11">
        <f>IF(N56&lt;&gt;0,(AB56-N56)/ABS(N56),0)</f>
        <v/>
      </c>
      <c r="AL56" s="11">
        <f>IF(AB56&lt;&gt;0,(AJ56-AB56)/ABS(AB56),0)</f>
        <v/>
      </c>
    </row>
    <row r="57" ht="13" customHeight="1">
      <c r="A57" s="15" t="inlineStr">
        <is>
          <t xml:space="preserve">    Finance Costs</t>
        </is>
      </c>
      <c r="B57" s="16" t="n">
        <v>339.6</v>
      </c>
      <c r="C57" s="16" t="n">
        <v>366.15</v>
      </c>
      <c r="D57" s="16" t="n">
        <v>415.4</v>
      </c>
      <c r="E57" s="16" t="n">
        <v>385.42</v>
      </c>
      <c r="F57" s="16" t="n">
        <v>435.65</v>
      </c>
      <c r="G57" s="16" t="n">
        <v>529.4000000000001</v>
      </c>
      <c r="H57" s="16" t="n">
        <v>459.45</v>
      </c>
      <c r="I57" s="16" t="n">
        <v>310.4</v>
      </c>
      <c r="J57" s="16" t="n">
        <v>269.05</v>
      </c>
      <c r="K57" s="16" t="n">
        <v>326.15</v>
      </c>
      <c r="L57" s="16" t="n">
        <v>255.95</v>
      </c>
      <c r="M57" s="16" t="n">
        <v>296.3</v>
      </c>
      <c r="N57" s="16">
        <f>SUM(B57:M57)</f>
        <v/>
      </c>
      <c r="O57" s="16" t="n">
        <v>0</v>
      </c>
      <c r="P57" s="16" t="n">
        <v>0</v>
      </c>
      <c r="Q57" s="16" t="n">
        <v>0</v>
      </c>
      <c r="R57" s="16" t="n">
        <v>0</v>
      </c>
      <c r="S57" s="16" t="n">
        <v>0</v>
      </c>
      <c r="T57" s="16" t="n">
        <v>0</v>
      </c>
      <c r="U57" s="16" t="n">
        <v>0</v>
      </c>
      <c r="V57" s="16" t="n">
        <v>2600</v>
      </c>
      <c r="W57" s="16" t="n">
        <v>2600</v>
      </c>
      <c r="X57" s="16" t="n">
        <v>2600</v>
      </c>
      <c r="Y57" s="16" t="n">
        <v>2600</v>
      </c>
      <c r="Z57" s="16" t="n">
        <v>2600</v>
      </c>
      <c r="AA57" s="16">
        <f>SUM(O57:U57)</f>
        <v/>
      </c>
      <c r="AB57" s="16">
        <f>SUM(O57:Z57)</f>
        <v/>
      </c>
      <c r="AC57" s="16" t="n">
        <v>2600</v>
      </c>
      <c r="AD57" s="16" t="n">
        <v>2600</v>
      </c>
      <c r="AE57" s="16" t="n">
        <v>2600</v>
      </c>
      <c r="AF57" s="16" t="n">
        <v>2600</v>
      </c>
      <c r="AG57" s="16" t="n">
        <v>2600</v>
      </c>
      <c r="AH57" s="16" t="n">
        <v>2600</v>
      </c>
      <c r="AI57" s="10" t="n">
        <v>15600</v>
      </c>
      <c r="AJ57" s="16">
        <f>SUM(AC57:AH57)+AI57</f>
        <v/>
      </c>
      <c r="AK57" s="11">
        <f>IF(N57&lt;&gt;0,(AB57-N57)/ABS(N57),0)</f>
        <v/>
      </c>
      <c r="AL57" s="11">
        <f>IF(AB57&lt;&gt;0,(AJ57-AB57)/ABS(AB57),0)</f>
        <v/>
      </c>
    </row>
    <row r="58" ht="13" customHeight="1">
      <c r="A58" s="15" t="inlineStr">
        <is>
          <t xml:space="preserve">    Miscellaneous HO</t>
        </is>
      </c>
      <c r="B58" s="16" t="n">
        <v>22.22</v>
      </c>
      <c r="C58" s="16" t="n">
        <v>140</v>
      </c>
      <c r="D58" s="16" t="n">
        <v>9.990000000000009</v>
      </c>
      <c r="E58" s="16" t="n">
        <v>0</v>
      </c>
      <c r="F58" s="16" t="n">
        <v>-5.13</v>
      </c>
      <c r="G58" s="16" t="n">
        <v>289.96</v>
      </c>
      <c r="H58" s="16" t="n">
        <v>-0.76</v>
      </c>
      <c r="I58" s="16" t="n">
        <v>5.19</v>
      </c>
      <c r="J58" s="16" t="n">
        <v>5.69</v>
      </c>
      <c r="K58" s="16" t="n">
        <v>0</v>
      </c>
      <c r="L58" s="16" t="n">
        <v>2507.38</v>
      </c>
      <c r="M58" s="16" t="n">
        <v>254.99</v>
      </c>
      <c r="N58" s="16">
        <f>SUM(B58:M58)</f>
        <v/>
      </c>
      <c r="O58" s="16" t="n">
        <v>5384.61</v>
      </c>
      <c r="P58" s="16" t="n">
        <v>7655.49</v>
      </c>
      <c r="Q58" s="16" t="n">
        <v>7967.039999999999</v>
      </c>
      <c r="R58" s="16" t="n">
        <v>9289.66</v>
      </c>
      <c r="S58" s="16" t="n">
        <v>9122.59</v>
      </c>
      <c r="T58" s="16" t="n">
        <v>16372.61</v>
      </c>
      <c r="U58" s="16" t="n">
        <v>8138.370000000001</v>
      </c>
      <c r="V58" s="16" t="n">
        <v>0</v>
      </c>
      <c r="W58" s="16" t="n">
        <v>0</v>
      </c>
      <c r="X58" s="16" t="n">
        <v>0</v>
      </c>
      <c r="Y58" s="16" t="n">
        <v>0</v>
      </c>
      <c r="Z58" s="16" t="n">
        <v>0</v>
      </c>
      <c r="AA58" s="16">
        <f>SUM(O58:U58)</f>
        <v/>
      </c>
      <c r="AB58" s="16">
        <f>SUM(O58:Z58)</f>
        <v/>
      </c>
      <c r="AC58" s="16" t="n">
        <v>0</v>
      </c>
      <c r="AD58" s="16" t="n">
        <v>0</v>
      </c>
      <c r="AE58" s="16" t="n">
        <v>0</v>
      </c>
      <c r="AF58" s="16" t="n">
        <v>0</v>
      </c>
      <c r="AG58" s="16" t="n">
        <v>0</v>
      </c>
      <c r="AH58" s="16" t="n">
        <v>0</v>
      </c>
      <c r="AI58" s="10" t="n">
        <v>0</v>
      </c>
      <c r="AJ58" s="16">
        <f>SUM(AC58:AH58)+AI58</f>
        <v/>
      </c>
      <c r="AK58" s="11">
        <f>IF(N58&lt;&gt;0,(AB58-N58)/ABS(N58),0)</f>
        <v/>
      </c>
      <c r="AL58" s="11">
        <f>IF(AB58&lt;&gt;0,(AJ58-AB58)/ABS(AB58),0)</f>
        <v/>
      </c>
    </row>
    <row r="59" ht="13" customHeight="1">
      <c r="A59" s="17" t="inlineStr">
        <is>
          <t>Total HO Overheads</t>
        </is>
      </c>
      <c r="B59" s="18" t="n">
        <v>229981.98</v>
      </c>
      <c r="C59" s="18" t="n">
        <v>259577.22</v>
      </c>
      <c r="D59" s="18" t="n">
        <v>286965.96</v>
      </c>
      <c r="E59" s="18" t="n">
        <v>373974.5599999999</v>
      </c>
      <c r="F59" s="18" t="n">
        <v>226910.78</v>
      </c>
      <c r="G59" s="18" t="n">
        <v>256699.3</v>
      </c>
      <c r="H59" s="18" t="n">
        <v>256197.94</v>
      </c>
      <c r="I59" s="18" t="n">
        <v>289106.02</v>
      </c>
      <c r="J59" s="18" t="n">
        <v>408114.98</v>
      </c>
      <c r="K59" s="18" t="n">
        <v>267502.2000000001</v>
      </c>
      <c r="L59" s="18" t="n">
        <v>287790.14</v>
      </c>
      <c r="M59" s="18" t="n">
        <v>936189.1</v>
      </c>
      <c r="N59" s="18">
        <f>SUM(B59:M59)</f>
        <v/>
      </c>
      <c r="O59" s="18" t="n">
        <v>151793.86</v>
      </c>
      <c r="P59" s="18" t="n">
        <v>136497.45</v>
      </c>
      <c r="Q59" s="18" t="n">
        <v>170466.98</v>
      </c>
      <c r="R59" s="18" t="n">
        <v>221866.3100000001</v>
      </c>
      <c r="S59" s="18" t="n">
        <v>155206.67</v>
      </c>
      <c r="T59" s="18" t="n">
        <v>175557.4400000001</v>
      </c>
      <c r="U59" s="18" t="n">
        <v>178982.53</v>
      </c>
      <c r="V59" s="18" t="n">
        <v>152767.62</v>
      </c>
      <c r="W59" s="18" t="n">
        <v>152767.62</v>
      </c>
      <c r="X59" s="18" t="n">
        <v>152767.62</v>
      </c>
      <c r="Y59" s="18" t="n">
        <v>152767.62</v>
      </c>
      <c r="Z59" s="18" t="n">
        <v>35328.62</v>
      </c>
      <c r="AA59" s="18">
        <f>SUM(O59:U59)</f>
        <v/>
      </c>
      <c r="AB59" s="18">
        <f>SUM(O59:Z59)</f>
        <v/>
      </c>
      <c r="AC59" s="18" t="n">
        <v>152767.62</v>
      </c>
      <c r="AD59" s="18" t="n">
        <v>152767.62</v>
      </c>
      <c r="AE59" s="18" t="n">
        <v>152767.62</v>
      </c>
      <c r="AF59" s="18" t="n">
        <v>152767.62</v>
      </c>
      <c r="AG59" s="18" t="n">
        <v>152767.62</v>
      </c>
      <c r="AH59" s="18" t="n">
        <v>152767.62</v>
      </c>
      <c r="AI59" s="36" t="n">
        <v>916605.72</v>
      </c>
      <c r="AJ59" s="18">
        <f>SUM(AC59:AH59)+AI59</f>
        <v/>
      </c>
      <c r="AK59" s="11">
        <f>IF(N59&lt;&gt;0,(AB59-N59)/ABS(N59),0)</f>
        <v/>
      </c>
      <c r="AL59" s="11">
        <f>IF(AB59&lt;&gt;0,(AJ59-AB59)/ABS(AB59),0)</f>
        <v/>
      </c>
    </row>
    <row r="60" ht="5" customHeight="1"/>
    <row r="61" ht="15" customHeight="1">
      <c r="A61" s="37" t="inlineStr">
        <is>
          <t>GROUP EBITDA</t>
        </is>
      </c>
      <c r="B61" s="38">
        <f>B46-B59</f>
        <v/>
      </c>
      <c r="C61" s="38">
        <f>C46-C59</f>
        <v/>
      </c>
      <c r="D61" s="38">
        <f>D46-D59</f>
        <v/>
      </c>
      <c r="E61" s="38">
        <f>E46-E59</f>
        <v/>
      </c>
      <c r="F61" s="38">
        <f>F46-F59</f>
        <v/>
      </c>
      <c r="G61" s="38">
        <f>G46-G59</f>
        <v/>
      </c>
      <c r="H61" s="38">
        <f>H46-H59</f>
        <v/>
      </c>
      <c r="I61" s="38">
        <f>I46-I59</f>
        <v/>
      </c>
      <c r="J61" s="38">
        <f>J46-J59</f>
        <v/>
      </c>
      <c r="K61" s="38">
        <f>K46-K59</f>
        <v/>
      </c>
      <c r="L61" s="38">
        <f>L46-L59</f>
        <v/>
      </c>
      <c r="M61" s="38">
        <f>M46-M59</f>
        <v/>
      </c>
      <c r="N61" s="38">
        <f>N46-N59</f>
        <v/>
      </c>
      <c r="O61" s="38">
        <f>O46-O59</f>
        <v/>
      </c>
      <c r="P61" s="38">
        <f>P46-P59</f>
        <v/>
      </c>
      <c r="Q61" s="38">
        <f>Q46-Q59</f>
        <v/>
      </c>
      <c r="R61" s="38">
        <f>R46-R59</f>
        <v/>
      </c>
      <c r="S61" s="38">
        <f>S46-S59</f>
        <v/>
      </c>
      <c r="T61" s="38">
        <f>T46-T59</f>
        <v/>
      </c>
      <c r="U61" s="38">
        <f>U46-U59</f>
        <v/>
      </c>
      <c r="V61" s="38">
        <f>V46-V59</f>
        <v/>
      </c>
      <c r="W61" s="38">
        <f>W46-W59</f>
        <v/>
      </c>
      <c r="X61" s="38">
        <f>X46-X59</f>
        <v/>
      </c>
      <c r="Y61" s="38">
        <f>Y46-Y59</f>
        <v/>
      </c>
      <c r="Z61" s="38">
        <f>Z46-Z59</f>
        <v/>
      </c>
      <c r="AA61" s="38">
        <f>AA46-AA59</f>
        <v/>
      </c>
      <c r="AB61" s="38">
        <f>AB46-AB59</f>
        <v/>
      </c>
      <c r="AC61" s="38">
        <f>AC46-AC59</f>
        <v/>
      </c>
      <c r="AD61" s="38">
        <f>AD46-AD59</f>
        <v/>
      </c>
      <c r="AE61" s="38">
        <f>AE46-AE59</f>
        <v/>
      </c>
      <c r="AF61" s="38">
        <f>AF46-AF59</f>
        <v/>
      </c>
      <c r="AG61" s="38">
        <f>AG46-AG59</f>
        <v/>
      </c>
      <c r="AH61" s="38">
        <f>AH46-AH59</f>
        <v/>
      </c>
      <c r="AI61" s="38">
        <f>AI46-AI59</f>
        <v/>
      </c>
      <c r="AJ61" s="38">
        <f>AJ46-AJ59</f>
        <v/>
      </c>
      <c r="AK61" s="11">
        <f>IF(N61&lt;&gt;0,(AB61-N61)/ABS(N61),0)</f>
        <v/>
      </c>
      <c r="AL61" s="11">
        <f>IF(AB61&lt;&gt;0,(AJ61-AB61)/ABS(AB61),0)</f>
        <v/>
      </c>
    </row>
    <row r="62" ht="14" customHeight="1">
      <c r="A62" s="12" t="inlineStr">
        <is>
          <t>£1.3m EBITDA Target</t>
        </is>
      </c>
      <c r="N62" s="13" t="n">
        <v>1300000</v>
      </c>
      <c r="AB62" s="13" t="n">
        <v>1300000</v>
      </c>
      <c r="AJ62" s="13" t="n">
        <v>1300000</v>
      </c>
    </row>
    <row r="63" ht="14" customHeight="1">
      <c r="A63" s="23" t="inlineStr">
        <is>
          <t>Gap to Target</t>
        </is>
      </c>
      <c r="N63" s="39">
        <f>N61-1300000</f>
        <v/>
      </c>
      <c r="AB63" s="39">
        <f>AB61-1300000</f>
        <v/>
      </c>
      <c r="AJ63" s="39">
        <f>AJ61-1300000</f>
        <v/>
      </c>
    </row>
  </sheetData>
  <mergeCells count="9">
    <mergeCell ref="A10:AL10"/>
    <mergeCell ref="B1:N1"/>
    <mergeCell ref="A23:AL23"/>
    <mergeCell ref="A32:AL32"/>
    <mergeCell ref="AC1:AJ1"/>
    <mergeCell ref="A9:AL9"/>
    <mergeCell ref="A3:AL3"/>
    <mergeCell ref="O1:AB1"/>
    <mergeCell ref="A48:AL48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L6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9.5" customWidth="1" min="27" max="27"/>
    <col width="9.5" customWidth="1" min="28" max="28"/>
    <col width="9.5" customWidth="1" min="29" max="29"/>
    <col width="9.5" customWidth="1" min="30" max="30"/>
    <col width="9.5" customWidth="1" min="31" max="31"/>
    <col width="9.5" customWidth="1" min="32" max="32"/>
    <col width="9.5" customWidth="1" min="33" max="33"/>
    <col width="9.5" customWidth="1" min="34" max="34"/>
    <col width="9.5" customWidth="1" min="35" max="35"/>
    <col width="11" customWidth="1" min="36" max="36"/>
    <col width="10" customWidth="1" min="37" max="37"/>
    <col width="10" customWidth="1" min="38" max="38"/>
  </cols>
  <sheetData>
    <row r="1" ht="18" customHeight="1">
      <c r="A1" s="1" t="inlineStr">
        <is>
          <t>Complete Childcare Group</t>
        </is>
      </c>
      <c r="B1" s="2" t="inlineStr">
        <is>
          <t>Actuals 2025</t>
        </is>
      </c>
      <c r="O1" s="2" t="inlineStr">
        <is>
          <t>2026 Actual / Forecast</t>
        </is>
      </c>
      <c r="AC1" s="32" t="inlineStr">
        <is>
          <t>2027 Plan</t>
        </is>
      </c>
      <c r="AK1" s="3" t="inlineStr">
        <is>
          <t>YoY</t>
        </is>
      </c>
      <c r="AL1" s="3" t="inlineStr">
        <is>
          <t>YoY</t>
        </is>
      </c>
    </row>
    <row r="2" ht="22" customHeight="1">
      <c r="B2" s="4" t="inlineStr">
        <is>
          <t>Jan</t>
        </is>
      </c>
      <c r="C2" s="4" t="inlineStr">
        <is>
          <t>Feb</t>
        </is>
      </c>
      <c r="D2" s="4" t="inlineStr">
        <is>
          <t>Mar</t>
        </is>
      </c>
      <c r="E2" s="4" t="inlineStr">
        <is>
          <t>Apr</t>
        </is>
      </c>
      <c r="F2" s="4" t="inlineStr">
        <is>
          <t>May</t>
        </is>
      </c>
      <c r="G2" s="4" t="inlineStr">
        <is>
          <t>Jun</t>
        </is>
      </c>
      <c r="H2" s="4" t="inlineStr">
        <is>
          <t>Jul</t>
        </is>
      </c>
      <c r="I2" s="4" t="inlineStr">
        <is>
          <t>Aug</t>
        </is>
      </c>
      <c r="J2" s="4" t="inlineStr">
        <is>
          <t>Sep</t>
        </is>
      </c>
      <c r="K2" s="4" t="inlineStr">
        <is>
          <t>Oct</t>
        </is>
      </c>
      <c r="L2" s="4" t="inlineStr">
        <is>
          <t>Nov</t>
        </is>
      </c>
      <c r="M2" s="4" t="inlineStr">
        <is>
          <t>Dec</t>
        </is>
      </c>
      <c r="N2" s="5" t="inlineStr">
        <is>
          <t>FY2025
Total</t>
        </is>
      </c>
      <c r="O2" s="4" t="inlineStr">
        <is>
          <t>Jan</t>
        </is>
      </c>
      <c r="P2" s="4" t="inlineStr">
        <is>
          <t>Feb</t>
        </is>
      </c>
      <c r="Q2" s="4" t="inlineStr">
        <is>
          <t>Mar</t>
        </is>
      </c>
      <c r="R2" s="4" t="inlineStr">
        <is>
          <t>Apr</t>
        </is>
      </c>
      <c r="S2" s="4" t="inlineStr">
        <is>
          <t>May</t>
        </is>
      </c>
      <c r="T2" s="4" t="inlineStr">
        <is>
          <t>Jun</t>
        </is>
      </c>
      <c r="U2" s="4" t="inlineStr">
        <is>
          <t>Jul</t>
        </is>
      </c>
      <c r="V2" s="4" t="inlineStr">
        <is>
          <t>Aug</t>
        </is>
      </c>
      <c r="W2" s="4" t="inlineStr">
        <is>
          <t>Sep</t>
        </is>
      </c>
      <c r="X2" s="4" t="inlineStr">
        <is>
          <t>Oct</t>
        </is>
      </c>
      <c r="Y2" s="4" t="inlineStr">
        <is>
          <t>Nov</t>
        </is>
      </c>
      <c r="Z2" s="4" t="inlineStr">
        <is>
          <t>Dec</t>
        </is>
      </c>
      <c r="AA2" s="4" t="inlineStr">
        <is>
          <t>YTD</t>
        </is>
      </c>
      <c r="AB2" s="5" t="inlineStr">
        <is>
          <t>FY2026
Outlook</t>
        </is>
      </c>
      <c r="AC2" s="4" t="inlineStr">
        <is>
          <t>Jan</t>
        </is>
      </c>
      <c r="AD2" s="4" t="inlineStr">
        <is>
          <t>Feb</t>
        </is>
      </c>
      <c r="AE2" s="4" t="inlineStr">
        <is>
          <t>Mar</t>
        </is>
      </c>
      <c r="AF2" s="4" t="inlineStr">
        <is>
          <t>Apr</t>
        </is>
      </c>
      <c r="AG2" s="4" t="inlineStr">
        <is>
          <t>May</t>
        </is>
      </c>
      <c r="AH2" s="4" t="inlineStr">
        <is>
          <t>Jun</t>
        </is>
      </c>
      <c r="AI2" s="33" t="inlineStr">
        <is>
          <t>Jul-Dec
Plan</t>
        </is>
      </c>
      <c r="AJ2" s="4" t="inlineStr">
        <is>
          <t>FY2027</t>
        </is>
      </c>
      <c r="AK2" s="6" t="inlineStr">
        <is>
          <t>25→26
%</t>
        </is>
      </c>
      <c r="AL2" s="6" t="inlineStr">
        <is>
          <t>26→27
%</t>
        </is>
      </c>
    </row>
    <row r="3" ht="15" customHeight="1">
      <c r="A3" s="7" t="inlineStr">
        <is>
          <t>INCOME</t>
        </is>
      </c>
    </row>
    <row r="4" ht="13" customHeight="1">
      <c r="A4" s="8" t="inlineStr">
        <is>
          <t xml:space="preserve">    Fee Income Regular</t>
        </is>
      </c>
      <c r="B4" s="9">
        <f>'ABA Plan'!B4+'BK Plan'!B4+'BW Plan'!B4+'CED Plan'!B4+'HAB Plan'!B4+'HB Plan'!B4+'OD Plan'!B4+'HDN Plan'!B4+'KIN Plan'!B4+'LE Plan'!B4+'MER Plan'!B4+'NDN Plan'!B4+'SALT Plan'!B4+'SDN Plan'!B4+'SST Plan'!B4+'WH Plan'!B4+'FH Plan'!B4</f>
        <v/>
      </c>
      <c r="C4" s="9">
        <f>'ABA Plan'!C4+'BK Plan'!C4+'BW Plan'!C4+'CED Plan'!C4+'HAB Plan'!C4+'HB Plan'!C4+'OD Plan'!C4+'HDN Plan'!C4+'KIN Plan'!C4+'LE Plan'!C4+'MER Plan'!C4+'NDN Plan'!C4+'SALT Plan'!C4+'SDN Plan'!C4+'SST Plan'!C4+'WH Plan'!C4+'FH Plan'!C4</f>
        <v/>
      </c>
      <c r="D4" s="9">
        <f>'ABA Plan'!D4+'BK Plan'!D4+'BW Plan'!D4+'CED Plan'!D4+'HAB Plan'!D4+'HB Plan'!D4+'OD Plan'!D4+'HDN Plan'!D4+'KIN Plan'!D4+'LE Plan'!D4+'MER Plan'!D4+'NDN Plan'!D4+'SALT Plan'!D4+'SDN Plan'!D4+'SST Plan'!D4+'WH Plan'!D4+'FH Plan'!D4</f>
        <v/>
      </c>
      <c r="E4" s="9">
        <f>'ABA Plan'!E4+'BK Plan'!E4+'BW Plan'!E4+'CED Plan'!E4+'HAB Plan'!E4+'HB Plan'!E4+'OD Plan'!E4+'HDN Plan'!E4+'KIN Plan'!E4+'LE Plan'!E4+'MER Plan'!E4+'NDN Plan'!E4+'SALT Plan'!E4+'SDN Plan'!E4+'SST Plan'!E4+'WH Plan'!E4+'FH Plan'!E4</f>
        <v/>
      </c>
      <c r="F4" s="9">
        <f>'ABA Plan'!F4+'BK Plan'!F4+'BW Plan'!F4+'CED Plan'!F4+'HAB Plan'!F4+'HB Plan'!F4+'OD Plan'!F4+'HDN Plan'!F4+'KIN Plan'!F4+'LE Plan'!F4+'MER Plan'!F4+'NDN Plan'!F4+'SALT Plan'!F4+'SDN Plan'!F4+'SST Plan'!F4+'WH Plan'!F4+'FH Plan'!F4</f>
        <v/>
      </c>
      <c r="G4" s="9">
        <f>'ABA Plan'!G4+'BK Plan'!G4+'BW Plan'!G4+'CED Plan'!G4+'HAB Plan'!G4+'HB Plan'!G4+'OD Plan'!G4+'HDN Plan'!G4+'KIN Plan'!G4+'LE Plan'!G4+'MER Plan'!G4+'NDN Plan'!G4+'SALT Plan'!G4+'SDN Plan'!G4+'SST Plan'!G4+'WH Plan'!G4+'FH Plan'!G4</f>
        <v/>
      </c>
      <c r="H4" s="9">
        <f>'ABA Plan'!H4+'BK Plan'!H4+'BW Plan'!H4+'CED Plan'!H4+'HAB Plan'!H4+'HB Plan'!H4+'OD Plan'!H4+'HDN Plan'!H4+'KIN Plan'!H4+'LE Plan'!H4+'MER Plan'!H4+'NDN Plan'!H4+'SALT Plan'!H4+'SDN Plan'!H4+'SST Plan'!H4+'WH Plan'!H4+'FH Plan'!H4</f>
        <v/>
      </c>
      <c r="I4" s="9">
        <f>'ABA Plan'!I4+'BK Plan'!I4+'BW Plan'!I4+'CED Plan'!I4+'HAB Plan'!I4+'HB Plan'!I4+'OD Plan'!I4+'HDN Plan'!I4+'KIN Plan'!I4+'LE Plan'!I4+'MER Plan'!I4+'NDN Plan'!I4+'SALT Plan'!I4+'SDN Plan'!I4+'SST Plan'!I4+'WH Plan'!I4+'FH Plan'!I4</f>
        <v/>
      </c>
      <c r="J4" s="9">
        <f>'ABA Plan'!J4+'BK Plan'!J4+'BW Plan'!J4+'CED Plan'!J4+'HAB Plan'!J4+'HB Plan'!J4+'OD Plan'!J4+'HDN Plan'!J4+'KIN Plan'!J4+'LE Plan'!J4+'MER Plan'!J4+'NDN Plan'!J4+'SALT Plan'!J4+'SDN Plan'!J4+'SST Plan'!J4+'WH Plan'!J4+'FH Plan'!J4</f>
        <v/>
      </c>
      <c r="K4" s="9">
        <f>'ABA Plan'!K4+'BK Plan'!K4+'BW Plan'!K4+'CED Plan'!K4+'HAB Plan'!K4+'HB Plan'!K4+'OD Plan'!K4+'HDN Plan'!K4+'KIN Plan'!K4+'LE Plan'!K4+'MER Plan'!K4+'NDN Plan'!K4+'SALT Plan'!K4+'SDN Plan'!K4+'SST Plan'!K4+'WH Plan'!K4+'FH Plan'!K4</f>
        <v/>
      </c>
      <c r="L4" s="9">
        <f>'ABA Plan'!L4+'BK Plan'!L4+'BW Plan'!L4+'CED Plan'!L4+'HAB Plan'!L4+'HB Plan'!L4+'OD Plan'!L4+'HDN Plan'!L4+'KIN Plan'!L4+'LE Plan'!L4+'MER Plan'!L4+'NDN Plan'!L4+'SALT Plan'!L4+'SDN Plan'!L4+'SST Plan'!L4+'WH Plan'!L4+'FH Plan'!L4</f>
        <v/>
      </c>
      <c r="M4" s="9">
        <f>'ABA Plan'!M4+'BK Plan'!M4+'BW Plan'!M4+'CED Plan'!M4+'HAB Plan'!M4+'HB Plan'!M4+'OD Plan'!M4+'HDN Plan'!M4+'KIN Plan'!M4+'LE Plan'!M4+'MER Plan'!M4+'NDN Plan'!M4+'SALT Plan'!M4+'SDN Plan'!M4+'SST Plan'!M4+'WH Plan'!M4+'FH Plan'!M4</f>
        <v/>
      </c>
      <c r="N4" s="9">
        <f>'ABA Plan'!N4+'BK Plan'!N4+'BW Plan'!N4+'CED Plan'!N4+'HAB Plan'!N4+'HB Plan'!N4+'OD Plan'!N4+'HDN Plan'!N4+'KIN Plan'!N4+'LE Plan'!N4+'MER Plan'!N4+'NDN Plan'!N4+'SALT Plan'!N4+'SDN Plan'!N4+'SST Plan'!N4+'WH Plan'!N4+'FH Plan'!N4</f>
        <v/>
      </c>
      <c r="O4" s="9">
        <f>'ABA Plan'!O4+'BK Plan'!O4+'BW Plan'!O4+'CED Plan'!O4+'HAB Plan'!O4+'HB Plan'!O4+'OD Plan'!O4+'HDN Plan'!O4+'KIN Plan'!O4+'LE Plan'!O4+'MER Plan'!O4+'NDN Plan'!O4+'SALT Plan'!O4+'SDN Plan'!O4+'SST Plan'!O4+'WH Plan'!O4+'FH Plan'!O4</f>
        <v/>
      </c>
      <c r="P4" s="9">
        <f>'ABA Plan'!P4+'BK Plan'!P4+'BW Plan'!P4+'CED Plan'!P4+'HAB Plan'!P4+'HB Plan'!P4+'OD Plan'!P4+'HDN Plan'!P4+'KIN Plan'!P4+'LE Plan'!P4+'MER Plan'!P4+'NDN Plan'!P4+'SALT Plan'!P4+'SDN Plan'!P4+'SST Plan'!P4+'WH Plan'!P4+'FH Plan'!P4</f>
        <v/>
      </c>
      <c r="Q4" s="9">
        <f>'ABA Plan'!Q4+'BK Plan'!Q4+'BW Plan'!Q4+'CED Plan'!Q4+'HAB Plan'!Q4+'HB Plan'!Q4+'OD Plan'!Q4+'HDN Plan'!Q4+'KIN Plan'!Q4+'LE Plan'!Q4+'MER Plan'!Q4+'NDN Plan'!Q4+'SALT Plan'!Q4+'SDN Plan'!Q4+'SST Plan'!Q4+'WH Plan'!Q4+'FH Plan'!Q4</f>
        <v/>
      </c>
      <c r="R4" s="9">
        <f>'ABA Plan'!R4+'BK Plan'!R4+'BW Plan'!R4+'CED Plan'!R4+'HAB Plan'!R4+'HB Plan'!R4+'OD Plan'!R4+'HDN Plan'!R4+'KIN Plan'!R4+'LE Plan'!R4+'MER Plan'!R4+'NDN Plan'!R4+'SALT Plan'!R4+'SDN Plan'!R4+'SST Plan'!R4+'WH Plan'!R4+'FH Plan'!R4</f>
        <v/>
      </c>
      <c r="S4" s="9">
        <f>'ABA Plan'!S4+'BK Plan'!S4+'BW Plan'!S4+'CED Plan'!S4+'HAB Plan'!S4+'HB Plan'!S4+'OD Plan'!S4+'HDN Plan'!S4+'KIN Plan'!S4+'LE Plan'!S4+'MER Plan'!S4+'NDN Plan'!S4+'SALT Plan'!S4+'SDN Plan'!S4+'SST Plan'!S4+'WH Plan'!S4+'FH Plan'!S4</f>
        <v/>
      </c>
      <c r="T4" s="9">
        <f>'ABA Plan'!T4+'BK Plan'!T4+'BW Plan'!T4+'CED Plan'!T4+'HAB Plan'!T4+'HB Plan'!T4+'OD Plan'!T4+'HDN Plan'!T4+'KIN Plan'!T4+'LE Plan'!T4+'MER Plan'!T4+'NDN Plan'!T4+'SALT Plan'!T4+'SDN Plan'!T4+'SST Plan'!T4+'WH Plan'!T4+'FH Plan'!T4</f>
        <v/>
      </c>
      <c r="U4" s="9">
        <f>'ABA Plan'!U4+'BK Plan'!U4+'BW Plan'!U4+'CED Plan'!U4+'HAB Plan'!U4+'HB Plan'!U4+'OD Plan'!U4+'HDN Plan'!U4+'KIN Plan'!U4+'LE Plan'!U4+'MER Plan'!U4+'NDN Plan'!U4+'SALT Plan'!U4+'SDN Plan'!U4+'SST Plan'!U4+'WH Plan'!U4+'FH Plan'!U4</f>
        <v/>
      </c>
      <c r="V4" s="9">
        <f>'ABA Plan'!V4+'BK Plan'!V4+'BW Plan'!V4+'CED Plan'!V4+'HAB Plan'!V4+'HB Plan'!V4+'OD Plan'!V4+'HDN Plan'!V4+'KIN Plan'!V4+'LE Plan'!V4+'MER Plan'!V4+'NDN Plan'!V4+'SALT Plan'!V4+'SDN Plan'!V4+'SST Plan'!V4+'WH Plan'!V4+'FH Plan'!V4</f>
        <v/>
      </c>
      <c r="W4" s="9">
        <f>'ABA Plan'!W4+'BK Plan'!W4+'BW Plan'!W4+'CED Plan'!W4+'HAB Plan'!W4+'HB Plan'!W4+'OD Plan'!W4+'HDN Plan'!W4+'KIN Plan'!W4+'LE Plan'!W4+'MER Plan'!W4+'NDN Plan'!W4+'SALT Plan'!W4+'SDN Plan'!W4+'SST Plan'!W4+'WH Plan'!W4+'FH Plan'!W4</f>
        <v/>
      </c>
      <c r="X4" s="9">
        <f>'ABA Plan'!X4+'BK Plan'!X4+'BW Plan'!X4+'CED Plan'!X4+'HAB Plan'!X4+'HB Plan'!X4+'OD Plan'!X4+'HDN Plan'!X4+'KIN Plan'!X4+'LE Plan'!X4+'MER Plan'!X4+'NDN Plan'!X4+'SALT Plan'!X4+'SDN Plan'!X4+'SST Plan'!X4+'WH Plan'!X4+'FH Plan'!X4</f>
        <v/>
      </c>
      <c r="Y4" s="9">
        <f>'ABA Plan'!Y4+'BK Plan'!Y4+'BW Plan'!Y4+'CED Plan'!Y4+'HAB Plan'!Y4+'HB Plan'!Y4+'OD Plan'!Y4+'HDN Plan'!Y4+'KIN Plan'!Y4+'LE Plan'!Y4+'MER Plan'!Y4+'NDN Plan'!Y4+'SALT Plan'!Y4+'SDN Plan'!Y4+'SST Plan'!Y4+'WH Plan'!Y4+'FH Plan'!Y4</f>
        <v/>
      </c>
      <c r="Z4" s="9">
        <f>'ABA Plan'!Z4+'BK Plan'!Z4+'BW Plan'!Z4+'CED Plan'!Z4+'HAB Plan'!Z4+'HB Plan'!Z4+'OD Plan'!Z4+'HDN Plan'!Z4+'KIN Plan'!Z4+'LE Plan'!Z4+'MER Plan'!Z4+'NDN Plan'!Z4+'SALT Plan'!Z4+'SDN Plan'!Z4+'SST Plan'!Z4+'WH Plan'!Z4+'FH Plan'!Z4</f>
        <v/>
      </c>
      <c r="AA4" s="9">
        <f>'ABA Plan'!AA4+'BK Plan'!AA4+'BW Plan'!AA4+'CED Plan'!AA4+'HAB Plan'!AA4+'HB Plan'!AA4+'OD Plan'!AA4+'HDN Plan'!AA4+'KIN Plan'!AA4+'LE Plan'!AA4+'MER Plan'!AA4+'NDN Plan'!AA4+'SALT Plan'!AA4+'SDN Plan'!AA4+'SST Plan'!AA4+'WH Plan'!AA4+'FH Plan'!AA4</f>
        <v/>
      </c>
      <c r="AB4" s="9">
        <f>'ABA Plan'!AB4+'BK Plan'!AB4+'BW Plan'!AB4+'CED Plan'!AB4+'HAB Plan'!AB4+'HB Plan'!AB4+'OD Plan'!AB4+'HDN Plan'!AB4+'KIN Plan'!AB4+'LE Plan'!AB4+'MER Plan'!AB4+'NDN Plan'!AB4+'SALT Plan'!AB4+'SDN Plan'!AB4+'SST Plan'!AB4+'WH Plan'!AB4+'FH Plan'!AB4</f>
        <v/>
      </c>
      <c r="AC4" s="9">
        <f>'ABA Plan'!AC4+'BK Plan'!AC4+'BW Plan'!AC4+'CED Plan'!AC4+'HAB Plan'!AC4+'HB Plan'!AC4+'OD Plan'!AC4+'HDN Plan'!AC4+'KIN Plan'!AC4+'LE Plan'!AC4+'MER Plan'!AC4+'NDN Plan'!AC4+'SALT Plan'!AC4+'SDN Plan'!AC4+'SST Plan'!AC4+'WH Plan'!AC4+'FH Plan'!AC4</f>
        <v/>
      </c>
      <c r="AD4" s="9">
        <f>'ABA Plan'!AD4+'BK Plan'!AD4+'BW Plan'!AD4+'CED Plan'!AD4+'HAB Plan'!AD4+'HB Plan'!AD4+'OD Plan'!AD4+'HDN Plan'!AD4+'KIN Plan'!AD4+'LE Plan'!AD4+'MER Plan'!AD4+'NDN Plan'!AD4+'SALT Plan'!AD4+'SDN Plan'!AD4+'SST Plan'!AD4+'WH Plan'!AD4+'FH Plan'!AD4</f>
        <v/>
      </c>
      <c r="AE4" s="9">
        <f>'ABA Plan'!AE4+'BK Plan'!AE4+'BW Plan'!AE4+'CED Plan'!AE4+'HAB Plan'!AE4+'HB Plan'!AE4+'OD Plan'!AE4+'HDN Plan'!AE4+'KIN Plan'!AE4+'LE Plan'!AE4+'MER Plan'!AE4+'NDN Plan'!AE4+'SALT Plan'!AE4+'SDN Plan'!AE4+'SST Plan'!AE4+'WH Plan'!AE4+'FH Plan'!AE4</f>
        <v/>
      </c>
      <c r="AF4" s="9">
        <f>'ABA Plan'!AF4+'BK Plan'!AF4+'BW Plan'!AF4+'CED Plan'!AF4+'HAB Plan'!AF4+'HB Plan'!AF4+'OD Plan'!AF4+'HDN Plan'!AF4+'KIN Plan'!AF4+'LE Plan'!AF4+'MER Plan'!AF4+'NDN Plan'!AF4+'SALT Plan'!AF4+'SDN Plan'!AF4+'SST Plan'!AF4+'WH Plan'!AF4+'FH Plan'!AF4</f>
        <v/>
      </c>
      <c r="AG4" s="9">
        <f>'ABA Plan'!AG4+'BK Plan'!AG4+'BW Plan'!AG4+'CED Plan'!AG4+'HAB Plan'!AG4+'HB Plan'!AG4+'OD Plan'!AG4+'HDN Plan'!AG4+'KIN Plan'!AG4+'LE Plan'!AG4+'MER Plan'!AG4+'NDN Plan'!AG4+'SALT Plan'!AG4+'SDN Plan'!AG4+'SST Plan'!AG4+'WH Plan'!AG4+'FH Plan'!AG4</f>
        <v/>
      </c>
      <c r="AH4" s="9">
        <f>'ABA Plan'!AH4+'BK Plan'!AH4+'BW Plan'!AH4+'CED Plan'!AH4+'HAB Plan'!AH4+'HB Plan'!AH4+'OD Plan'!AH4+'HDN Plan'!AH4+'KIN Plan'!AH4+'LE Plan'!AH4+'MER Plan'!AH4+'NDN Plan'!AH4+'SALT Plan'!AH4+'SDN Plan'!AH4+'SST Plan'!AH4+'WH Plan'!AH4+'FH Plan'!AH4</f>
        <v/>
      </c>
      <c r="AI4" s="9">
        <f>'ABA Plan'!AI4+'BK Plan'!AI4+'BW Plan'!AI4+'CED Plan'!AI4+'HAB Plan'!AI4+'HB Plan'!AI4+'OD Plan'!AI4+'HDN Plan'!AI4+'KIN Plan'!AI4+'LE Plan'!AI4+'MER Plan'!AI4+'NDN Plan'!AI4+'SALT Plan'!AI4+'SDN Plan'!AI4+'SST Plan'!AI4+'WH Plan'!AI4+'FH Plan'!AI4</f>
        <v/>
      </c>
      <c r="AJ4" s="9">
        <f>'ABA Plan'!AJ4+'BK Plan'!AJ4+'BW Plan'!AJ4+'CED Plan'!AJ4+'HAB Plan'!AJ4+'HB Plan'!AJ4+'OD Plan'!AJ4+'HDN Plan'!AJ4+'KIN Plan'!AJ4+'LE Plan'!AJ4+'MER Plan'!AJ4+'NDN Plan'!AJ4+'SALT Plan'!AJ4+'SDN Plan'!AJ4+'SST Plan'!AJ4+'WH Plan'!AJ4+'FH Plan'!AJ4</f>
        <v/>
      </c>
      <c r="AK4" s="11">
        <f>IF(N4&lt;&gt;0,(AB4-N4)/ABS(N4),0)</f>
        <v/>
      </c>
      <c r="AL4" s="11">
        <f>IF(AB4&lt;&gt;0,(AJ4-AB4)/ABS(AB4),0)</f>
        <v/>
      </c>
    </row>
    <row r="5" ht="13" customHeight="1">
      <c r="A5" s="8" t="inlineStr">
        <is>
          <t xml:space="preserve">    EEEF Embedded</t>
        </is>
      </c>
      <c r="B5" s="9">
        <f>'ABA Plan'!B5+'BK Plan'!B5+'BW Plan'!B5+'CED Plan'!B5+'HAB Plan'!B5+'HB Plan'!B5+'OD Plan'!B5+'HDN Plan'!B5+'KIN Plan'!B5+'LE Plan'!B5+'MER Plan'!B5+'NDN Plan'!B5+'SALT Plan'!B5+'SDN Plan'!B5+'SST Plan'!B5+'WH Plan'!B5+'FH Plan'!B5</f>
        <v/>
      </c>
      <c r="C5" s="9">
        <f>'ABA Plan'!C5+'BK Plan'!C5+'BW Plan'!C5+'CED Plan'!C5+'HAB Plan'!C5+'HB Plan'!C5+'OD Plan'!C5+'HDN Plan'!C5+'KIN Plan'!C5+'LE Plan'!C5+'MER Plan'!C5+'NDN Plan'!C5+'SALT Plan'!C5+'SDN Plan'!C5+'SST Plan'!C5+'WH Plan'!C5+'FH Plan'!C5</f>
        <v/>
      </c>
      <c r="D5" s="9">
        <f>'ABA Plan'!D5+'BK Plan'!D5+'BW Plan'!D5+'CED Plan'!D5+'HAB Plan'!D5+'HB Plan'!D5+'OD Plan'!D5+'HDN Plan'!D5+'KIN Plan'!D5+'LE Plan'!D5+'MER Plan'!D5+'NDN Plan'!D5+'SALT Plan'!D5+'SDN Plan'!D5+'SST Plan'!D5+'WH Plan'!D5+'FH Plan'!D5</f>
        <v/>
      </c>
      <c r="E5" s="9">
        <f>'ABA Plan'!E5+'BK Plan'!E5+'BW Plan'!E5+'CED Plan'!E5+'HAB Plan'!E5+'HB Plan'!E5+'OD Plan'!E5+'HDN Plan'!E5+'KIN Plan'!E5+'LE Plan'!E5+'MER Plan'!E5+'NDN Plan'!E5+'SALT Plan'!E5+'SDN Plan'!E5+'SST Plan'!E5+'WH Plan'!E5+'FH Plan'!E5</f>
        <v/>
      </c>
      <c r="F5" s="9">
        <f>'ABA Plan'!F5+'BK Plan'!F5+'BW Plan'!F5+'CED Plan'!F5+'HAB Plan'!F5+'HB Plan'!F5+'OD Plan'!F5+'HDN Plan'!F5+'KIN Plan'!F5+'LE Plan'!F5+'MER Plan'!F5+'NDN Plan'!F5+'SALT Plan'!F5+'SDN Plan'!F5+'SST Plan'!F5+'WH Plan'!F5+'FH Plan'!F5</f>
        <v/>
      </c>
      <c r="G5" s="9">
        <f>'ABA Plan'!G5+'BK Plan'!G5+'BW Plan'!G5+'CED Plan'!G5+'HAB Plan'!G5+'HB Plan'!G5+'OD Plan'!G5+'HDN Plan'!G5+'KIN Plan'!G5+'LE Plan'!G5+'MER Plan'!G5+'NDN Plan'!G5+'SALT Plan'!G5+'SDN Plan'!G5+'SST Plan'!G5+'WH Plan'!G5+'FH Plan'!G5</f>
        <v/>
      </c>
      <c r="H5" s="9">
        <f>'ABA Plan'!H5+'BK Plan'!H5+'BW Plan'!H5+'CED Plan'!H5+'HAB Plan'!H5+'HB Plan'!H5+'OD Plan'!H5+'HDN Plan'!H5+'KIN Plan'!H5+'LE Plan'!H5+'MER Plan'!H5+'NDN Plan'!H5+'SALT Plan'!H5+'SDN Plan'!H5+'SST Plan'!H5+'WH Plan'!H5+'FH Plan'!H5</f>
        <v/>
      </c>
      <c r="I5" s="9">
        <f>'ABA Plan'!I5+'BK Plan'!I5+'BW Plan'!I5+'CED Plan'!I5+'HAB Plan'!I5+'HB Plan'!I5+'OD Plan'!I5+'HDN Plan'!I5+'KIN Plan'!I5+'LE Plan'!I5+'MER Plan'!I5+'NDN Plan'!I5+'SALT Plan'!I5+'SDN Plan'!I5+'SST Plan'!I5+'WH Plan'!I5+'FH Plan'!I5</f>
        <v/>
      </c>
      <c r="J5" s="9">
        <f>'ABA Plan'!J5+'BK Plan'!J5+'BW Plan'!J5+'CED Plan'!J5+'HAB Plan'!J5+'HB Plan'!J5+'OD Plan'!J5+'HDN Plan'!J5+'KIN Plan'!J5+'LE Plan'!J5+'MER Plan'!J5+'NDN Plan'!J5+'SALT Plan'!J5+'SDN Plan'!J5+'SST Plan'!J5+'WH Plan'!J5+'FH Plan'!J5</f>
        <v/>
      </c>
      <c r="K5" s="9">
        <f>'ABA Plan'!K5+'BK Plan'!K5+'BW Plan'!K5+'CED Plan'!K5+'HAB Plan'!K5+'HB Plan'!K5+'OD Plan'!K5+'HDN Plan'!K5+'KIN Plan'!K5+'LE Plan'!K5+'MER Plan'!K5+'NDN Plan'!K5+'SALT Plan'!K5+'SDN Plan'!K5+'SST Plan'!K5+'WH Plan'!K5+'FH Plan'!K5</f>
        <v/>
      </c>
      <c r="L5" s="9">
        <f>'ABA Plan'!L5+'BK Plan'!L5+'BW Plan'!L5+'CED Plan'!L5+'HAB Plan'!L5+'HB Plan'!L5+'OD Plan'!L5+'HDN Plan'!L5+'KIN Plan'!L5+'LE Plan'!L5+'MER Plan'!L5+'NDN Plan'!L5+'SALT Plan'!L5+'SDN Plan'!L5+'SST Plan'!L5+'WH Plan'!L5+'FH Plan'!L5</f>
        <v/>
      </c>
      <c r="M5" s="9">
        <f>'ABA Plan'!M5+'BK Plan'!M5+'BW Plan'!M5+'CED Plan'!M5+'HAB Plan'!M5+'HB Plan'!M5+'OD Plan'!M5+'HDN Plan'!M5+'KIN Plan'!M5+'LE Plan'!M5+'MER Plan'!M5+'NDN Plan'!M5+'SALT Plan'!M5+'SDN Plan'!M5+'SST Plan'!M5+'WH Plan'!M5+'FH Plan'!M5</f>
        <v/>
      </c>
      <c r="N5" s="9">
        <f>'ABA Plan'!N5+'BK Plan'!N5+'BW Plan'!N5+'CED Plan'!N5+'HAB Plan'!N5+'HB Plan'!N5+'OD Plan'!N5+'HDN Plan'!N5+'KIN Plan'!N5+'LE Plan'!N5+'MER Plan'!N5+'NDN Plan'!N5+'SALT Plan'!N5+'SDN Plan'!N5+'SST Plan'!N5+'WH Plan'!N5+'FH Plan'!N5</f>
        <v/>
      </c>
      <c r="O5" s="9">
        <f>'ABA Plan'!O5+'BK Plan'!O5+'BW Plan'!O5+'CED Plan'!O5+'HAB Plan'!O5+'HB Plan'!O5+'OD Plan'!O5+'HDN Plan'!O5+'KIN Plan'!O5+'LE Plan'!O5+'MER Plan'!O5+'NDN Plan'!O5+'SALT Plan'!O5+'SDN Plan'!O5+'SST Plan'!O5+'WH Plan'!O5+'FH Plan'!O5</f>
        <v/>
      </c>
      <c r="P5" s="9">
        <f>'ABA Plan'!P5+'BK Plan'!P5+'BW Plan'!P5+'CED Plan'!P5+'HAB Plan'!P5+'HB Plan'!P5+'OD Plan'!P5+'HDN Plan'!P5+'KIN Plan'!P5+'LE Plan'!P5+'MER Plan'!P5+'NDN Plan'!P5+'SALT Plan'!P5+'SDN Plan'!P5+'SST Plan'!P5+'WH Plan'!P5+'FH Plan'!P5</f>
        <v/>
      </c>
      <c r="Q5" s="9">
        <f>'ABA Plan'!Q5+'BK Plan'!Q5+'BW Plan'!Q5+'CED Plan'!Q5+'HAB Plan'!Q5+'HB Plan'!Q5+'OD Plan'!Q5+'HDN Plan'!Q5+'KIN Plan'!Q5+'LE Plan'!Q5+'MER Plan'!Q5+'NDN Plan'!Q5+'SALT Plan'!Q5+'SDN Plan'!Q5+'SST Plan'!Q5+'WH Plan'!Q5+'FH Plan'!Q5</f>
        <v/>
      </c>
      <c r="R5" s="9">
        <f>'ABA Plan'!R5+'BK Plan'!R5+'BW Plan'!R5+'CED Plan'!R5+'HAB Plan'!R5+'HB Plan'!R5+'OD Plan'!R5+'HDN Plan'!R5+'KIN Plan'!R5+'LE Plan'!R5+'MER Plan'!R5+'NDN Plan'!R5+'SALT Plan'!R5+'SDN Plan'!R5+'SST Plan'!R5+'WH Plan'!R5+'FH Plan'!R5</f>
        <v/>
      </c>
      <c r="S5" s="9">
        <f>'ABA Plan'!S5+'BK Plan'!S5+'BW Plan'!S5+'CED Plan'!S5+'HAB Plan'!S5+'HB Plan'!S5+'OD Plan'!S5+'HDN Plan'!S5+'KIN Plan'!S5+'LE Plan'!S5+'MER Plan'!S5+'NDN Plan'!S5+'SALT Plan'!S5+'SDN Plan'!S5+'SST Plan'!S5+'WH Plan'!S5+'FH Plan'!S5</f>
        <v/>
      </c>
      <c r="T5" s="9">
        <f>'ABA Plan'!T5+'BK Plan'!T5+'BW Plan'!T5+'CED Plan'!T5+'HAB Plan'!T5+'HB Plan'!T5+'OD Plan'!T5+'HDN Plan'!T5+'KIN Plan'!T5+'LE Plan'!T5+'MER Plan'!T5+'NDN Plan'!T5+'SALT Plan'!T5+'SDN Plan'!T5+'SST Plan'!T5+'WH Plan'!T5+'FH Plan'!T5</f>
        <v/>
      </c>
      <c r="U5" s="9">
        <f>'ABA Plan'!U5+'BK Plan'!U5+'BW Plan'!U5+'CED Plan'!U5+'HAB Plan'!U5+'HB Plan'!U5+'OD Plan'!U5+'HDN Plan'!U5+'KIN Plan'!U5+'LE Plan'!U5+'MER Plan'!U5+'NDN Plan'!U5+'SALT Plan'!U5+'SDN Plan'!U5+'SST Plan'!U5+'WH Plan'!U5+'FH Plan'!U5</f>
        <v/>
      </c>
      <c r="V5" s="9">
        <f>'ABA Plan'!V5+'BK Plan'!V5+'BW Plan'!V5+'CED Plan'!V5+'HAB Plan'!V5+'HB Plan'!V5+'OD Plan'!V5+'HDN Plan'!V5+'KIN Plan'!V5+'LE Plan'!V5+'MER Plan'!V5+'NDN Plan'!V5+'SALT Plan'!V5+'SDN Plan'!V5+'SST Plan'!V5+'WH Plan'!V5+'FH Plan'!V5</f>
        <v/>
      </c>
      <c r="W5" s="9">
        <f>'ABA Plan'!W5+'BK Plan'!W5+'BW Plan'!W5+'CED Plan'!W5+'HAB Plan'!W5+'HB Plan'!W5+'OD Plan'!W5+'HDN Plan'!W5+'KIN Plan'!W5+'LE Plan'!W5+'MER Plan'!W5+'NDN Plan'!W5+'SALT Plan'!W5+'SDN Plan'!W5+'SST Plan'!W5+'WH Plan'!W5+'FH Plan'!W5</f>
        <v/>
      </c>
      <c r="X5" s="9">
        <f>'ABA Plan'!X5+'BK Plan'!X5+'BW Plan'!X5+'CED Plan'!X5+'HAB Plan'!X5+'HB Plan'!X5+'OD Plan'!X5+'HDN Plan'!X5+'KIN Plan'!X5+'LE Plan'!X5+'MER Plan'!X5+'NDN Plan'!X5+'SALT Plan'!X5+'SDN Plan'!X5+'SST Plan'!X5+'WH Plan'!X5+'FH Plan'!X5</f>
        <v/>
      </c>
      <c r="Y5" s="9">
        <f>'ABA Plan'!Y5+'BK Plan'!Y5+'BW Plan'!Y5+'CED Plan'!Y5+'HAB Plan'!Y5+'HB Plan'!Y5+'OD Plan'!Y5+'HDN Plan'!Y5+'KIN Plan'!Y5+'LE Plan'!Y5+'MER Plan'!Y5+'NDN Plan'!Y5+'SALT Plan'!Y5+'SDN Plan'!Y5+'SST Plan'!Y5+'WH Plan'!Y5+'FH Plan'!Y5</f>
        <v/>
      </c>
      <c r="Z5" s="9">
        <f>'ABA Plan'!Z5+'BK Plan'!Z5+'BW Plan'!Z5+'CED Plan'!Z5+'HAB Plan'!Z5+'HB Plan'!Z5+'OD Plan'!Z5+'HDN Plan'!Z5+'KIN Plan'!Z5+'LE Plan'!Z5+'MER Plan'!Z5+'NDN Plan'!Z5+'SALT Plan'!Z5+'SDN Plan'!Z5+'SST Plan'!Z5+'WH Plan'!Z5+'FH Plan'!Z5</f>
        <v/>
      </c>
      <c r="AA5" s="9">
        <f>'ABA Plan'!AA5+'BK Plan'!AA5+'BW Plan'!AA5+'CED Plan'!AA5+'HAB Plan'!AA5+'HB Plan'!AA5+'OD Plan'!AA5+'HDN Plan'!AA5+'KIN Plan'!AA5+'LE Plan'!AA5+'MER Plan'!AA5+'NDN Plan'!AA5+'SALT Plan'!AA5+'SDN Plan'!AA5+'SST Plan'!AA5+'WH Plan'!AA5+'FH Plan'!AA5</f>
        <v/>
      </c>
      <c r="AB5" s="9">
        <f>'ABA Plan'!AB5+'BK Plan'!AB5+'BW Plan'!AB5+'CED Plan'!AB5+'HAB Plan'!AB5+'HB Plan'!AB5+'OD Plan'!AB5+'HDN Plan'!AB5+'KIN Plan'!AB5+'LE Plan'!AB5+'MER Plan'!AB5+'NDN Plan'!AB5+'SALT Plan'!AB5+'SDN Plan'!AB5+'SST Plan'!AB5+'WH Plan'!AB5+'FH Plan'!AB5</f>
        <v/>
      </c>
      <c r="AC5" s="9">
        <f>'ABA Plan'!AC5+'BK Plan'!AC5+'BW Plan'!AC5+'CED Plan'!AC5+'HAB Plan'!AC5+'HB Plan'!AC5+'OD Plan'!AC5+'HDN Plan'!AC5+'KIN Plan'!AC5+'LE Plan'!AC5+'MER Plan'!AC5+'NDN Plan'!AC5+'SALT Plan'!AC5+'SDN Plan'!AC5+'SST Plan'!AC5+'WH Plan'!AC5+'FH Plan'!AC5</f>
        <v/>
      </c>
      <c r="AD5" s="9">
        <f>'ABA Plan'!AD5+'BK Plan'!AD5+'BW Plan'!AD5+'CED Plan'!AD5+'HAB Plan'!AD5+'HB Plan'!AD5+'OD Plan'!AD5+'HDN Plan'!AD5+'KIN Plan'!AD5+'LE Plan'!AD5+'MER Plan'!AD5+'NDN Plan'!AD5+'SALT Plan'!AD5+'SDN Plan'!AD5+'SST Plan'!AD5+'WH Plan'!AD5+'FH Plan'!AD5</f>
        <v/>
      </c>
      <c r="AE5" s="9">
        <f>'ABA Plan'!AE5+'BK Plan'!AE5+'BW Plan'!AE5+'CED Plan'!AE5+'HAB Plan'!AE5+'HB Plan'!AE5+'OD Plan'!AE5+'HDN Plan'!AE5+'KIN Plan'!AE5+'LE Plan'!AE5+'MER Plan'!AE5+'NDN Plan'!AE5+'SALT Plan'!AE5+'SDN Plan'!AE5+'SST Plan'!AE5+'WH Plan'!AE5+'FH Plan'!AE5</f>
        <v/>
      </c>
      <c r="AF5" s="9">
        <f>'ABA Plan'!AF5+'BK Plan'!AF5+'BW Plan'!AF5+'CED Plan'!AF5+'HAB Plan'!AF5+'HB Plan'!AF5+'OD Plan'!AF5+'HDN Plan'!AF5+'KIN Plan'!AF5+'LE Plan'!AF5+'MER Plan'!AF5+'NDN Plan'!AF5+'SALT Plan'!AF5+'SDN Plan'!AF5+'SST Plan'!AF5+'WH Plan'!AF5+'FH Plan'!AF5</f>
        <v/>
      </c>
      <c r="AG5" s="9">
        <f>'ABA Plan'!AG5+'BK Plan'!AG5+'BW Plan'!AG5+'CED Plan'!AG5+'HAB Plan'!AG5+'HB Plan'!AG5+'OD Plan'!AG5+'HDN Plan'!AG5+'KIN Plan'!AG5+'LE Plan'!AG5+'MER Plan'!AG5+'NDN Plan'!AG5+'SALT Plan'!AG5+'SDN Plan'!AG5+'SST Plan'!AG5+'WH Plan'!AG5+'FH Plan'!AG5</f>
        <v/>
      </c>
      <c r="AH5" s="9">
        <f>'ABA Plan'!AH5+'BK Plan'!AH5+'BW Plan'!AH5+'CED Plan'!AH5+'HAB Plan'!AH5+'HB Plan'!AH5+'OD Plan'!AH5+'HDN Plan'!AH5+'KIN Plan'!AH5+'LE Plan'!AH5+'MER Plan'!AH5+'NDN Plan'!AH5+'SALT Plan'!AH5+'SDN Plan'!AH5+'SST Plan'!AH5+'WH Plan'!AH5+'FH Plan'!AH5</f>
        <v/>
      </c>
      <c r="AI5" s="9">
        <f>'ABA Plan'!AI5+'BK Plan'!AI5+'BW Plan'!AI5+'CED Plan'!AI5+'HAB Plan'!AI5+'HB Plan'!AI5+'OD Plan'!AI5+'HDN Plan'!AI5+'KIN Plan'!AI5+'LE Plan'!AI5+'MER Plan'!AI5+'NDN Plan'!AI5+'SALT Plan'!AI5+'SDN Plan'!AI5+'SST Plan'!AI5+'WH Plan'!AI5+'FH Plan'!AI5</f>
        <v/>
      </c>
      <c r="AJ5" s="9">
        <f>'ABA Plan'!AJ5+'BK Plan'!AJ5+'BW Plan'!AJ5+'CED Plan'!AJ5+'HAB Plan'!AJ5+'HB Plan'!AJ5+'OD Plan'!AJ5+'HDN Plan'!AJ5+'KIN Plan'!AJ5+'LE Plan'!AJ5+'MER Plan'!AJ5+'NDN Plan'!AJ5+'SALT Plan'!AJ5+'SDN Plan'!AJ5+'SST Plan'!AJ5+'WH Plan'!AJ5+'FH Plan'!AJ5</f>
        <v/>
      </c>
      <c r="AK5" s="11">
        <f>IF(N5&lt;&gt;0,(AB5-N5)/ABS(N5),0)</f>
        <v/>
      </c>
      <c r="AL5" s="11">
        <f>IF(AB5&lt;&gt;0,(AJ5-AB5)/ABS(AB5),0)</f>
        <v/>
      </c>
    </row>
    <row r="6" ht="13" customHeight="1">
      <c r="A6" s="8" t="inlineStr">
        <is>
          <t xml:space="preserve">    Other Income</t>
        </is>
      </c>
      <c r="B6" s="9">
        <f>'ABA Plan'!B6+'BK Plan'!B6+'BW Plan'!B6+'CED Plan'!B6+'HAB Plan'!B6+'HB Plan'!B6+'OD Plan'!B6+'HDN Plan'!B6+'KIN Plan'!B6+'LE Plan'!B6+'MER Plan'!B6+'NDN Plan'!B6+'SALT Plan'!B6+'SDN Plan'!B6+'SST Plan'!B6+'WH Plan'!B6+'FH Plan'!B6</f>
        <v/>
      </c>
      <c r="C6" s="9">
        <f>'ABA Plan'!C6+'BK Plan'!C6+'BW Plan'!C6+'CED Plan'!C6+'HAB Plan'!C6+'HB Plan'!C6+'OD Plan'!C6+'HDN Plan'!C6+'KIN Plan'!C6+'LE Plan'!C6+'MER Plan'!C6+'NDN Plan'!C6+'SALT Plan'!C6+'SDN Plan'!C6+'SST Plan'!C6+'WH Plan'!C6+'FH Plan'!C6</f>
        <v/>
      </c>
      <c r="D6" s="9">
        <f>'ABA Plan'!D6+'BK Plan'!D6+'BW Plan'!D6+'CED Plan'!D6+'HAB Plan'!D6+'HB Plan'!D6+'OD Plan'!D6+'HDN Plan'!D6+'KIN Plan'!D6+'LE Plan'!D6+'MER Plan'!D6+'NDN Plan'!D6+'SALT Plan'!D6+'SDN Plan'!D6+'SST Plan'!D6+'WH Plan'!D6+'FH Plan'!D6</f>
        <v/>
      </c>
      <c r="E6" s="9">
        <f>'ABA Plan'!E6+'BK Plan'!E6+'BW Plan'!E6+'CED Plan'!E6+'HAB Plan'!E6+'HB Plan'!E6+'OD Plan'!E6+'HDN Plan'!E6+'KIN Plan'!E6+'LE Plan'!E6+'MER Plan'!E6+'NDN Plan'!E6+'SALT Plan'!E6+'SDN Plan'!E6+'SST Plan'!E6+'WH Plan'!E6+'FH Plan'!E6</f>
        <v/>
      </c>
      <c r="F6" s="9">
        <f>'ABA Plan'!F6+'BK Plan'!F6+'BW Plan'!F6+'CED Plan'!F6+'HAB Plan'!F6+'HB Plan'!F6+'OD Plan'!F6+'HDN Plan'!F6+'KIN Plan'!F6+'LE Plan'!F6+'MER Plan'!F6+'NDN Plan'!F6+'SALT Plan'!F6+'SDN Plan'!F6+'SST Plan'!F6+'WH Plan'!F6+'FH Plan'!F6</f>
        <v/>
      </c>
      <c r="G6" s="9">
        <f>'ABA Plan'!G6+'BK Plan'!G6+'BW Plan'!G6+'CED Plan'!G6+'HAB Plan'!G6+'HB Plan'!G6+'OD Plan'!G6+'HDN Plan'!G6+'KIN Plan'!G6+'LE Plan'!G6+'MER Plan'!G6+'NDN Plan'!G6+'SALT Plan'!G6+'SDN Plan'!G6+'SST Plan'!G6+'WH Plan'!G6+'FH Plan'!G6</f>
        <v/>
      </c>
      <c r="H6" s="9">
        <f>'ABA Plan'!H6+'BK Plan'!H6+'BW Plan'!H6+'CED Plan'!H6+'HAB Plan'!H6+'HB Plan'!H6+'OD Plan'!H6+'HDN Plan'!H6+'KIN Plan'!H6+'LE Plan'!H6+'MER Plan'!H6+'NDN Plan'!H6+'SALT Plan'!H6+'SDN Plan'!H6+'SST Plan'!H6+'WH Plan'!H6+'FH Plan'!H6</f>
        <v/>
      </c>
      <c r="I6" s="9">
        <f>'ABA Plan'!I6+'BK Plan'!I6+'BW Plan'!I6+'CED Plan'!I6+'HAB Plan'!I6+'HB Plan'!I6+'OD Plan'!I6+'HDN Plan'!I6+'KIN Plan'!I6+'LE Plan'!I6+'MER Plan'!I6+'NDN Plan'!I6+'SALT Plan'!I6+'SDN Plan'!I6+'SST Plan'!I6+'WH Plan'!I6+'FH Plan'!I6</f>
        <v/>
      </c>
      <c r="J6" s="9">
        <f>'ABA Plan'!J6+'BK Plan'!J6+'BW Plan'!J6+'CED Plan'!J6+'HAB Plan'!J6+'HB Plan'!J6+'OD Plan'!J6+'HDN Plan'!J6+'KIN Plan'!J6+'LE Plan'!J6+'MER Plan'!J6+'NDN Plan'!J6+'SALT Plan'!J6+'SDN Plan'!J6+'SST Plan'!J6+'WH Plan'!J6+'FH Plan'!J6</f>
        <v/>
      </c>
      <c r="K6" s="9">
        <f>'ABA Plan'!K6+'BK Plan'!K6+'BW Plan'!K6+'CED Plan'!K6+'HAB Plan'!K6+'HB Plan'!K6+'OD Plan'!K6+'HDN Plan'!K6+'KIN Plan'!K6+'LE Plan'!K6+'MER Plan'!K6+'NDN Plan'!K6+'SALT Plan'!K6+'SDN Plan'!K6+'SST Plan'!K6+'WH Plan'!K6+'FH Plan'!K6</f>
        <v/>
      </c>
      <c r="L6" s="9">
        <f>'ABA Plan'!L6+'BK Plan'!L6+'BW Plan'!L6+'CED Plan'!L6+'HAB Plan'!L6+'HB Plan'!L6+'OD Plan'!L6+'HDN Plan'!L6+'KIN Plan'!L6+'LE Plan'!L6+'MER Plan'!L6+'NDN Plan'!L6+'SALT Plan'!L6+'SDN Plan'!L6+'SST Plan'!L6+'WH Plan'!L6+'FH Plan'!L6</f>
        <v/>
      </c>
      <c r="M6" s="9">
        <f>'ABA Plan'!M6+'BK Plan'!M6+'BW Plan'!M6+'CED Plan'!M6+'HAB Plan'!M6+'HB Plan'!M6+'OD Plan'!M6+'HDN Plan'!M6+'KIN Plan'!M6+'LE Plan'!M6+'MER Plan'!M6+'NDN Plan'!M6+'SALT Plan'!M6+'SDN Plan'!M6+'SST Plan'!M6+'WH Plan'!M6+'FH Plan'!M6</f>
        <v/>
      </c>
      <c r="N6" s="9">
        <f>'ABA Plan'!N6+'BK Plan'!N6+'BW Plan'!N6+'CED Plan'!N6+'HAB Plan'!N6+'HB Plan'!N6+'OD Plan'!N6+'HDN Plan'!N6+'KIN Plan'!N6+'LE Plan'!N6+'MER Plan'!N6+'NDN Plan'!N6+'SALT Plan'!N6+'SDN Plan'!N6+'SST Plan'!N6+'WH Plan'!N6+'FH Plan'!N6</f>
        <v/>
      </c>
      <c r="O6" s="9">
        <f>'ABA Plan'!O6+'BK Plan'!O6+'BW Plan'!O6+'CED Plan'!O6+'HAB Plan'!O6+'HB Plan'!O6+'OD Plan'!O6+'HDN Plan'!O6+'KIN Plan'!O6+'LE Plan'!O6+'MER Plan'!O6+'NDN Plan'!O6+'SALT Plan'!O6+'SDN Plan'!O6+'SST Plan'!O6+'WH Plan'!O6+'FH Plan'!O6</f>
        <v/>
      </c>
      <c r="P6" s="9">
        <f>'ABA Plan'!P6+'BK Plan'!P6+'BW Plan'!P6+'CED Plan'!P6+'HAB Plan'!P6+'HB Plan'!P6+'OD Plan'!P6+'HDN Plan'!P6+'KIN Plan'!P6+'LE Plan'!P6+'MER Plan'!P6+'NDN Plan'!P6+'SALT Plan'!P6+'SDN Plan'!P6+'SST Plan'!P6+'WH Plan'!P6+'FH Plan'!P6</f>
        <v/>
      </c>
      <c r="Q6" s="9">
        <f>'ABA Plan'!Q6+'BK Plan'!Q6+'BW Plan'!Q6+'CED Plan'!Q6+'HAB Plan'!Q6+'HB Plan'!Q6+'OD Plan'!Q6+'HDN Plan'!Q6+'KIN Plan'!Q6+'LE Plan'!Q6+'MER Plan'!Q6+'NDN Plan'!Q6+'SALT Plan'!Q6+'SDN Plan'!Q6+'SST Plan'!Q6+'WH Plan'!Q6+'FH Plan'!Q6</f>
        <v/>
      </c>
      <c r="R6" s="9">
        <f>'ABA Plan'!R6+'BK Plan'!R6+'BW Plan'!R6+'CED Plan'!R6+'HAB Plan'!R6+'HB Plan'!R6+'OD Plan'!R6+'HDN Plan'!R6+'KIN Plan'!R6+'LE Plan'!R6+'MER Plan'!R6+'NDN Plan'!R6+'SALT Plan'!R6+'SDN Plan'!R6+'SST Plan'!R6+'WH Plan'!R6+'FH Plan'!R6</f>
        <v/>
      </c>
      <c r="S6" s="9">
        <f>'ABA Plan'!S6+'BK Plan'!S6+'BW Plan'!S6+'CED Plan'!S6+'HAB Plan'!S6+'HB Plan'!S6+'OD Plan'!S6+'HDN Plan'!S6+'KIN Plan'!S6+'LE Plan'!S6+'MER Plan'!S6+'NDN Plan'!S6+'SALT Plan'!S6+'SDN Plan'!S6+'SST Plan'!S6+'WH Plan'!S6+'FH Plan'!S6</f>
        <v/>
      </c>
      <c r="T6" s="9">
        <f>'ABA Plan'!T6+'BK Plan'!T6+'BW Plan'!T6+'CED Plan'!T6+'HAB Plan'!T6+'HB Plan'!T6+'OD Plan'!T6+'HDN Plan'!T6+'KIN Plan'!T6+'LE Plan'!T6+'MER Plan'!T6+'NDN Plan'!T6+'SALT Plan'!T6+'SDN Plan'!T6+'SST Plan'!T6+'WH Plan'!T6+'FH Plan'!T6</f>
        <v/>
      </c>
      <c r="U6" s="9">
        <f>'ABA Plan'!U6+'BK Plan'!U6+'BW Plan'!U6+'CED Plan'!U6+'HAB Plan'!U6+'HB Plan'!U6+'OD Plan'!U6+'HDN Plan'!U6+'KIN Plan'!U6+'LE Plan'!U6+'MER Plan'!U6+'NDN Plan'!U6+'SALT Plan'!U6+'SDN Plan'!U6+'SST Plan'!U6+'WH Plan'!U6+'FH Plan'!U6</f>
        <v/>
      </c>
      <c r="V6" s="9">
        <f>'ABA Plan'!V6+'BK Plan'!V6+'BW Plan'!V6+'CED Plan'!V6+'HAB Plan'!V6+'HB Plan'!V6+'OD Plan'!V6+'HDN Plan'!V6+'KIN Plan'!V6+'LE Plan'!V6+'MER Plan'!V6+'NDN Plan'!V6+'SALT Plan'!V6+'SDN Plan'!V6+'SST Plan'!V6+'WH Plan'!V6+'FH Plan'!V6</f>
        <v/>
      </c>
      <c r="W6" s="9">
        <f>'ABA Plan'!W6+'BK Plan'!W6+'BW Plan'!W6+'CED Plan'!W6+'HAB Plan'!W6+'HB Plan'!W6+'OD Plan'!W6+'HDN Plan'!W6+'KIN Plan'!W6+'LE Plan'!W6+'MER Plan'!W6+'NDN Plan'!W6+'SALT Plan'!W6+'SDN Plan'!W6+'SST Plan'!W6+'WH Plan'!W6+'FH Plan'!W6</f>
        <v/>
      </c>
      <c r="X6" s="9">
        <f>'ABA Plan'!X6+'BK Plan'!X6+'BW Plan'!X6+'CED Plan'!X6+'HAB Plan'!X6+'HB Plan'!X6+'OD Plan'!X6+'HDN Plan'!X6+'KIN Plan'!X6+'LE Plan'!X6+'MER Plan'!X6+'NDN Plan'!X6+'SALT Plan'!X6+'SDN Plan'!X6+'SST Plan'!X6+'WH Plan'!X6+'FH Plan'!X6</f>
        <v/>
      </c>
      <c r="Y6" s="9">
        <f>'ABA Plan'!Y6+'BK Plan'!Y6+'BW Plan'!Y6+'CED Plan'!Y6+'HAB Plan'!Y6+'HB Plan'!Y6+'OD Plan'!Y6+'HDN Plan'!Y6+'KIN Plan'!Y6+'LE Plan'!Y6+'MER Plan'!Y6+'NDN Plan'!Y6+'SALT Plan'!Y6+'SDN Plan'!Y6+'SST Plan'!Y6+'WH Plan'!Y6+'FH Plan'!Y6</f>
        <v/>
      </c>
      <c r="Z6" s="9">
        <f>'ABA Plan'!Z6+'BK Plan'!Z6+'BW Plan'!Z6+'CED Plan'!Z6+'HAB Plan'!Z6+'HB Plan'!Z6+'OD Plan'!Z6+'HDN Plan'!Z6+'KIN Plan'!Z6+'LE Plan'!Z6+'MER Plan'!Z6+'NDN Plan'!Z6+'SALT Plan'!Z6+'SDN Plan'!Z6+'SST Plan'!Z6+'WH Plan'!Z6+'FH Plan'!Z6</f>
        <v/>
      </c>
      <c r="AA6" s="9">
        <f>'ABA Plan'!AA6+'BK Plan'!AA6+'BW Plan'!AA6+'CED Plan'!AA6+'HAB Plan'!AA6+'HB Plan'!AA6+'OD Plan'!AA6+'HDN Plan'!AA6+'KIN Plan'!AA6+'LE Plan'!AA6+'MER Plan'!AA6+'NDN Plan'!AA6+'SALT Plan'!AA6+'SDN Plan'!AA6+'SST Plan'!AA6+'WH Plan'!AA6+'FH Plan'!AA6</f>
        <v/>
      </c>
      <c r="AB6" s="9">
        <f>'ABA Plan'!AB6+'BK Plan'!AB6+'BW Plan'!AB6+'CED Plan'!AB6+'HAB Plan'!AB6+'HB Plan'!AB6+'OD Plan'!AB6+'HDN Plan'!AB6+'KIN Plan'!AB6+'LE Plan'!AB6+'MER Plan'!AB6+'NDN Plan'!AB6+'SALT Plan'!AB6+'SDN Plan'!AB6+'SST Plan'!AB6+'WH Plan'!AB6+'FH Plan'!AB6</f>
        <v/>
      </c>
      <c r="AC6" s="9">
        <f>'ABA Plan'!AC6+'BK Plan'!AC6+'BW Plan'!AC6+'CED Plan'!AC6+'HAB Plan'!AC6+'HB Plan'!AC6+'OD Plan'!AC6+'HDN Plan'!AC6+'KIN Plan'!AC6+'LE Plan'!AC6+'MER Plan'!AC6+'NDN Plan'!AC6+'SALT Plan'!AC6+'SDN Plan'!AC6+'SST Plan'!AC6+'WH Plan'!AC6+'FH Plan'!AC6</f>
        <v/>
      </c>
      <c r="AD6" s="9">
        <f>'ABA Plan'!AD6+'BK Plan'!AD6+'BW Plan'!AD6+'CED Plan'!AD6+'HAB Plan'!AD6+'HB Plan'!AD6+'OD Plan'!AD6+'HDN Plan'!AD6+'KIN Plan'!AD6+'LE Plan'!AD6+'MER Plan'!AD6+'NDN Plan'!AD6+'SALT Plan'!AD6+'SDN Plan'!AD6+'SST Plan'!AD6+'WH Plan'!AD6+'FH Plan'!AD6</f>
        <v/>
      </c>
      <c r="AE6" s="9">
        <f>'ABA Plan'!AE6+'BK Plan'!AE6+'BW Plan'!AE6+'CED Plan'!AE6+'HAB Plan'!AE6+'HB Plan'!AE6+'OD Plan'!AE6+'HDN Plan'!AE6+'KIN Plan'!AE6+'LE Plan'!AE6+'MER Plan'!AE6+'NDN Plan'!AE6+'SALT Plan'!AE6+'SDN Plan'!AE6+'SST Plan'!AE6+'WH Plan'!AE6+'FH Plan'!AE6</f>
        <v/>
      </c>
      <c r="AF6" s="9">
        <f>'ABA Plan'!AF6+'BK Plan'!AF6+'BW Plan'!AF6+'CED Plan'!AF6+'HAB Plan'!AF6+'HB Plan'!AF6+'OD Plan'!AF6+'HDN Plan'!AF6+'KIN Plan'!AF6+'LE Plan'!AF6+'MER Plan'!AF6+'NDN Plan'!AF6+'SALT Plan'!AF6+'SDN Plan'!AF6+'SST Plan'!AF6+'WH Plan'!AF6+'FH Plan'!AF6</f>
        <v/>
      </c>
      <c r="AG6" s="9">
        <f>'ABA Plan'!AG6+'BK Plan'!AG6+'BW Plan'!AG6+'CED Plan'!AG6+'HAB Plan'!AG6+'HB Plan'!AG6+'OD Plan'!AG6+'HDN Plan'!AG6+'KIN Plan'!AG6+'LE Plan'!AG6+'MER Plan'!AG6+'NDN Plan'!AG6+'SALT Plan'!AG6+'SDN Plan'!AG6+'SST Plan'!AG6+'WH Plan'!AG6+'FH Plan'!AG6</f>
        <v/>
      </c>
      <c r="AH6" s="9">
        <f>'ABA Plan'!AH6+'BK Plan'!AH6+'BW Plan'!AH6+'CED Plan'!AH6+'HAB Plan'!AH6+'HB Plan'!AH6+'OD Plan'!AH6+'HDN Plan'!AH6+'KIN Plan'!AH6+'LE Plan'!AH6+'MER Plan'!AH6+'NDN Plan'!AH6+'SALT Plan'!AH6+'SDN Plan'!AH6+'SST Plan'!AH6+'WH Plan'!AH6+'FH Plan'!AH6</f>
        <v/>
      </c>
      <c r="AI6" s="9">
        <f>'ABA Plan'!AI6+'BK Plan'!AI6+'BW Plan'!AI6+'CED Plan'!AI6+'HAB Plan'!AI6+'HB Plan'!AI6+'OD Plan'!AI6+'HDN Plan'!AI6+'KIN Plan'!AI6+'LE Plan'!AI6+'MER Plan'!AI6+'NDN Plan'!AI6+'SALT Plan'!AI6+'SDN Plan'!AI6+'SST Plan'!AI6+'WH Plan'!AI6+'FH Plan'!AI6</f>
        <v/>
      </c>
      <c r="AJ6" s="9">
        <f>'ABA Plan'!AJ6+'BK Plan'!AJ6+'BW Plan'!AJ6+'CED Plan'!AJ6+'HAB Plan'!AJ6+'HB Plan'!AJ6+'OD Plan'!AJ6+'HDN Plan'!AJ6+'KIN Plan'!AJ6+'LE Plan'!AJ6+'MER Plan'!AJ6+'NDN Plan'!AJ6+'SALT Plan'!AJ6+'SDN Plan'!AJ6+'SST Plan'!AJ6+'WH Plan'!AJ6+'FH Plan'!AJ6</f>
        <v/>
      </c>
      <c r="AK6" s="11">
        <f>IF(N6&lt;&gt;0,(AB6-N6)/ABS(N6),0)</f>
        <v/>
      </c>
      <c r="AL6" s="11">
        <f>IF(AB6&lt;&gt;0,(AJ6-AB6)/ABS(AB6),0)</f>
        <v/>
      </c>
    </row>
    <row r="7" ht="13" customHeight="1">
      <c r="A7" s="12" t="inlineStr">
        <is>
          <t>Total Income</t>
        </is>
      </c>
      <c r="B7" s="13">
        <f>'ABA Plan'!B7+'BK Plan'!B7+'BW Plan'!B7+'CED Plan'!B7+'HAB Plan'!B7+'HB Plan'!B7+'OD Plan'!B7+'HDN Plan'!B7+'KIN Plan'!B7+'LE Plan'!B7+'MER Plan'!B7+'NDN Plan'!B7+'SALT Plan'!B7+'SDN Plan'!B7+'SST Plan'!B7+'WH Plan'!B7+'FH Plan'!B7</f>
        <v/>
      </c>
      <c r="C7" s="13">
        <f>'ABA Plan'!C7+'BK Plan'!C7+'BW Plan'!C7+'CED Plan'!C7+'HAB Plan'!C7+'HB Plan'!C7+'OD Plan'!C7+'HDN Plan'!C7+'KIN Plan'!C7+'LE Plan'!C7+'MER Plan'!C7+'NDN Plan'!C7+'SALT Plan'!C7+'SDN Plan'!C7+'SST Plan'!C7+'WH Plan'!C7+'FH Plan'!C7</f>
        <v/>
      </c>
      <c r="D7" s="13">
        <f>'ABA Plan'!D7+'BK Plan'!D7+'BW Plan'!D7+'CED Plan'!D7+'HAB Plan'!D7+'HB Plan'!D7+'OD Plan'!D7+'HDN Plan'!D7+'KIN Plan'!D7+'LE Plan'!D7+'MER Plan'!D7+'NDN Plan'!D7+'SALT Plan'!D7+'SDN Plan'!D7+'SST Plan'!D7+'WH Plan'!D7+'FH Plan'!D7</f>
        <v/>
      </c>
      <c r="E7" s="13">
        <f>'ABA Plan'!E7+'BK Plan'!E7+'BW Plan'!E7+'CED Plan'!E7+'HAB Plan'!E7+'HB Plan'!E7+'OD Plan'!E7+'HDN Plan'!E7+'KIN Plan'!E7+'LE Plan'!E7+'MER Plan'!E7+'NDN Plan'!E7+'SALT Plan'!E7+'SDN Plan'!E7+'SST Plan'!E7+'WH Plan'!E7+'FH Plan'!E7</f>
        <v/>
      </c>
      <c r="F7" s="13">
        <f>'ABA Plan'!F7+'BK Plan'!F7+'BW Plan'!F7+'CED Plan'!F7+'HAB Plan'!F7+'HB Plan'!F7+'OD Plan'!F7+'HDN Plan'!F7+'KIN Plan'!F7+'LE Plan'!F7+'MER Plan'!F7+'NDN Plan'!F7+'SALT Plan'!F7+'SDN Plan'!F7+'SST Plan'!F7+'WH Plan'!F7+'FH Plan'!F7</f>
        <v/>
      </c>
      <c r="G7" s="13">
        <f>'ABA Plan'!G7+'BK Plan'!G7+'BW Plan'!G7+'CED Plan'!G7+'HAB Plan'!G7+'HB Plan'!G7+'OD Plan'!G7+'HDN Plan'!G7+'KIN Plan'!G7+'LE Plan'!G7+'MER Plan'!G7+'NDN Plan'!G7+'SALT Plan'!G7+'SDN Plan'!G7+'SST Plan'!G7+'WH Plan'!G7+'FH Plan'!G7</f>
        <v/>
      </c>
      <c r="H7" s="13">
        <f>'ABA Plan'!H7+'BK Plan'!H7+'BW Plan'!H7+'CED Plan'!H7+'HAB Plan'!H7+'HB Plan'!H7+'OD Plan'!H7+'HDN Plan'!H7+'KIN Plan'!H7+'LE Plan'!H7+'MER Plan'!H7+'NDN Plan'!H7+'SALT Plan'!H7+'SDN Plan'!H7+'SST Plan'!H7+'WH Plan'!H7+'FH Plan'!H7</f>
        <v/>
      </c>
      <c r="I7" s="13">
        <f>'ABA Plan'!I7+'BK Plan'!I7+'BW Plan'!I7+'CED Plan'!I7+'HAB Plan'!I7+'HB Plan'!I7+'OD Plan'!I7+'HDN Plan'!I7+'KIN Plan'!I7+'LE Plan'!I7+'MER Plan'!I7+'NDN Plan'!I7+'SALT Plan'!I7+'SDN Plan'!I7+'SST Plan'!I7+'WH Plan'!I7+'FH Plan'!I7</f>
        <v/>
      </c>
      <c r="J7" s="13">
        <f>'ABA Plan'!J7+'BK Plan'!J7+'BW Plan'!J7+'CED Plan'!J7+'HAB Plan'!J7+'HB Plan'!J7+'OD Plan'!J7+'HDN Plan'!J7+'KIN Plan'!J7+'LE Plan'!J7+'MER Plan'!J7+'NDN Plan'!J7+'SALT Plan'!J7+'SDN Plan'!J7+'SST Plan'!J7+'WH Plan'!J7+'FH Plan'!J7</f>
        <v/>
      </c>
      <c r="K7" s="13">
        <f>'ABA Plan'!K7+'BK Plan'!K7+'BW Plan'!K7+'CED Plan'!K7+'HAB Plan'!K7+'HB Plan'!K7+'OD Plan'!K7+'HDN Plan'!K7+'KIN Plan'!K7+'LE Plan'!K7+'MER Plan'!K7+'NDN Plan'!K7+'SALT Plan'!K7+'SDN Plan'!K7+'SST Plan'!K7+'WH Plan'!K7+'FH Plan'!K7</f>
        <v/>
      </c>
      <c r="L7" s="13">
        <f>'ABA Plan'!L7+'BK Plan'!L7+'BW Plan'!L7+'CED Plan'!L7+'HAB Plan'!L7+'HB Plan'!L7+'OD Plan'!L7+'HDN Plan'!L7+'KIN Plan'!L7+'LE Plan'!L7+'MER Plan'!L7+'NDN Plan'!L7+'SALT Plan'!L7+'SDN Plan'!L7+'SST Plan'!L7+'WH Plan'!L7+'FH Plan'!L7</f>
        <v/>
      </c>
      <c r="M7" s="13">
        <f>'ABA Plan'!M7+'BK Plan'!M7+'BW Plan'!M7+'CED Plan'!M7+'HAB Plan'!M7+'HB Plan'!M7+'OD Plan'!M7+'HDN Plan'!M7+'KIN Plan'!M7+'LE Plan'!M7+'MER Plan'!M7+'NDN Plan'!M7+'SALT Plan'!M7+'SDN Plan'!M7+'SST Plan'!M7+'WH Plan'!M7+'FH Plan'!M7</f>
        <v/>
      </c>
      <c r="N7" s="13">
        <f>'ABA Plan'!N7+'BK Plan'!N7+'BW Plan'!N7+'CED Plan'!N7+'HAB Plan'!N7+'HB Plan'!N7+'OD Plan'!N7+'HDN Plan'!N7+'KIN Plan'!N7+'LE Plan'!N7+'MER Plan'!N7+'NDN Plan'!N7+'SALT Plan'!N7+'SDN Plan'!N7+'SST Plan'!N7+'WH Plan'!N7+'FH Plan'!N7</f>
        <v/>
      </c>
      <c r="O7" s="13">
        <f>'ABA Plan'!O7+'BK Plan'!O7+'BW Plan'!O7+'CED Plan'!O7+'HAB Plan'!O7+'HB Plan'!O7+'OD Plan'!O7+'HDN Plan'!O7+'KIN Plan'!O7+'LE Plan'!O7+'MER Plan'!O7+'NDN Plan'!O7+'SALT Plan'!O7+'SDN Plan'!O7+'SST Plan'!O7+'WH Plan'!O7+'FH Plan'!O7</f>
        <v/>
      </c>
      <c r="P7" s="13">
        <f>'ABA Plan'!P7+'BK Plan'!P7+'BW Plan'!P7+'CED Plan'!P7+'HAB Plan'!P7+'HB Plan'!P7+'OD Plan'!P7+'HDN Plan'!P7+'KIN Plan'!P7+'LE Plan'!P7+'MER Plan'!P7+'NDN Plan'!P7+'SALT Plan'!P7+'SDN Plan'!P7+'SST Plan'!P7+'WH Plan'!P7+'FH Plan'!P7</f>
        <v/>
      </c>
      <c r="Q7" s="13">
        <f>'ABA Plan'!Q7+'BK Plan'!Q7+'BW Plan'!Q7+'CED Plan'!Q7+'HAB Plan'!Q7+'HB Plan'!Q7+'OD Plan'!Q7+'HDN Plan'!Q7+'KIN Plan'!Q7+'LE Plan'!Q7+'MER Plan'!Q7+'NDN Plan'!Q7+'SALT Plan'!Q7+'SDN Plan'!Q7+'SST Plan'!Q7+'WH Plan'!Q7+'FH Plan'!Q7</f>
        <v/>
      </c>
      <c r="R7" s="13">
        <f>'ABA Plan'!R7+'BK Plan'!R7+'BW Plan'!R7+'CED Plan'!R7+'HAB Plan'!R7+'HB Plan'!R7+'OD Plan'!R7+'HDN Plan'!R7+'KIN Plan'!R7+'LE Plan'!R7+'MER Plan'!R7+'NDN Plan'!R7+'SALT Plan'!R7+'SDN Plan'!R7+'SST Plan'!R7+'WH Plan'!R7+'FH Plan'!R7</f>
        <v/>
      </c>
      <c r="S7" s="13">
        <f>'ABA Plan'!S7+'BK Plan'!S7+'BW Plan'!S7+'CED Plan'!S7+'HAB Plan'!S7+'HB Plan'!S7+'OD Plan'!S7+'HDN Plan'!S7+'KIN Plan'!S7+'LE Plan'!S7+'MER Plan'!S7+'NDN Plan'!S7+'SALT Plan'!S7+'SDN Plan'!S7+'SST Plan'!S7+'WH Plan'!S7+'FH Plan'!S7</f>
        <v/>
      </c>
      <c r="T7" s="13">
        <f>'ABA Plan'!T7+'BK Plan'!T7+'BW Plan'!T7+'CED Plan'!T7+'HAB Plan'!T7+'HB Plan'!T7+'OD Plan'!T7+'HDN Plan'!T7+'KIN Plan'!T7+'LE Plan'!T7+'MER Plan'!T7+'NDN Plan'!T7+'SALT Plan'!T7+'SDN Plan'!T7+'SST Plan'!T7+'WH Plan'!T7+'FH Plan'!T7</f>
        <v/>
      </c>
      <c r="U7" s="13">
        <f>'ABA Plan'!U7+'BK Plan'!U7+'BW Plan'!U7+'CED Plan'!U7+'HAB Plan'!U7+'HB Plan'!U7+'OD Plan'!U7+'HDN Plan'!U7+'KIN Plan'!U7+'LE Plan'!U7+'MER Plan'!U7+'NDN Plan'!U7+'SALT Plan'!U7+'SDN Plan'!U7+'SST Plan'!U7+'WH Plan'!U7+'FH Plan'!U7</f>
        <v/>
      </c>
      <c r="V7" s="13">
        <f>'ABA Plan'!V7+'BK Plan'!V7+'BW Plan'!V7+'CED Plan'!V7+'HAB Plan'!V7+'HB Plan'!V7+'OD Plan'!V7+'HDN Plan'!V7+'KIN Plan'!V7+'LE Plan'!V7+'MER Plan'!V7+'NDN Plan'!V7+'SALT Plan'!V7+'SDN Plan'!V7+'SST Plan'!V7+'WH Plan'!V7+'FH Plan'!V7</f>
        <v/>
      </c>
      <c r="W7" s="13">
        <f>'ABA Plan'!W7+'BK Plan'!W7+'BW Plan'!W7+'CED Plan'!W7+'HAB Plan'!W7+'HB Plan'!W7+'OD Plan'!W7+'HDN Plan'!W7+'KIN Plan'!W7+'LE Plan'!W7+'MER Plan'!W7+'NDN Plan'!W7+'SALT Plan'!W7+'SDN Plan'!W7+'SST Plan'!W7+'WH Plan'!W7+'FH Plan'!W7</f>
        <v/>
      </c>
      <c r="X7" s="13">
        <f>'ABA Plan'!X7+'BK Plan'!X7+'BW Plan'!X7+'CED Plan'!X7+'HAB Plan'!X7+'HB Plan'!X7+'OD Plan'!X7+'HDN Plan'!X7+'KIN Plan'!X7+'LE Plan'!X7+'MER Plan'!X7+'NDN Plan'!X7+'SALT Plan'!X7+'SDN Plan'!X7+'SST Plan'!X7+'WH Plan'!X7+'FH Plan'!X7</f>
        <v/>
      </c>
      <c r="Y7" s="13">
        <f>'ABA Plan'!Y7+'BK Plan'!Y7+'BW Plan'!Y7+'CED Plan'!Y7+'HAB Plan'!Y7+'HB Plan'!Y7+'OD Plan'!Y7+'HDN Plan'!Y7+'KIN Plan'!Y7+'LE Plan'!Y7+'MER Plan'!Y7+'NDN Plan'!Y7+'SALT Plan'!Y7+'SDN Plan'!Y7+'SST Plan'!Y7+'WH Plan'!Y7+'FH Plan'!Y7</f>
        <v/>
      </c>
      <c r="Z7" s="13">
        <f>'ABA Plan'!Z7+'BK Plan'!Z7+'BW Plan'!Z7+'CED Plan'!Z7+'HAB Plan'!Z7+'HB Plan'!Z7+'OD Plan'!Z7+'HDN Plan'!Z7+'KIN Plan'!Z7+'LE Plan'!Z7+'MER Plan'!Z7+'NDN Plan'!Z7+'SALT Plan'!Z7+'SDN Plan'!Z7+'SST Plan'!Z7+'WH Plan'!Z7+'FH Plan'!Z7</f>
        <v/>
      </c>
      <c r="AA7" s="13">
        <f>'ABA Plan'!AA7+'BK Plan'!AA7+'BW Plan'!AA7+'CED Plan'!AA7+'HAB Plan'!AA7+'HB Plan'!AA7+'OD Plan'!AA7+'HDN Plan'!AA7+'KIN Plan'!AA7+'LE Plan'!AA7+'MER Plan'!AA7+'NDN Plan'!AA7+'SALT Plan'!AA7+'SDN Plan'!AA7+'SST Plan'!AA7+'WH Plan'!AA7+'FH Plan'!AA7</f>
        <v/>
      </c>
      <c r="AB7" s="13">
        <f>'ABA Plan'!AB7+'BK Plan'!AB7+'BW Plan'!AB7+'CED Plan'!AB7+'HAB Plan'!AB7+'HB Plan'!AB7+'OD Plan'!AB7+'HDN Plan'!AB7+'KIN Plan'!AB7+'LE Plan'!AB7+'MER Plan'!AB7+'NDN Plan'!AB7+'SALT Plan'!AB7+'SDN Plan'!AB7+'SST Plan'!AB7+'WH Plan'!AB7+'FH Plan'!AB7</f>
        <v/>
      </c>
      <c r="AC7" s="13">
        <f>'ABA Plan'!AC7+'BK Plan'!AC7+'BW Plan'!AC7+'CED Plan'!AC7+'HAB Plan'!AC7+'HB Plan'!AC7+'OD Plan'!AC7+'HDN Plan'!AC7+'KIN Plan'!AC7+'LE Plan'!AC7+'MER Plan'!AC7+'NDN Plan'!AC7+'SALT Plan'!AC7+'SDN Plan'!AC7+'SST Plan'!AC7+'WH Plan'!AC7+'FH Plan'!AC7</f>
        <v/>
      </c>
      <c r="AD7" s="13">
        <f>'ABA Plan'!AD7+'BK Plan'!AD7+'BW Plan'!AD7+'CED Plan'!AD7+'HAB Plan'!AD7+'HB Plan'!AD7+'OD Plan'!AD7+'HDN Plan'!AD7+'KIN Plan'!AD7+'LE Plan'!AD7+'MER Plan'!AD7+'NDN Plan'!AD7+'SALT Plan'!AD7+'SDN Plan'!AD7+'SST Plan'!AD7+'WH Plan'!AD7+'FH Plan'!AD7</f>
        <v/>
      </c>
      <c r="AE7" s="13">
        <f>'ABA Plan'!AE7+'BK Plan'!AE7+'BW Plan'!AE7+'CED Plan'!AE7+'HAB Plan'!AE7+'HB Plan'!AE7+'OD Plan'!AE7+'HDN Plan'!AE7+'KIN Plan'!AE7+'LE Plan'!AE7+'MER Plan'!AE7+'NDN Plan'!AE7+'SALT Plan'!AE7+'SDN Plan'!AE7+'SST Plan'!AE7+'WH Plan'!AE7+'FH Plan'!AE7</f>
        <v/>
      </c>
      <c r="AF7" s="13">
        <f>'ABA Plan'!AF7+'BK Plan'!AF7+'BW Plan'!AF7+'CED Plan'!AF7+'HAB Plan'!AF7+'HB Plan'!AF7+'OD Plan'!AF7+'HDN Plan'!AF7+'KIN Plan'!AF7+'LE Plan'!AF7+'MER Plan'!AF7+'NDN Plan'!AF7+'SALT Plan'!AF7+'SDN Plan'!AF7+'SST Plan'!AF7+'WH Plan'!AF7+'FH Plan'!AF7</f>
        <v/>
      </c>
      <c r="AG7" s="13">
        <f>'ABA Plan'!AG7+'BK Plan'!AG7+'BW Plan'!AG7+'CED Plan'!AG7+'HAB Plan'!AG7+'HB Plan'!AG7+'OD Plan'!AG7+'HDN Plan'!AG7+'KIN Plan'!AG7+'LE Plan'!AG7+'MER Plan'!AG7+'NDN Plan'!AG7+'SALT Plan'!AG7+'SDN Plan'!AG7+'SST Plan'!AG7+'WH Plan'!AG7+'FH Plan'!AG7</f>
        <v/>
      </c>
      <c r="AH7" s="13">
        <f>'ABA Plan'!AH7+'BK Plan'!AH7+'BW Plan'!AH7+'CED Plan'!AH7+'HAB Plan'!AH7+'HB Plan'!AH7+'OD Plan'!AH7+'HDN Plan'!AH7+'KIN Plan'!AH7+'LE Plan'!AH7+'MER Plan'!AH7+'NDN Plan'!AH7+'SALT Plan'!AH7+'SDN Plan'!AH7+'SST Plan'!AH7+'WH Plan'!AH7+'FH Plan'!AH7</f>
        <v/>
      </c>
      <c r="AI7" s="13">
        <f>'ABA Plan'!AI7+'BK Plan'!AI7+'BW Plan'!AI7+'CED Plan'!AI7+'HAB Plan'!AI7+'HB Plan'!AI7+'OD Plan'!AI7+'HDN Plan'!AI7+'KIN Plan'!AI7+'LE Plan'!AI7+'MER Plan'!AI7+'NDN Plan'!AI7+'SALT Plan'!AI7+'SDN Plan'!AI7+'SST Plan'!AI7+'WH Plan'!AI7+'FH Plan'!AI7</f>
        <v/>
      </c>
      <c r="AJ7" s="13">
        <f>'ABA Plan'!AJ7+'BK Plan'!AJ7+'BW Plan'!AJ7+'CED Plan'!AJ7+'HAB Plan'!AJ7+'HB Plan'!AJ7+'OD Plan'!AJ7+'HDN Plan'!AJ7+'KIN Plan'!AJ7+'LE Plan'!AJ7+'MER Plan'!AJ7+'NDN Plan'!AJ7+'SALT Plan'!AJ7+'SDN Plan'!AJ7+'SST Plan'!AJ7+'WH Plan'!AJ7+'FH Plan'!AJ7</f>
        <v/>
      </c>
      <c r="AK7" s="11">
        <f>IF(N7&lt;&gt;0,(AB7-N7)/ABS(N7),0)</f>
        <v/>
      </c>
      <c r="AL7" s="11">
        <f>IF(AB7&lt;&gt;0,(AJ7-AB7)/ABS(AB7),0)</f>
        <v/>
      </c>
    </row>
    <row r="8" ht="5" customHeight="1"/>
    <row r="9" ht="15" customHeight="1">
      <c r="A9" s="7" t="inlineStr">
        <is>
          <t>DIRECT COSTS</t>
        </is>
      </c>
    </row>
    <row r="10" ht="13" customHeight="1">
      <c r="A10" s="14" t="inlineStr">
        <is>
          <t>Personnel</t>
        </is>
      </c>
    </row>
    <row r="11" ht="13" customHeight="1">
      <c r="A11" s="15" t="inlineStr">
        <is>
          <t xml:space="preserve">    Nursery Salaries</t>
        </is>
      </c>
      <c r="B11" s="16">
        <f>'ABA Plan'!B11+'BK Plan'!B11+'BW Plan'!B11+'CED Plan'!B11+'HAB Plan'!B11+'HB Plan'!B11+'OD Plan'!B11+'HDN Plan'!B11+'KIN Plan'!B11+'LE Plan'!B11+'MER Plan'!B11+'NDN Plan'!B11+'SALT Plan'!B11+'SDN Plan'!B11+'SST Plan'!B11+'WH Plan'!B11+'FH Plan'!B11</f>
        <v/>
      </c>
      <c r="C11" s="16">
        <f>'ABA Plan'!C11+'BK Plan'!C11+'BW Plan'!C11+'CED Plan'!C11+'HAB Plan'!C11+'HB Plan'!C11+'OD Plan'!C11+'HDN Plan'!C11+'KIN Plan'!C11+'LE Plan'!C11+'MER Plan'!C11+'NDN Plan'!C11+'SALT Plan'!C11+'SDN Plan'!C11+'SST Plan'!C11+'WH Plan'!C11+'FH Plan'!C11</f>
        <v/>
      </c>
      <c r="D11" s="16">
        <f>'ABA Plan'!D11+'BK Plan'!D11+'BW Plan'!D11+'CED Plan'!D11+'HAB Plan'!D11+'HB Plan'!D11+'OD Plan'!D11+'HDN Plan'!D11+'KIN Plan'!D11+'LE Plan'!D11+'MER Plan'!D11+'NDN Plan'!D11+'SALT Plan'!D11+'SDN Plan'!D11+'SST Plan'!D11+'WH Plan'!D11+'FH Plan'!D11</f>
        <v/>
      </c>
      <c r="E11" s="16">
        <f>'ABA Plan'!E11+'BK Plan'!E11+'BW Plan'!E11+'CED Plan'!E11+'HAB Plan'!E11+'HB Plan'!E11+'OD Plan'!E11+'HDN Plan'!E11+'KIN Plan'!E11+'LE Plan'!E11+'MER Plan'!E11+'NDN Plan'!E11+'SALT Plan'!E11+'SDN Plan'!E11+'SST Plan'!E11+'WH Plan'!E11+'FH Plan'!E11</f>
        <v/>
      </c>
      <c r="F11" s="16">
        <f>'ABA Plan'!F11+'BK Plan'!F11+'BW Plan'!F11+'CED Plan'!F11+'HAB Plan'!F11+'HB Plan'!F11+'OD Plan'!F11+'HDN Plan'!F11+'KIN Plan'!F11+'LE Plan'!F11+'MER Plan'!F11+'NDN Plan'!F11+'SALT Plan'!F11+'SDN Plan'!F11+'SST Plan'!F11+'WH Plan'!F11+'FH Plan'!F11</f>
        <v/>
      </c>
      <c r="G11" s="16">
        <f>'ABA Plan'!G11+'BK Plan'!G11+'BW Plan'!G11+'CED Plan'!G11+'HAB Plan'!G11+'HB Plan'!G11+'OD Plan'!G11+'HDN Plan'!G11+'KIN Plan'!G11+'LE Plan'!G11+'MER Plan'!G11+'NDN Plan'!G11+'SALT Plan'!G11+'SDN Plan'!G11+'SST Plan'!G11+'WH Plan'!G11+'FH Plan'!G11</f>
        <v/>
      </c>
      <c r="H11" s="16">
        <f>'ABA Plan'!H11+'BK Plan'!H11+'BW Plan'!H11+'CED Plan'!H11+'HAB Plan'!H11+'HB Plan'!H11+'OD Plan'!H11+'HDN Plan'!H11+'KIN Plan'!H11+'LE Plan'!H11+'MER Plan'!H11+'NDN Plan'!H11+'SALT Plan'!H11+'SDN Plan'!H11+'SST Plan'!H11+'WH Plan'!H11+'FH Plan'!H11</f>
        <v/>
      </c>
      <c r="I11" s="16">
        <f>'ABA Plan'!I11+'BK Plan'!I11+'BW Plan'!I11+'CED Plan'!I11+'HAB Plan'!I11+'HB Plan'!I11+'OD Plan'!I11+'HDN Plan'!I11+'KIN Plan'!I11+'LE Plan'!I11+'MER Plan'!I11+'NDN Plan'!I11+'SALT Plan'!I11+'SDN Plan'!I11+'SST Plan'!I11+'WH Plan'!I11+'FH Plan'!I11</f>
        <v/>
      </c>
      <c r="J11" s="16">
        <f>'ABA Plan'!J11+'BK Plan'!J11+'BW Plan'!J11+'CED Plan'!J11+'HAB Plan'!J11+'HB Plan'!J11+'OD Plan'!J11+'HDN Plan'!J11+'KIN Plan'!J11+'LE Plan'!J11+'MER Plan'!J11+'NDN Plan'!J11+'SALT Plan'!J11+'SDN Plan'!J11+'SST Plan'!J11+'WH Plan'!J11+'FH Plan'!J11</f>
        <v/>
      </c>
      <c r="K11" s="16">
        <f>'ABA Plan'!K11+'BK Plan'!K11+'BW Plan'!K11+'CED Plan'!K11+'HAB Plan'!K11+'HB Plan'!K11+'OD Plan'!K11+'HDN Plan'!K11+'KIN Plan'!K11+'LE Plan'!K11+'MER Plan'!K11+'NDN Plan'!K11+'SALT Plan'!K11+'SDN Plan'!K11+'SST Plan'!K11+'WH Plan'!K11+'FH Plan'!K11</f>
        <v/>
      </c>
      <c r="L11" s="16">
        <f>'ABA Plan'!L11+'BK Plan'!L11+'BW Plan'!L11+'CED Plan'!L11+'HAB Plan'!L11+'HB Plan'!L11+'OD Plan'!L11+'HDN Plan'!L11+'KIN Plan'!L11+'LE Plan'!L11+'MER Plan'!L11+'NDN Plan'!L11+'SALT Plan'!L11+'SDN Plan'!L11+'SST Plan'!L11+'WH Plan'!L11+'FH Plan'!L11</f>
        <v/>
      </c>
      <c r="M11" s="16">
        <f>'ABA Plan'!M11+'BK Plan'!M11+'BW Plan'!M11+'CED Plan'!M11+'HAB Plan'!M11+'HB Plan'!M11+'OD Plan'!M11+'HDN Plan'!M11+'KIN Plan'!M11+'LE Plan'!M11+'MER Plan'!M11+'NDN Plan'!M11+'SALT Plan'!M11+'SDN Plan'!M11+'SST Plan'!M11+'WH Plan'!M11+'FH Plan'!M11</f>
        <v/>
      </c>
      <c r="N11" s="16">
        <f>'ABA Plan'!N11+'BK Plan'!N11+'BW Plan'!N11+'CED Plan'!N11+'HAB Plan'!N11+'HB Plan'!N11+'OD Plan'!N11+'HDN Plan'!N11+'KIN Plan'!N11+'LE Plan'!N11+'MER Plan'!N11+'NDN Plan'!N11+'SALT Plan'!N11+'SDN Plan'!N11+'SST Plan'!N11+'WH Plan'!N11+'FH Plan'!N11</f>
        <v/>
      </c>
      <c r="O11" s="16">
        <f>'ABA Plan'!O11+'BK Plan'!O11+'BW Plan'!O11+'CED Plan'!O11+'HAB Plan'!O11+'HB Plan'!O11+'OD Plan'!O11+'HDN Plan'!O11+'KIN Plan'!O11+'LE Plan'!O11+'MER Plan'!O11+'NDN Plan'!O11+'SALT Plan'!O11+'SDN Plan'!O11+'SST Plan'!O11+'WH Plan'!O11+'FH Plan'!O11</f>
        <v/>
      </c>
      <c r="P11" s="16">
        <f>'ABA Plan'!P11+'BK Plan'!P11+'BW Plan'!P11+'CED Plan'!P11+'HAB Plan'!P11+'HB Plan'!P11+'OD Plan'!P11+'HDN Plan'!P11+'KIN Plan'!P11+'LE Plan'!P11+'MER Plan'!P11+'NDN Plan'!P11+'SALT Plan'!P11+'SDN Plan'!P11+'SST Plan'!P11+'WH Plan'!P11+'FH Plan'!P11</f>
        <v/>
      </c>
      <c r="Q11" s="16">
        <f>'ABA Plan'!Q11+'BK Plan'!Q11+'BW Plan'!Q11+'CED Plan'!Q11+'HAB Plan'!Q11+'HB Plan'!Q11+'OD Plan'!Q11+'HDN Plan'!Q11+'KIN Plan'!Q11+'LE Plan'!Q11+'MER Plan'!Q11+'NDN Plan'!Q11+'SALT Plan'!Q11+'SDN Plan'!Q11+'SST Plan'!Q11+'WH Plan'!Q11+'FH Plan'!Q11</f>
        <v/>
      </c>
      <c r="R11" s="16">
        <f>'ABA Plan'!R11+'BK Plan'!R11+'BW Plan'!R11+'CED Plan'!R11+'HAB Plan'!R11+'HB Plan'!R11+'OD Plan'!R11+'HDN Plan'!R11+'KIN Plan'!R11+'LE Plan'!R11+'MER Plan'!R11+'NDN Plan'!R11+'SALT Plan'!R11+'SDN Plan'!R11+'SST Plan'!R11+'WH Plan'!R11+'FH Plan'!R11</f>
        <v/>
      </c>
      <c r="S11" s="16">
        <f>'ABA Plan'!S11+'BK Plan'!S11+'BW Plan'!S11+'CED Plan'!S11+'HAB Plan'!S11+'HB Plan'!S11+'OD Plan'!S11+'HDN Plan'!S11+'KIN Plan'!S11+'LE Plan'!S11+'MER Plan'!S11+'NDN Plan'!S11+'SALT Plan'!S11+'SDN Plan'!S11+'SST Plan'!S11+'WH Plan'!S11+'FH Plan'!S11</f>
        <v/>
      </c>
      <c r="T11" s="16">
        <f>'ABA Plan'!T11+'BK Plan'!T11+'BW Plan'!T11+'CED Plan'!T11+'HAB Plan'!T11+'HB Plan'!T11+'OD Plan'!T11+'HDN Plan'!T11+'KIN Plan'!T11+'LE Plan'!T11+'MER Plan'!T11+'NDN Plan'!T11+'SALT Plan'!T11+'SDN Plan'!T11+'SST Plan'!T11+'WH Plan'!T11+'FH Plan'!T11</f>
        <v/>
      </c>
      <c r="U11" s="16">
        <f>'ABA Plan'!U11+'BK Plan'!U11+'BW Plan'!U11+'CED Plan'!U11+'HAB Plan'!U11+'HB Plan'!U11+'OD Plan'!U11+'HDN Plan'!U11+'KIN Plan'!U11+'LE Plan'!U11+'MER Plan'!U11+'NDN Plan'!U11+'SALT Plan'!U11+'SDN Plan'!U11+'SST Plan'!U11+'WH Plan'!U11+'FH Plan'!U11</f>
        <v/>
      </c>
      <c r="V11" s="16">
        <f>'ABA Plan'!V11+'BK Plan'!V11+'BW Plan'!V11+'CED Plan'!V11+'HAB Plan'!V11+'HB Plan'!V11+'OD Plan'!V11+'HDN Plan'!V11+'KIN Plan'!V11+'LE Plan'!V11+'MER Plan'!V11+'NDN Plan'!V11+'SALT Plan'!V11+'SDN Plan'!V11+'SST Plan'!V11+'WH Plan'!V11+'FH Plan'!V11</f>
        <v/>
      </c>
      <c r="W11" s="16">
        <f>'ABA Plan'!W11+'BK Plan'!W11+'BW Plan'!W11+'CED Plan'!W11+'HAB Plan'!W11+'HB Plan'!W11+'OD Plan'!W11+'HDN Plan'!W11+'KIN Plan'!W11+'LE Plan'!W11+'MER Plan'!W11+'NDN Plan'!W11+'SALT Plan'!W11+'SDN Plan'!W11+'SST Plan'!W11+'WH Plan'!W11+'FH Plan'!W11</f>
        <v/>
      </c>
      <c r="X11" s="16">
        <f>'ABA Plan'!X11+'BK Plan'!X11+'BW Plan'!X11+'CED Plan'!X11+'HAB Plan'!X11+'HB Plan'!X11+'OD Plan'!X11+'HDN Plan'!X11+'KIN Plan'!X11+'LE Plan'!X11+'MER Plan'!X11+'NDN Plan'!X11+'SALT Plan'!X11+'SDN Plan'!X11+'SST Plan'!X11+'WH Plan'!X11+'FH Plan'!X11</f>
        <v/>
      </c>
      <c r="Y11" s="16">
        <f>'ABA Plan'!Y11+'BK Plan'!Y11+'BW Plan'!Y11+'CED Plan'!Y11+'HAB Plan'!Y11+'HB Plan'!Y11+'OD Plan'!Y11+'HDN Plan'!Y11+'KIN Plan'!Y11+'LE Plan'!Y11+'MER Plan'!Y11+'NDN Plan'!Y11+'SALT Plan'!Y11+'SDN Plan'!Y11+'SST Plan'!Y11+'WH Plan'!Y11+'FH Plan'!Y11</f>
        <v/>
      </c>
      <c r="Z11" s="16">
        <f>'ABA Plan'!Z11+'BK Plan'!Z11+'BW Plan'!Z11+'CED Plan'!Z11+'HAB Plan'!Z11+'HB Plan'!Z11+'OD Plan'!Z11+'HDN Plan'!Z11+'KIN Plan'!Z11+'LE Plan'!Z11+'MER Plan'!Z11+'NDN Plan'!Z11+'SALT Plan'!Z11+'SDN Plan'!Z11+'SST Plan'!Z11+'WH Plan'!Z11+'FH Plan'!Z11</f>
        <v/>
      </c>
      <c r="AA11" s="16">
        <f>'ABA Plan'!AA11+'BK Plan'!AA11+'BW Plan'!AA11+'CED Plan'!AA11+'HAB Plan'!AA11+'HB Plan'!AA11+'OD Plan'!AA11+'HDN Plan'!AA11+'KIN Plan'!AA11+'LE Plan'!AA11+'MER Plan'!AA11+'NDN Plan'!AA11+'SALT Plan'!AA11+'SDN Plan'!AA11+'SST Plan'!AA11+'WH Plan'!AA11+'FH Plan'!AA11</f>
        <v/>
      </c>
      <c r="AB11" s="16">
        <f>'ABA Plan'!AB11+'BK Plan'!AB11+'BW Plan'!AB11+'CED Plan'!AB11+'HAB Plan'!AB11+'HB Plan'!AB11+'OD Plan'!AB11+'HDN Plan'!AB11+'KIN Plan'!AB11+'LE Plan'!AB11+'MER Plan'!AB11+'NDN Plan'!AB11+'SALT Plan'!AB11+'SDN Plan'!AB11+'SST Plan'!AB11+'WH Plan'!AB11+'FH Plan'!AB11</f>
        <v/>
      </c>
      <c r="AC11" s="16">
        <f>'ABA Plan'!AC11+'BK Plan'!AC11+'BW Plan'!AC11+'CED Plan'!AC11+'HAB Plan'!AC11+'HB Plan'!AC11+'OD Plan'!AC11+'HDN Plan'!AC11+'KIN Plan'!AC11+'LE Plan'!AC11+'MER Plan'!AC11+'NDN Plan'!AC11+'SALT Plan'!AC11+'SDN Plan'!AC11+'SST Plan'!AC11+'WH Plan'!AC11+'FH Plan'!AC11</f>
        <v/>
      </c>
      <c r="AD11" s="16">
        <f>'ABA Plan'!AD11+'BK Plan'!AD11+'BW Plan'!AD11+'CED Plan'!AD11+'HAB Plan'!AD11+'HB Plan'!AD11+'OD Plan'!AD11+'HDN Plan'!AD11+'KIN Plan'!AD11+'LE Plan'!AD11+'MER Plan'!AD11+'NDN Plan'!AD11+'SALT Plan'!AD11+'SDN Plan'!AD11+'SST Plan'!AD11+'WH Plan'!AD11+'FH Plan'!AD11</f>
        <v/>
      </c>
      <c r="AE11" s="16">
        <f>'ABA Plan'!AE11+'BK Plan'!AE11+'BW Plan'!AE11+'CED Plan'!AE11+'HAB Plan'!AE11+'HB Plan'!AE11+'OD Plan'!AE11+'HDN Plan'!AE11+'KIN Plan'!AE11+'LE Plan'!AE11+'MER Plan'!AE11+'NDN Plan'!AE11+'SALT Plan'!AE11+'SDN Plan'!AE11+'SST Plan'!AE11+'WH Plan'!AE11+'FH Plan'!AE11</f>
        <v/>
      </c>
      <c r="AF11" s="16">
        <f>'ABA Plan'!AF11+'BK Plan'!AF11+'BW Plan'!AF11+'CED Plan'!AF11+'HAB Plan'!AF11+'HB Plan'!AF11+'OD Plan'!AF11+'HDN Plan'!AF11+'KIN Plan'!AF11+'LE Plan'!AF11+'MER Plan'!AF11+'NDN Plan'!AF11+'SALT Plan'!AF11+'SDN Plan'!AF11+'SST Plan'!AF11+'WH Plan'!AF11+'FH Plan'!AF11</f>
        <v/>
      </c>
      <c r="AG11" s="16">
        <f>'ABA Plan'!AG11+'BK Plan'!AG11+'BW Plan'!AG11+'CED Plan'!AG11+'HAB Plan'!AG11+'HB Plan'!AG11+'OD Plan'!AG11+'HDN Plan'!AG11+'KIN Plan'!AG11+'LE Plan'!AG11+'MER Plan'!AG11+'NDN Plan'!AG11+'SALT Plan'!AG11+'SDN Plan'!AG11+'SST Plan'!AG11+'WH Plan'!AG11+'FH Plan'!AG11</f>
        <v/>
      </c>
      <c r="AH11" s="16">
        <f>'ABA Plan'!AH11+'BK Plan'!AH11+'BW Plan'!AH11+'CED Plan'!AH11+'HAB Plan'!AH11+'HB Plan'!AH11+'OD Plan'!AH11+'HDN Plan'!AH11+'KIN Plan'!AH11+'LE Plan'!AH11+'MER Plan'!AH11+'NDN Plan'!AH11+'SALT Plan'!AH11+'SDN Plan'!AH11+'SST Plan'!AH11+'WH Plan'!AH11+'FH Plan'!AH11</f>
        <v/>
      </c>
      <c r="AI11" s="16">
        <f>'ABA Plan'!AI11+'BK Plan'!AI11+'BW Plan'!AI11+'CED Plan'!AI11+'HAB Plan'!AI11+'HB Plan'!AI11+'OD Plan'!AI11+'HDN Plan'!AI11+'KIN Plan'!AI11+'LE Plan'!AI11+'MER Plan'!AI11+'NDN Plan'!AI11+'SALT Plan'!AI11+'SDN Plan'!AI11+'SST Plan'!AI11+'WH Plan'!AI11+'FH Plan'!AI11</f>
        <v/>
      </c>
      <c r="AJ11" s="16">
        <f>'ABA Plan'!AJ11+'BK Plan'!AJ11+'BW Plan'!AJ11+'CED Plan'!AJ11+'HAB Plan'!AJ11+'HB Plan'!AJ11+'OD Plan'!AJ11+'HDN Plan'!AJ11+'KIN Plan'!AJ11+'LE Plan'!AJ11+'MER Plan'!AJ11+'NDN Plan'!AJ11+'SALT Plan'!AJ11+'SDN Plan'!AJ11+'SST Plan'!AJ11+'WH Plan'!AJ11+'FH Plan'!AJ11</f>
        <v/>
      </c>
      <c r="AK11" s="11">
        <f>IF(N11&lt;&gt;0,(AB11-N11)/ABS(N11),0)</f>
        <v/>
      </c>
      <c r="AL11" s="11">
        <f>IF(AB11&lt;&gt;0,(AJ11-AB11)/ABS(AB11),0)</f>
        <v/>
      </c>
    </row>
    <row r="12" ht="13" customHeight="1">
      <c r="A12" s="15" t="inlineStr">
        <is>
          <t xml:space="preserve">    Nursery NI</t>
        </is>
      </c>
      <c r="B12" s="16">
        <f>'ABA Plan'!B12+'BK Plan'!B12+'BW Plan'!B12+'CED Plan'!B12+'HAB Plan'!B12+'HB Plan'!B12+'OD Plan'!B12+'HDN Plan'!B12+'KIN Plan'!B12+'LE Plan'!B12+'MER Plan'!B12+'NDN Plan'!B12+'SALT Plan'!B12+'SDN Plan'!B12+'SST Plan'!B12+'WH Plan'!B12+'FH Plan'!B12</f>
        <v/>
      </c>
      <c r="C12" s="16">
        <f>'ABA Plan'!C12+'BK Plan'!C12+'BW Plan'!C12+'CED Plan'!C12+'HAB Plan'!C12+'HB Plan'!C12+'OD Plan'!C12+'HDN Plan'!C12+'KIN Plan'!C12+'LE Plan'!C12+'MER Plan'!C12+'NDN Plan'!C12+'SALT Plan'!C12+'SDN Plan'!C12+'SST Plan'!C12+'WH Plan'!C12+'FH Plan'!C12</f>
        <v/>
      </c>
      <c r="D12" s="16">
        <f>'ABA Plan'!D12+'BK Plan'!D12+'BW Plan'!D12+'CED Plan'!D12+'HAB Plan'!D12+'HB Plan'!D12+'OD Plan'!D12+'HDN Plan'!D12+'KIN Plan'!D12+'LE Plan'!D12+'MER Plan'!D12+'NDN Plan'!D12+'SALT Plan'!D12+'SDN Plan'!D12+'SST Plan'!D12+'WH Plan'!D12+'FH Plan'!D12</f>
        <v/>
      </c>
      <c r="E12" s="16">
        <f>'ABA Plan'!E12+'BK Plan'!E12+'BW Plan'!E12+'CED Plan'!E12+'HAB Plan'!E12+'HB Plan'!E12+'OD Plan'!E12+'HDN Plan'!E12+'KIN Plan'!E12+'LE Plan'!E12+'MER Plan'!E12+'NDN Plan'!E12+'SALT Plan'!E12+'SDN Plan'!E12+'SST Plan'!E12+'WH Plan'!E12+'FH Plan'!E12</f>
        <v/>
      </c>
      <c r="F12" s="16">
        <f>'ABA Plan'!F12+'BK Plan'!F12+'BW Plan'!F12+'CED Plan'!F12+'HAB Plan'!F12+'HB Plan'!F12+'OD Plan'!F12+'HDN Plan'!F12+'KIN Plan'!F12+'LE Plan'!F12+'MER Plan'!F12+'NDN Plan'!F12+'SALT Plan'!F12+'SDN Plan'!F12+'SST Plan'!F12+'WH Plan'!F12+'FH Plan'!F12</f>
        <v/>
      </c>
      <c r="G12" s="16">
        <f>'ABA Plan'!G12+'BK Plan'!G12+'BW Plan'!G12+'CED Plan'!G12+'HAB Plan'!G12+'HB Plan'!G12+'OD Plan'!G12+'HDN Plan'!G12+'KIN Plan'!G12+'LE Plan'!G12+'MER Plan'!G12+'NDN Plan'!G12+'SALT Plan'!G12+'SDN Plan'!G12+'SST Plan'!G12+'WH Plan'!G12+'FH Plan'!G12</f>
        <v/>
      </c>
      <c r="H12" s="16">
        <f>'ABA Plan'!H12+'BK Plan'!H12+'BW Plan'!H12+'CED Plan'!H12+'HAB Plan'!H12+'HB Plan'!H12+'OD Plan'!H12+'HDN Plan'!H12+'KIN Plan'!H12+'LE Plan'!H12+'MER Plan'!H12+'NDN Plan'!H12+'SALT Plan'!H12+'SDN Plan'!H12+'SST Plan'!H12+'WH Plan'!H12+'FH Plan'!H12</f>
        <v/>
      </c>
      <c r="I12" s="16">
        <f>'ABA Plan'!I12+'BK Plan'!I12+'BW Plan'!I12+'CED Plan'!I12+'HAB Plan'!I12+'HB Plan'!I12+'OD Plan'!I12+'HDN Plan'!I12+'KIN Plan'!I12+'LE Plan'!I12+'MER Plan'!I12+'NDN Plan'!I12+'SALT Plan'!I12+'SDN Plan'!I12+'SST Plan'!I12+'WH Plan'!I12+'FH Plan'!I12</f>
        <v/>
      </c>
      <c r="J12" s="16">
        <f>'ABA Plan'!J12+'BK Plan'!J12+'BW Plan'!J12+'CED Plan'!J12+'HAB Plan'!J12+'HB Plan'!J12+'OD Plan'!J12+'HDN Plan'!J12+'KIN Plan'!J12+'LE Plan'!J12+'MER Plan'!J12+'NDN Plan'!J12+'SALT Plan'!J12+'SDN Plan'!J12+'SST Plan'!J12+'WH Plan'!J12+'FH Plan'!J12</f>
        <v/>
      </c>
      <c r="K12" s="16">
        <f>'ABA Plan'!K12+'BK Plan'!K12+'BW Plan'!K12+'CED Plan'!K12+'HAB Plan'!K12+'HB Plan'!K12+'OD Plan'!K12+'HDN Plan'!K12+'KIN Plan'!K12+'LE Plan'!K12+'MER Plan'!K12+'NDN Plan'!K12+'SALT Plan'!K12+'SDN Plan'!K12+'SST Plan'!K12+'WH Plan'!K12+'FH Plan'!K12</f>
        <v/>
      </c>
      <c r="L12" s="16">
        <f>'ABA Plan'!L12+'BK Plan'!L12+'BW Plan'!L12+'CED Plan'!L12+'HAB Plan'!L12+'HB Plan'!L12+'OD Plan'!L12+'HDN Plan'!L12+'KIN Plan'!L12+'LE Plan'!L12+'MER Plan'!L12+'NDN Plan'!L12+'SALT Plan'!L12+'SDN Plan'!L12+'SST Plan'!L12+'WH Plan'!L12+'FH Plan'!L12</f>
        <v/>
      </c>
      <c r="M12" s="16">
        <f>'ABA Plan'!M12+'BK Plan'!M12+'BW Plan'!M12+'CED Plan'!M12+'HAB Plan'!M12+'HB Plan'!M12+'OD Plan'!M12+'HDN Plan'!M12+'KIN Plan'!M12+'LE Plan'!M12+'MER Plan'!M12+'NDN Plan'!M12+'SALT Plan'!M12+'SDN Plan'!M12+'SST Plan'!M12+'WH Plan'!M12+'FH Plan'!M12</f>
        <v/>
      </c>
      <c r="N12" s="16">
        <f>'ABA Plan'!N12+'BK Plan'!N12+'BW Plan'!N12+'CED Plan'!N12+'HAB Plan'!N12+'HB Plan'!N12+'OD Plan'!N12+'HDN Plan'!N12+'KIN Plan'!N12+'LE Plan'!N12+'MER Plan'!N12+'NDN Plan'!N12+'SALT Plan'!N12+'SDN Plan'!N12+'SST Plan'!N12+'WH Plan'!N12+'FH Plan'!N12</f>
        <v/>
      </c>
      <c r="O12" s="16">
        <f>'ABA Plan'!O12+'BK Plan'!O12+'BW Plan'!O12+'CED Plan'!O12+'HAB Plan'!O12+'HB Plan'!O12+'OD Plan'!O12+'HDN Plan'!O12+'KIN Plan'!O12+'LE Plan'!O12+'MER Plan'!O12+'NDN Plan'!O12+'SALT Plan'!O12+'SDN Plan'!O12+'SST Plan'!O12+'WH Plan'!O12+'FH Plan'!O12</f>
        <v/>
      </c>
      <c r="P12" s="16">
        <f>'ABA Plan'!P12+'BK Plan'!P12+'BW Plan'!P12+'CED Plan'!P12+'HAB Plan'!P12+'HB Plan'!P12+'OD Plan'!P12+'HDN Plan'!P12+'KIN Plan'!P12+'LE Plan'!P12+'MER Plan'!P12+'NDN Plan'!P12+'SALT Plan'!P12+'SDN Plan'!P12+'SST Plan'!P12+'WH Plan'!P12+'FH Plan'!P12</f>
        <v/>
      </c>
      <c r="Q12" s="16">
        <f>'ABA Plan'!Q12+'BK Plan'!Q12+'BW Plan'!Q12+'CED Plan'!Q12+'HAB Plan'!Q12+'HB Plan'!Q12+'OD Plan'!Q12+'HDN Plan'!Q12+'KIN Plan'!Q12+'LE Plan'!Q12+'MER Plan'!Q12+'NDN Plan'!Q12+'SALT Plan'!Q12+'SDN Plan'!Q12+'SST Plan'!Q12+'WH Plan'!Q12+'FH Plan'!Q12</f>
        <v/>
      </c>
      <c r="R12" s="16">
        <f>'ABA Plan'!R12+'BK Plan'!R12+'BW Plan'!R12+'CED Plan'!R12+'HAB Plan'!R12+'HB Plan'!R12+'OD Plan'!R12+'HDN Plan'!R12+'KIN Plan'!R12+'LE Plan'!R12+'MER Plan'!R12+'NDN Plan'!R12+'SALT Plan'!R12+'SDN Plan'!R12+'SST Plan'!R12+'WH Plan'!R12+'FH Plan'!R12</f>
        <v/>
      </c>
      <c r="S12" s="16">
        <f>'ABA Plan'!S12+'BK Plan'!S12+'BW Plan'!S12+'CED Plan'!S12+'HAB Plan'!S12+'HB Plan'!S12+'OD Plan'!S12+'HDN Plan'!S12+'KIN Plan'!S12+'LE Plan'!S12+'MER Plan'!S12+'NDN Plan'!S12+'SALT Plan'!S12+'SDN Plan'!S12+'SST Plan'!S12+'WH Plan'!S12+'FH Plan'!S12</f>
        <v/>
      </c>
      <c r="T12" s="16">
        <f>'ABA Plan'!T12+'BK Plan'!T12+'BW Plan'!T12+'CED Plan'!T12+'HAB Plan'!T12+'HB Plan'!T12+'OD Plan'!T12+'HDN Plan'!T12+'KIN Plan'!T12+'LE Plan'!T12+'MER Plan'!T12+'NDN Plan'!T12+'SALT Plan'!T12+'SDN Plan'!T12+'SST Plan'!T12+'WH Plan'!T12+'FH Plan'!T12</f>
        <v/>
      </c>
      <c r="U12" s="16">
        <f>'ABA Plan'!U12+'BK Plan'!U12+'BW Plan'!U12+'CED Plan'!U12+'HAB Plan'!U12+'HB Plan'!U12+'OD Plan'!U12+'HDN Plan'!U12+'KIN Plan'!U12+'LE Plan'!U12+'MER Plan'!U12+'NDN Plan'!U12+'SALT Plan'!U12+'SDN Plan'!U12+'SST Plan'!U12+'WH Plan'!U12+'FH Plan'!U12</f>
        <v/>
      </c>
      <c r="V12" s="16">
        <f>'ABA Plan'!V12+'BK Plan'!V12+'BW Plan'!V12+'CED Plan'!V12+'HAB Plan'!V12+'HB Plan'!V12+'OD Plan'!V12+'HDN Plan'!V12+'KIN Plan'!V12+'LE Plan'!V12+'MER Plan'!V12+'NDN Plan'!V12+'SALT Plan'!V12+'SDN Plan'!V12+'SST Plan'!V12+'WH Plan'!V12+'FH Plan'!V12</f>
        <v/>
      </c>
      <c r="W12" s="16">
        <f>'ABA Plan'!W12+'BK Plan'!W12+'BW Plan'!W12+'CED Plan'!W12+'HAB Plan'!W12+'HB Plan'!W12+'OD Plan'!W12+'HDN Plan'!W12+'KIN Plan'!W12+'LE Plan'!W12+'MER Plan'!W12+'NDN Plan'!W12+'SALT Plan'!W12+'SDN Plan'!W12+'SST Plan'!W12+'WH Plan'!W12+'FH Plan'!W12</f>
        <v/>
      </c>
      <c r="X12" s="16">
        <f>'ABA Plan'!X12+'BK Plan'!X12+'BW Plan'!X12+'CED Plan'!X12+'HAB Plan'!X12+'HB Plan'!X12+'OD Plan'!X12+'HDN Plan'!X12+'KIN Plan'!X12+'LE Plan'!X12+'MER Plan'!X12+'NDN Plan'!X12+'SALT Plan'!X12+'SDN Plan'!X12+'SST Plan'!X12+'WH Plan'!X12+'FH Plan'!X12</f>
        <v/>
      </c>
      <c r="Y12" s="16">
        <f>'ABA Plan'!Y12+'BK Plan'!Y12+'BW Plan'!Y12+'CED Plan'!Y12+'HAB Plan'!Y12+'HB Plan'!Y12+'OD Plan'!Y12+'HDN Plan'!Y12+'KIN Plan'!Y12+'LE Plan'!Y12+'MER Plan'!Y12+'NDN Plan'!Y12+'SALT Plan'!Y12+'SDN Plan'!Y12+'SST Plan'!Y12+'WH Plan'!Y12+'FH Plan'!Y12</f>
        <v/>
      </c>
      <c r="Z12" s="16">
        <f>'ABA Plan'!Z12+'BK Plan'!Z12+'BW Plan'!Z12+'CED Plan'!Z12+'HAB Plan'!Z12+'HB Plan'!Z12+'OD Plan'!Z12+'HDN Plan'!Z12+'KIN Plan'!Z12+'LE Plan'!Z12+'MER Plan'!Z12+'NDN Plan'!Z12+'SALT Plan'!Z12+'SDN Plan'!Z12+'SST Plan'!Z12+'WH Plan'!Z12+'FH Plan'!Z12</f>
        <v/>
      </c>
      <c r="AA12" s="16">
        <f>'ABA Plan'!AA12+'BK Plan'!AA12+'BW Plan'!AA12+'CED Plan'!AA12+'HAB Plan'!AA12+'HB Plan'!AA12+'OD Plan'!AA12+'HDN Plan'!AA12+'KIN Plan'!AA12+'LE Plan'!AA12+'MER Plan'!AA12+'NDN Plan'!AA12+'SALT Plan'!AA12+'SDN Plan'!AA12+'SST Plan'!AA12+'WH Plan'!AA12+'FH Plan'!AA12</f>
        <v/>
      </c>
      <c r="AB12" s="16">
        <f>'ABA Plan'!AB12+'BK Plan'!AB12+'BW Plan'!AB12+'CED Plan'!AB12+'HAB Plan'!AB12+'HB Plan'!AB12+'OD Plan'!AB12+'HDN Plan'!AB12+'KIN Plan'!AB12+'LE Plan'!AB12+'MER Plan'!AB12+'NDN Plan'!AB12+'SALT Plan'!AB12+'SDN Plan'!AB12+'SST Plan'!AB12+'WH Plan'!AB12+'FH Plan'!AB12</f>
        <v/>
      </c>
      <c r="AC12" s="16">
        <f>'ABA Plan'!AC12+'BK Plan'!AC12+'BW Plan'!AC12+'CED Plan'!AC12+'HAB Plan'!AC12+'HB Plan'!AC12+'OD Plan'!AC12+'HDN Plan'!AC12+'KIN Plan'!AC12+'LE Plan'!AC12+'MER Plan'!AC12+'NDN Plan'!AC12+'SALT Plan'!AC12+'SDN Plan'!AC12+'SST Plan'!AC12+'WH Plan'!AC12+'FH Plan'!AC12</f>
        <v/>
      </c>
      <c r="AD12" s="16">
        <f>'ABA Plan'!AD12+'BK Plan'!AD12+'BW Plan'!AD12+'CED Plan'!AD12+'HAB Plan'!AD12+'HB Plan'!AD12+'OD Plan'!AD12+'HDN Plan'!AD12+'KIN Plan'!AD12+'LE Plan'!AD12+'MER Plan'!AD12+'NDN Plan'!AD12+'SALT Plan'!AD12+'SDN Plan'!AD12+'SST Plan'!AD12+'WH Plan'!AD12+'FH Plan'!AD12</f>
        <v/>
      </c>
      <c r="AE12" s="16">
        <f>'ABA Plan'!AE12+'BK Plan'!AE12+'BW Plan'!AE12+'CED Plan'!AE12+'HAB Plan'!AE12+'HB Plan'!AE12+'OD Plan'!AE12+'HDN Plan'!AE12+'KIN Plan'!AE12+'LE Plan'!AE12+'MER Plan'!AE12+'NDN Plan'!AE12+'SALT Plan'!AE12+'SDN Plan'!AE12+'SST Plan'!AE12+'WH Plan'!AE12+'FH Plan'!AE12</f>
        <v/>
      </c>
      <c r="AF12" s="16">
        <f>'ABA Plan'!AF12+'BK Plan'!AF12+'BW Plan'!AF12+'CED Plan'!AF12+'HAB Plan'!AF12+'HB Plan'!AF12+'OD Plan'!AF12+'HDN Plan'!AF12+'KIN Plan'!AF12+'LE Plan'!AF12+'MER Plan'!AF12+'NDN Plan'!AF12+'SALT Plan'!AF12+'SDN Plan'!AF12+'SST Plan'!AF12+'WH Plan'!AF12+'FH Plan'!AF12</f>
        <v/>
      </c>
      <c r="AG12" s="16">
        <f>'ABA Plan'!AG12+'BK Plan'!AG12+'BW Plan'!AG12+'CED Plan'!AG12+'HAB Plan'!AG12+'HB Plan'!AG12+'OD Plan'!AG12+'HDN Plan'!AG12+'KIN Plan'!AG12+'LE Plan'!AG12+'MER Plan'!AG12+'NDN Plan'!AG12+'SALT Plan'!AG12+'SDN Plan'!AG12+'SST Plan'!AG12+'WH Plan'!AG12+'FH Plan'!AG12</f>
        <v/>
      </c>
      <c r="AH12" s="16">
        <f>'ABA Plan'!AH12+'BK Plan'!AH12+'BW Plan'!AH12+'CED Plan'!AH12+'HAB Plan'!AH12+'HB Plan'!AH12+'OD Plan'!AH12+'HDN Plan'!AH12+'KIN Plan'!AH12+'LE Plan'!AH12+'MER Plan'!AH12+'NDN Plan'!AH12+'SALT Plan'!AH12+'SDN Plan'!AH12+'SST Plan'!AH12+'WH Plan'!AH12+'FH Plan'!AH12</f>
        <v/>
      </c>
      <c r="AI12" s="16">
        <f>'ABA Plan'!AI12+'BK Plan'!AI12+'BW Plan'!AI12+'CED Plan'!AI12+'HAB Plan'!AI12+'HB Plan'!AI12+'OD Plan'!AI12+'HDN Plan'!AI12+'KIN Plan'!AI12+'LE Plan'!AI12+'MER Plan'!AI12+'NDN Plan'!AI12+'SALT Plan'!AI12+'SDN Plan'!AI12+'SST Plan'!AI12+'WH Plan'!AI12+'FH Plan'!AI12</f>
        <v/>
      </c>
      <c r="AJ12" s="16">
        <f>'ABA Plan'!AJ12+'BK Plan'!AJ12+'BW Plan'!AJ12+'CED Plan'!AJ12+'HAB Plan'!AJ12+'HB Plan'!AJ12+'OD Plan'!AJ12+'HDN Plan'!AJ12+'KIN Plan'!AJ12+'LE Plan'!AJ12+'MER Plan'!AJ12+'NDN Plan'!AJ12+'SALT Plan'!AJ12+'SDN Plan'!AJ12+'SST Plan'!AJ12+'WH Plan'!AJ12+'FH Plan'!AJ12</f>
        <v/>
      </c>
      <c r="AK12" s="11">
        <f>IF(N12&lt;&gt;0,(AB12-N12)/ABS(N12),0)</f>
        <v/>
      </c>
      <c r="AL12" s="11">
        <f>IF(AB12&lt;&gt;0,(AJ12-AB12)/ABS(AB12),0)</f>
        <v/>
      </c>
    </row>
    <row r="13" ht="13" customHeight="1">
      <c r="A13" s="15" t="inlineStr">
        <is>
          <t xml:space="preserve">    Nursery Pension</t>
        </is>
      </c>
      <c r="B13" s="16">
        <f>'ABA Plan'!B13+'BK Plan'!B13+'BW Plan'!B13+'CED Plan'!B13+'HAB Plan'!B13+'HB Plan'!B13+'OD Plan'!B13+'HDN Plan'!B13+'KIN Plan'!B13+'LE Plan'!B13+'MER Plan'!B13+'NDN Plan'!B13+'SALT Plan'!B13+'SDN Plan'!B13+'SST Plan'!B13+'WH Plan'!B13+'FH Plan'!B13</f>
        <v/>
      </c>
      <c r="C13" s="16">
        <f>'ABA Plan'!C13+'BK Plan'!C13+'BW Plan'!C13+'CED Plan'!C13+'HAB Plan'!C13+'HB Plan'!C13+'OD Plan'!C13+'HDN Plan'!C13+'KIN Plan'!C13+'LE Plan'!C13+'MER Plan'!C13+'NDN Plan'!C13+'SALT Plan'!C13+'SDN Plan'!C13+'SST Plan'!C13+'WH Plan'!C13+'FH Plan'!C13</f>
        <v/>
      </c>
      <c r="D13" s="16">
        <f>'ABA Plan'!D13+'BK Plan'!D13+'BW Plan'!D13+'CED Plan'!D13+'HAB Plan'!D13+'HB Plan'!D13+'OD Plan'!D13+'HDN Plan'!D13+'KIN Plan'!D13+'LE Plan'!D13+'MER Plan'!D13+'NDN Plan'!D13+'SALT Plan'!D13+'SDN Plan'!D13+'SST Plan'!D13+'WH Plan'!D13+'FH Plan'!D13</f>
        <v/>
      </c>
      <c r="E13" s="16">
        <f>'ABA Plan'!E13+'BK Plan'!E13+'BW Plan'!E13+'CED Plan'!E13+'HAB Plan'!E13+'HB Plan'!E13+'OD Plan'!E13+'HDN Plan'!E13+'KIN Plan'!E13+'LE Plan'!E13+'MER Plan'!E13+'NDN Plan'!E13+'SALT Plan'!E13+'SDN Plan'!E13+'SST Plan'!E13+'WH Plan'!E13+'FH Plan'!E13</f>
        <v/>
      </c>
      <c r="F13" s="16">
        <f>'ABA Plan'!F13+'BK Plan'!F13+'BW Plan'!F13+'CED Plan'!F13+'HAB Plan'!F13+'HB Plan'!F13+'OD Plan'!F13+'HDN Plan'!F13+'KIN Plan'!F13+'LE Plan'!F13+'MER Plan'!F13+'NDN Plan'!F13+'SALT Plan'!F13+'SDN Plan'!F13+'SST Plan'!F13+'WH Plan'!F13+'FH Plan'!F13</f>
        <v/>
      </c>
      <c r="G13" s="16">
        <f>'ABA Plan'!G13+'BK Plan'!G13+'BW Plan'!G13+'CED Plan'!G13+'HAB Plan'!G13+'HB Plan'!G13+'OD Plan'!G13+'HDN Plan'!G13+'KIN Plan'!G13+'LE Plan'!G13+'MER Plan'!G13+'NDN Plan'!G13+'SALT Plan'!G13+'SDN Plan'!G13+'SST Plan'!G13+'WH Plan'!G13+'FH Plan'!G13</f>
        <v/>
      </c>
      <c r="H13" s="16">
        <f>'ABA Plan'!H13+'BK Plan'!H13+'BW Plan'!H13+'CED Plan'!H13+'HAB Plan'!H13+'HB Plan'!H13+'OD Plan'!H13+'HDN Plan'!H13+'KIN Plan'!H13+'LE Plan'!H13+'MER Plan'!H13+'NDN Plan'!H13+'SALT Plan'!H13+'SDN Plan'!H13+'SST Plan'!H13+'WH Plan'!H13+'FH Plan'!H13</f>
        <v/>
      </c>
      <c r="I13" s="16">
        <f>'ABA Plan'!I13+'BK Plan'!I13+'BW Plan'!I13+'CED Plan'!I13+'HAB Plan'!I13+'HB Plan'!I13+'OD Plan'!I13+'HDN Plan'!I13+'KIN Plan'!I13+'LE Plan'!I13+'MER Plan'!I13+'NDN Plan'!I13+'SALT Plan'!I13+'SDN Plan'!I13+'SST Plan'!I13+'WH Plan'!I13+'FH Plan'!I13</f>
        <v/>
      </c>
      <c r="J13" s="16">
        <f>'ABA Plan'!J13+'BK Plan'!J13+'BW Plan'!J13+'CED Plan'!J13+'HAB Plan'!J13+'HB Plan'!J13+'OD Plan'!J13+'HDN Plan'!J13+'KIN Plan'!J13+'LE Plan'!J13+'MER Plan'!J13+'NDN Plan'!J13+'SALT Plan'!J13+'SDN Plan'!J13+'SST Plan'!J13+'WH Plan'!J13+'FH Plan'!J13</f>
        <v/>
      </c>
      <c r="K13" s="16">
        <f>'ABA Plan'!K13+'BK Plan'!K13+'BW Plan'!K13+'CED Plan'!K13+'HAB Plan'!K13+'HB Plan'!K13+'OD Plan'!K13+'HDN Plan'!K13+'KIN Plan'!K13+'LE Plan'!K13+'MER Plan'!K13+'NDN Plan'!K13+'SALT Plan'!K13+'SDN Plan'!K13+'SST Plan'!K13+'WH Plan'!K13+'FH Plan'!K13</f>
        <v/>
      </c>
      <c r="L13" s="16">
        <f>'ABA Plan'!L13+'BK Plan'!L13+'BW Plan'!L13+'CED Plan'!L13+'HAB Plan'!L13+'HB Plan'!L13+'OD Plan'!L13+'HDN Plan'!L13+'KIN Plan'!L13+'LE Plan'!L13+'MER Plan'!L13+'NDN Plan'!L13+'SALT Plan'!L13+'SDN Plan'!L13+'SST Plan'!L13+'WH Plan'!L13+'FH Plan'!L13</f>
        <v/>
      </c>
      <c r="M13" s="16">
        <f>'ABA Plan'!M13+'BK Plan'!M13+'BW Plan'!M13+'CED Plan'!M13+'HAB Plan'!M13+'HB Plan'!M13+'OD Plan'!M13+'HDN Plan'!M13+'KIN Plan'!M13+'LE Plan'!M13+'MER Plan'!M13+'NDN Plan'!M13+'SALT Plan'!M13+'SDN Plan'!M13+'SST Plan'!M13+'WH Plan'!M13+'FH Plan'!M13</f>
        <v/>
      </c>
      <c r="N13" s="16">
        <f>'ABA Plan'!N13+'BK Plan'!N13+'BW Plan'!N13+'CED Plan'!N13+'HAB Plan'!N13+'HB Plan'!N13+'OD Plan'!N13+'HDN Plan'!N13+'KIN Plan'!N13+'LE Plan'!N13+'MER Plan'!N13+'NDN Plan'!N13+'SALT Plan'!N13+'SDN Plan'!N13+'SST Plan'!N13+'WH Plan'!N13+'FH Plan'!N13</f>
        <v/>
      </c>
      <c r="O13" s="16">
        <f>'ABA Plan'!O13+'BK Plan'!O13+'BW Plan'!O13+'CED Plan'!O13+'HAB Plan'!O13+'HB Plan'!O13+'OD Plan'!O13+'HDN Plan'!O13+'KIN Plan'!O13+'LE Plan'!O13+'MER Plan'!O13+'NDN Plan'!O13+'SALT Plan'!O13+'SDN Plan'!O13+'SST Plan'!O13+'WH Plan'!O13+'FH Plan'!O13</f>
        <v/>
      </c>
      <c r="P13" s="16">
        <f>'ABA Plan'!P13+'BK Plan'!P13+'BW Plan'!P13+'CED Plan'!P13+'HAB Plan'!P13+'HB Plan'!P13+'OD Plan'!P13+'HDN Plan'!P13+'KIN Plan'!P13+'LE Plan'!P13+'MER Plan'!P13+'NDN Plan'!P13+'SALT Plan'!P13+'SDN Plan'!P13+'SST Plan'!P13+'WH Plan'!P13+'FH Plan'!P13</f>
        <v/>
      </c>
      <c r="Q13" s="16">
        <f>'ABA Plan'!Q13+'BK Plan'!Q13+'BW Plan'!Q13+'CED Plan'!Q13+'HAB Plan'!Q13+'HB Plan'!Q13+'OD Plan'!Q13+'HDN Plan'!Q13+'KIN Plan'!Q13+'LE Plan'!Q13+'MER Plan'!Q13+'NDN Plan'!Q13+'SALT Plan'!Q13+'SDN Plan'!Q13+'SST Plan'!Q13+'WH Plan'!Q13+'FH Plan'!Q13</f>
        <v/>
      </c>
      <c r="R13" s="16">
        <f>'ABA Plan'!R13+'BK Plan'!R13+'BW Plan'!R13+'CED Plan'!R13+'HAB Plan'!R13+'HB Plan'!R13+'OD Plan'!R13+'HDN Plan'!R13+'KIN Plan'!R13+'LE Plan'!R13+'MER Plan'!R13+'NDN Plan'!R13+'SALT Plan'!R13+'SDN Plan'!R13+'SST Plan'!R13+'WH Plan'!R13+'FH Plan'!R13</f>
        <v/>
      </c>
      <c r="S13" s="16">
        <f>'ABA Plan'!S13+'BK Plan'!S13+'BW Plan'!S13+'CED Plan'!S13+'HAB Plan'!S13+'HB Plan'!S13+'OD Plan'!S13+'HDN Plan'!S13+'KIN Plan'!S13+'LE Plan'!S13+'MER Plan'!S13+'NDN Plan'!S13+'SALT Plan'!S13+'SDN Plan'!S13+'SST Plan'!S13+'WH Plan'!S13+'FH Plan'!S13</f>
        <v/>
      </c>
      <c r="T13" s="16">
        <f>'ABA Plan'!T13+'BK Plan'!T13+'BW Plan'!T13+'CED Plan'!T13+'HAB Plan'!T13+'HB Plan'!T13+'OD Plan'!T13+'HDN Plan'!T13+'KIN Plan'!T13+'LE Plan'!T13+'MER Plan'!T13+'NDN Plan'!T13+'SALT Plan'!T13+'SDN Plan'!T13+'SST Plan'!T13+'WH Plan'!T13+'FH Plan'!T13</f>
        <v/>
      </c>
      <c r="U13" s="16">
        <f>'ABA Plan'!U13+'BK Plan'!U13+'BW Plan'!U13+'CED Plan'!U13+'HAB Plan'!U13+'HB Plan'!U13+'OD Plan'!U13+'HDN Plan'!U13+'KIN Plan'!U13+'LE Plan'!U13+'MER Plan'!U13+'NDN Plan'!U13+'SALT Plan'!U13+'SDN Plan'!U13+'SST Plan'!U13+'WH Plan'!U13+'FH Plan'!U13</f>
        <v/>
      </c>
      <c r="V13" s="16">
        <f>'ABA Plan'!V13+'BK Plan'!V13+'BW Plan'!V13+'CED Plan'!V13+'HAB Plan'!V13+'HB Plan'!V13+'OD Plan'!V13+'HDN Plan'!V13+'KIN Plan'!V13+'LE Plan'!V13+'MER Plan'!V13+'NDN Plan'!V13+'SALT Plan'!V13+'SDN Plan'!V13+'SST Plan'!V13+'WH Plan'!V13+'FH Plan'!V13</f>
        <v/>
      </c>
      <c r="W13" s="16">
        <f>'ABA Plan'!W13+'BK Plan'!W13+'BW Plan'!W13+'CED Plan'!W13+'HAB Plan'!W13+'HB Plan'!W13+'OD Plan'!W13+'HDN Plan'!W13+'KIN Plan'!W13+'LE Plan'!W13+'MER Plan'!W13+'NDN Plan'!W13+'SALT Plan'!W13+'SDN Plan'!W13+'SST Plan'!W13+'WH Plan'!W13+'FH Plan'!W13</f>
        <v/>
      </c>
      <c r="X13" s="16">
        <f>'ABA Plan'!X13+'BK Plan'!X13+'BW Plan'!X13+'CED Plan'!X13+'HAB Plan'!X13+'HB Plan'!X13+'OD Plan'!X13+'HDN Plan'!X13+'KIN Plan'!X13+'LE Plan'!X13+'MER Plan'!X13+'NDN Plan'!X13+'SALT Plan'!X13+'SDN Plan'!X13+'SST Plan'!X13+'WH Plan'!X13+'FH Plan'!X13</f>
        <v/>
      </c>
      <c r="Y13" s="16">
        <f>'ABA Plan'!Y13+'BK Plan'!Y13+'BW Plan'!Y13+'CED Plan'!Y13+'HAB Plan'!Y13+'HB Plan'!Y13+'OD Plan'!Y13+'HDN Plan'!Y13+'KIN Plan'!Y13+'LE Plan'!Y13+'MER Plan'!Y13+'NDN Plan'!Y13+'SALT Plan'!Y13+'SDN Plan'!Y13+'SST Plan'!Y13+'WH Plan'!Y13+'FH Plan'!Y13</f>
        <v/>
      </c>
      <c r="Z13" s="16">
        <f>'ABA Plan'!Z13+'BK Plan'!Z13+'BW Plan'!Z13+'CED Plan'!Z13+'HAB Plan'!Z13+'HB Plan'!Z13+'OD Plan'!Z13+'HDN Plan'!Z13+'KIN Plan'!Z13+'LE Plan'!Z13+'MER Plan'!Z13+'NDN Plan'!Z13+'SALT Plan'!Z13+'SDN Plan'!Z13+'SST Plan'!Z13+'WH Plan'!Z13+'FH Plan'!Z13</f>
        <v/>
      </c>
      <c r="AA13" s="16">
        <f>'ABA Plan'!AA13+'BK Plan'!AA13+'BW Plan'!AA13+'CED Plan'!AA13+'HAB Plan'!AA13+'HB Plan'!AA13+'OD Plan'!AA13+'HDN Plan'!AA13+'KIN Plan'!AA13+'LE Plan'!AA13+'MER Plan'!AA13+'NDN Plan'!AA13+'SALT Plan'!AA13+'SDN Plan'!AA13+'SST Plan'!AA13+'WH Plan'!AA13+'FH Plan'!AA13</f>
        <v/>
      </c>
      <c r="AB13" s="16">
        <f>'ABA Plan'!AB13+'BK Plan'!AB13+'BW Plan'!AB13+'CED Plan'!AB13+'HAB Plan'!AB13+'HB Plan'!AB13+'OD Plan'!AB13+'HDN Plan'!AB13+'KIN Plan'!AB13+'LE Plan'!AB13+'MER Plan'!AB13+'NDN Plan'!AB13+'SALT Plan'!AB13+'SDN Plan'!AB13+'SST Plan'!AB13+'WH Plan'!AB13+'FH Plan'!AB13</f>
        <v/>
      </c>
      <c r="AC13" s="16">
        <f>'ABA Plan'!AC13+'BK Plan'!AC13+'BW Plan'!AC13+'CED Plan'!AC13+'HAB Plan'!AC13+'HB Plan'!AC13+'OD Plan'!AC13+'HDN Plan'!AC13+'KIN Plan'!AC13+'LE Plan'!AC13+'MER Plan'!AC13+'NDN Plan'!AC13+'SALT Plan'!AC13+'SDN Plan'!AC13+'SST Plan'!AC13+'WH Plan'!AC13+'FH Plan'!AC13</f>
        <v/>
      </c>
      <c r="AD13" s="16">
        <f>'ABA Plan'!AD13+'BK Plan'!AD13+'BW Plan'!AD13+'CED Plan'!AD13+'HAB Plan'!AD13+'HB Plan'!AD13+'OD Plan'!AD13+'HDN Plan'!AD13+'KIN Plan'!AD13+'LE Plan'!AD13+'MER Plan'!AD13+'NDN Plan'!AD13+'SALT Plan'!AD13+'SDN Plan'!AD13+'SST Plan'!AD13+'WH Plan'!AD13+'FH Plan'!AD13</f>
        <v/>
      </c>
      <c r="AE13" s="16">
        <f>'ABA Plan'!AE13+'BK Plan'!AE13+'BW Plan'!AE13+'CED Plan'!AE13+'HAB Plan'!AE13+'HB Plan'!AE13+'OD Plan'!AE13+'HDN Plan'!AE13+'KIN Plan'!AE13+'LE Plan'!AE13+'MER Plan'!AE13+'NDN Plan'!AE13+'SALT Plan'!AE13+'SDN Plan'!AE13+'SST Plan'!AE13+'WH Plan'!AE13+'FH Plan'!AE13</f>
        <v/>
      </c>
      <c r="AF13" s="16">
        <f>'ABA Plan'!AF13+'BK Plan'!AF13+'BW Plan'!AF13+'CED Plan'!AF13+'HAB Plan'!AF13+'HB Plan'!AF13+'OD Plan'!AF13+'HDN Plan'!AF13+'KIN Plan'!AF13+'LE Plan'!AF13+'MER Plan'!AF13+'NDN Plan'!AF13+'SALT Plan'!AF13+'SDN Plan'!AF13+'SST Plan'!AF13+'WH Plan'!AF13+'FH Plan'!AF13</f>
        <v/>
      </c>
      <c r="AG13" s="16">
        <f>'ABA Plan'!AG13+'BK Plan'!AG13+'BW Plan'!AG13+'CED Plan'!AG13+'HAB Plan'!AG13+'HB Plan'!AG13+'OD Plan'!AG13+'HDN Plan'!AG13+'KIN Plan'!AG13+'LE Plan'!AG13+'MER Plan'!AG13+'NDN Plan'!AG13+'SALT Plan'!AG13+'SDN Plan'!AG13+'SST Plan'!AG13+'WH Plan'!AG13+'FH Plan'!AG13</f>
        <v/>
      </c>
      <c r="AH13" s="16">
        <f>'ABA Plan'!AH13+'BK Plan'!AH13+'BW Plan'!AH13+'CED Plan'!AH13+'HAB Plan'!AH13+'HB Plan'!AH13+'OD Plan'!AH13+'HDN Plan'!AH13+'KIN Plan'!AH13+'LE Plan'!AH13+'MER Plan'!AH13+'NDN Plan'!AH13+'SALT Plan'!AH13+'SDN Plan'!AH13+'SST Plan'!AH13+'WH Plan'!AH13+'FH Plan'!AH13</f>
        <v/>
      </c>
      <c r="AI13" s="16">
        <f>'ABA Plan'!AI13+'BK Plan'!AI13+'BW Plan'!AI13+'CED Plan'!AI13+'HAB Plan'!AI13+'HB Plan'!AI13+'OD Plan'!AI13+'HDN Plan'!AI13+'KIN Plan'!AI13+'LE Plan'!AI13+'MER Plan'!AI13+'NDN Plan'!AI13+'SALT Plan'!AI13+'SDN Plan'!AI13+'SST Plan'!AI13+'WH Plan'!AI13+'FH Plan'!AI13</f>
        <v/>
      </c>
      <c r="AJ13" s="16">
        <f>'ABA Plan'!AJ13+'BK Plan'!AJ13+'BW Plan'!AJ13+'CED Plan'!AJ13+'HAB Plan'!AJ13+'HB Plan'!AJ13+'OD Plan'!AJ13+'HDN Plan'!AJ13+'KIN Plan'!AJ13+'LE Plan'!AJ13+'MER Plan'!AJ13+'NDN Plan'!AJ13+'SALT Plan'!AJ13+'SDN Plan'!AJ13+'SST Plan'!AJ13+'WH Plan'!AJ13+'FH Plan'!AJ13</f>
        <v/>
      </c>
      <c r="AK13" s="11">
        <f>IF(N13&lt;&gt;0,(AB13-N13)/ABS(N13),0)</f>
        <v/>
      </c>
      <c r="AL13" s="11">
        <f>IF(AB13&lt;&gt;0,(AJ13-AB13)/ABS(AB13),0)</f>
        <v/>
      </c>
    </row>
    <row r="14" ht="13" customHeight="1">
      <c r="A14" s="15" t="inlineStr">
        <is>
          <t xml:space="preserve">    Uniform</t>
        </is>
      </c>
      <c r="B14" s="16">
        <f>'ABA Plan'!B14+'BK Plan'!B14+'BW Plan'!B14+'CED Plan'!B14+'HAB Plan'!B14+'HB Plan'!B14+'OD Plan'!B14+'HDN Plan'!B14+'KIN Plan'!B14+'LE Plan'!B14+'MER Plan'!B14+'NDN Plan'!B14+'SALT Plan'!B14+'SDN Plan'!B14+'SST Plan'!B14+'WH Plan'!B14+'FH Plan'!B14</f>
        <v/>
      </c>
      <c r="C14" s="16">
        <f>'ABA Plan'!C14+'BK Plan'!C14+'BW Plan'!C14+'CED Plan'!C14+'HAB Plan'!C14+'HB Plan'!C14+'OD Plan'!C14+'HDN Plan'!C14+'KIN Plan'!C14+'LE Plan'!C14+'MER Plan'!C14+'NDN Plan'!C14+'SALT Plan'!C14+'SDN Plan'!C14+'SST Plan'!C14+'WH Plan'!C14+'FH Plan'!C14</f>
        <v/>
      </c>
      <c r="D14" s="16">
        <f>'ABA Plan'!D14+'BK Plan'!D14+'BW Plan'!D14+'CED Plan'!D14+'HAB Plan'!D14+'HB Plan'!D14+'OD Plan'!D14+'HDN Plan'!D14+'KIN Plan'!D14+'LE Plan'!D14+'MER Plan'!D14+'NDN Plan'!D14+'SALT Plan'!D14+'SDN Plan'!D14+'SST Plan'!D14+'WH Plan'!D14+'FH Plan'!D14</f>
        <v/>
      </c>
      <c r="E14" s="16">
        <f>'ABA Plan'!E14+'BK Plan'!E14+'BW Plan'!E14+'CED Plan'!E14+'HAB Plan'!E14+'HB Plan'!E14+'OD Plan'!E14+'HDN Plan'!E14+'KIN Plan'!E14+'LE Plan'!E14+'MER Plan'!E14+'NDN Plan'!E14+'SALT Plan'!E14+'SDN Plan'!E14+'SST Plan'!E14+'WH Plan'!E14+'FH Plan'!E14</f>
        <v/>
      </c>
      <c r="F14" s="16">
        <f>'ABA Plan'!F14+'BK Plan'!F14+'BW Plan'!F14+'CED Plan'!F14+'HAB Plan'!F14+'HB Plan'!F14+'OD Plan'!F14+'HDN Plan'!F14+'KIN Plan'!F14+'LE Plan'!F14+'MER Plan'!F14+'NDN Plan'!F14+'SALT Plan'!F14+'SDN Plan'!F14+'SST Plan'!F14+'WH Plan'!F14+'FH Plan'!F14</f>
        <v/>
      </c>
      <c r="G14" s="16">
        <f>'ABA Plan'!G14+'BK Plan'!G14+'BW Plan'!G14+'CED Plan'!G14+'HAB Plan'!G14+'HB Plan'!G14+'OD Plan'!G14+'HDN Plan'!G14+'KIN Plan'!G14+'LE Plan'!G14+'MER Plan'!G14+'NDN Plan'!G14+'SALT Plan'!G14+'SDN Plan'!G14+'SST Plan'!G14+'WH Plan'!G14+'FH Plan'!G14</f>
        <v/>
      </c>
      <c r="H14" s="16">
        <f>'ABA Plan'!H14+'BK Plan'!H14+'BW Plan'!H14+'CED Plan'!H14+'HAB Plan'!H14+'HB Plan'!H14+'OD Plan'!H14+'HDN Plan'!H14+'KIN Plan'!H14+'LE Plan'!H14+'MER Plan'!H14+'NDN Plan'!H14+'SALT Plan'!H14+'SDN Plan'!H14+'SST Plan'!H14+'WH Plan'!H14+'FH Plan'!H14</f>
        <v/>
      </c>
      <c r="I14" s="16">
        <f>'ABA Plan'!I14+'BK Plan'!I14+'BW Plan'!I14+'CED Plan'!I14+'HAB Plan'!I14+'HB Plan'!I14+'OD Plan'!I14+'HDN Plan'!I14+'KIN Plan'!I14+'LE Plan'!I14+'MER Plan'!I14+'NDN Plan'!I14+'SALT Plan'!I14+'SDN Plan'!I14+'SST Plan'!I14+'WH Plan'!I14+'FH Plan'!I14</f>
        <v/>
      </c>
      <c r="J14" s="16">
        <f>'ABA Plan'!J14+'BK Plan'!J14+'BW Plan'!J14+'CED Plan'!J14+'HAB Plan'!J14+'HB Plan'!J14+'OD Plan'!J14+'HDN Plan'!J14+'KIN Plan'!J14+'LE Plan'!J14+'MER Plan'!J14+'NDN Plan'!J14+'SALT Plan'!J14+'SDN Plan'!J14+'SST Plan'!J14+'WH Plan'!J14+'FH Plan'!J14</f>
        <v/>
      </c>
      <c r="K14" s="16">
        <f>'ABA Plan'!K14+'BK Plan'!K14+'BW Plan'!K14+'CED Plan'!K14+'HAB Plan'!K14+'HB Plan'!K14+'OD Plan'!K14+'HDN Plan'!K14+'KIN Plan'!K14+'LE Plan'!K14+'MER Plan'!K14+'NDN Plan'!K14+'SALT Plan'!K14+'SDN Plan'!K14+'SST Plan'!K14+'WH Plan'!K14+'FH Plan'!K14</f>
        <v/>
      </c>
      <c r="L14" s="16">
        <f>'ABA Plan'!L14+'BK Plan'!L14+'BW Plan'!L14+'CED Plan'!L14+'HAB Plan'!L14+'HB Plan'!L14+'OD Plan'!L14+'HDN Plan'!L14+'KIN Plan'!L14+'LE Plan'!L14+'MER Plan'!L14+'NDN Plan'!L14+'SALT Plan'!L14+'SDN Plan'!L14+'SST Plan'!L14+'WH Plan'!L14+'FH Plan'!L14</f>
        <v/>
      </c>
      <c r="M14" s="16">
        <f>'ABA Plan'!M14+'BK Plan'!M14+'BW Plan'!M14+'CED Plan'!M14+'HAB Plan'!M14+'HB Plan'!M14+'OD Plan'!M14+'HDN Plan'!M14+'KIN Plan'!M14+'LE Plan'!M14+'MER Plan'!M14+'NDN Plan'!M14+'SALT Plan'!M14+'SDN Plan'!M14+'SST Plan'!M14+'WH Plan'!M14+'FH Plan'!M14</f>
        <v/>
      </c>
      <c r="N14" s="16">
        <f>'ABA Plan'!N14+'BK Plan'!N14+'BW Plan'!N14+'CED Plan'!N14+'HAB Plan'!N14+'HB Plan'!N14+'OD Plan'!N14+'HDN Plan'!N14+'KIN Plan'!N14+'LE Plan'!N14+'MER Plan'!N14+'NDN Plan'!N14+'SALT Plan'!N14+'SDN Plan'!N14+'SST Plan'!N14+'WH Plan'!N14+'FH Plan'!N14</f>
        <v/>
      </c>
      <c r="O14" s="16">
        <f>'ABA Plan'!O14+'BK Plan'!O14+'BW Plan'!O14+'CED Plan'!O14+'HAB Plan'!O14+'HB Plan'!O14+'OD Plan'!O14+'HDN Plan'!O14+'KIN Plan'!O14+'LE Plan'!O14+'MER Plan'!O14+'NDN Plan'!O14+'SALT Plan'!O14+'SDN Plan'!O14+'SST Plan'!O14+'WH Plan'!O14+'FH Plan'!O14</f>
        <v/>
      </c>
      <c r="P14" s="16">
        <f>'ABA Plan'!P14+'BK Plan'!P14+'BW Plan'!P14+'CED Plan'!P14+'HAB Plan'!P14+'HB Plan'!P14+'OD Plan'!P14+'HDN Plan'!P14+'KIN Plan'!P14+'LE Plan'!P14+'MER Plan'!P14+'NDN Plan'!P14+'SALT Plan'!P14+'SDN Plan'!P14+'SST Plan'!P14+'WH Plan'!P14+'FH Plan'!P14</f>
        <v/>
      </c>
      <c r="Q14" s="16">
        <f>'ABA Plan'!Q14+'BK Plan'!Q14+'BW Plan'!Q14+'CED Plan'!Q14+'HAB Plan'!Q14+'HB Plan'!Q14+'OD Plan'!Q14+'HDN Plan'!Q14+'KIN Plan'!Q14+'LE Plan'!Q14+'MER Plan'!Q14+'NDN Plan'!Q14+'SALT Plan'!Q14+'SDN Plan'!Q14+'SST Plan'!Q14+'WH Plan'!Q14+'FH Plan'!Q14</f>
        <v/>
      </c>
      <c r="R14" s="16">
        <f>'ABA Plan'!R14+'BK Plan'!R14+'BW Plan'!R14+'CED Plan'!R14+'HAB Plan'!R14+'HB Plan'!R14+'OD Plan'!R14+'HDN Plan'!R14+'KIN Plan'!R14+'LE Plan'!R14+'MER Plan'!R14+'NDN Plan'!R14+'SALT Plan'!R14+'SDN Plan'!R14+'SST Plan'!R14+'WH Plan'!R14+'FH Plan'!R14</f>
        <v/>
      </c>
      <c r="S14" s="16">
        <f>'ABA Plan'!S14+'BK Plan'!S14+'BW Plan'!S14+'CED Plan'!S14+'HAB Plan'!S14+'HB Plan'!S14+'OD Plan'!S14+'HDN Plan'!S14+'KIN Plan'!S14+'LE Plan'!S14+'MER Plan'!S14+'NDN Plan'!S14+'SALT Plan'!S14+'SDN Plan'!S14+'SST Plan'!S14+'WH Plan'!S14+'FH Plan'!S14</f>
        <v/>
      </c>
      <c r="T14" s="16">
        <f>'ABA Plan'!T14+'BK Plan'!T14+'BW Plan'!T14+'CED Plan'!T14+'HAB Plan'!T14+'HB Plan'!T14+'OD Plan'!T14+'HDN Plan'!T14+'KIN Plan'!T14+'LE Plan'!T14+'MER Plan'!T14+'NDN Plan'!T14+'SALT Plan'!T14+'SDN Plan'!T14+'SST Plan'!T14+'WH Plan'!T14+'FH Plan'!T14</f>
        <v/>
      </c>
      <c r="U14" s="16">
        <f>'ABA Plan'!U14+'BK Plan'!U14+'BW Plan'!U14+'CED Plan'!U14+'HAB Plan'!U14+'HB Plan'!U14+'OD Plan'!U14+'HDN Plan'!U14+'KIN Plan'!U14+'LE Plan'!U14+'MER Plan'!U14+'NDN Plan'!U14+'SALT Plan'!U14+'SDN Plan'!U14+'SST Plan'!U14+'WH Plan'!U14+'FH Plan'!U14</f>
        <v/>
      </c>
      <c r="V14" s="16">
        <f>'ABA Plan'!V14+'BK Plan'!V14+'BW Plan'!V14+'CED Plan'!V14+'HAB Plan'!V14+'HB Plan'!V14+'OD Plan'!V14+'HDN Plan'!V14+'KIN Plan'!V14+'LE Plan'!V14+'MER Plan'!V14+'NDN Plan'!V14+'SALT Plan'!V14+'SDN Plan'!V14+'SST Plan'!V14+'WH Plan'!V14+'FH Plan'!V14</f>
        <v/>
      </c>
      <c r="W14" s="16">
        <f>'ABA Plan'!W14+'BK Plan'!W14+'BW Plan'!W14+'CED Plan'!W14+'HAB Plan'!W14+'HB Plan'!W14+'OD Plan'!W14+'HDN Plan'!W14+'KIN Plan'!W14+'LE Plan'!W14+'MER Plan'!W14+'NDN Plan'!W14+'SALT Plan'!W14+'SDN Plan'!W14+'SST Plan'!W14+'WH Plan'!W14+'FH Plan'!W14</f>
        <v/>
      </c>
      <c r="X14" s="16">
        <f>'ABA Plan'!X14+'BK Plan'!X14+'BW Plan'!X14+'CED Plan'!X14+'HAB Plan'!X14+'HB Plan'!X14+'OD Plan'!X14+'HDN Plan'!X14+'KIN Plan'!X14+'LE Plan'!X14+'MER Plan'!X14+'NDN Plan'!X14+'SALT Plan'!X14+'SDN Plan'!X14+'SST Plan'!X14+'WH Plan'!X14+'FH Plan'!X14</f>
        <v/>
      </c>
      <c r="Y14" s="16">
        <f>'ABA Plan'!Y14+'BK Plan'!Y14+'BW Plan'!Y14+'CED Plan'!Y14+'HAB Plan'!Y14+'HB Plan'!Y14+'OD Plan'!Y14+'HDN Plan'!Y14+'KIN Plan'!Y14+'LE Plan'!Y14+'MER Plan'!Y14+'NDN Plan'!Y14+'SALT Plan'!Y14+'SDN Plan'!Y14+'SST Plan'!Y14+'WH Plan'!Y14+'FH Plan'!Y14</f>
        <v/>
      </c>
      <c r="Z14" s="16">
        <f>'ABA Plan'!Z14+'BK Plan'!Z14+'BW Plan'!Z14+'CED Plan'!Z14+'HAB Plan'!Z14+'HB Plan'!Z14+'OD Plan'!Z14+'HDN Plan'!Z14+'KIN Plan'!Z14+'LE Plan'!Z14+'MER Plan'!Z14+'NDN Plan'!Z14+'SALT Plan'!Z14+'SDN Plan'!Z14+'SST Plan'!Z14+'WH Plan'!Z14+'FH Plan'!Z14</f>
        <v/>
      </c>
      <c r="AA14" s="16">
        <f>'ABA Plan'!AA14+'BK Plan'!AA14+'BW Plan'!AA14+'CED Plan'!AA14+'HAB Plan'!AA14+'HB Plan'!AA14+'OD Plan'!AA14+'HDN Plan'!AA14+'KIN Plan'!AA14+'LE Plan'!AA14+'MER Plan'!AA14+'NDN Plan'!AA14+'SALT Plan'!AA14+'SDN Plan'!AA14+'SST Plan'!AA14+'WH Plan'!AA14+'FH Plan'!AA14</f>
        <v/>
      </c>
      <c r="AB14" s="16">
        <f>'ABA Plan'!AB14+'BK Plan'!AB14+'BW Plan'!AB14+'CED Plan'!AB14+'HAB Plan'!AB14+'HB Plan'!AB14+'OD Plan'!AB14+'HDN Plan'!AB14+'KIN Plan'!AB14+'LE Plan'!AB14+'MER Plan'!AB14+'NDN Plan'!AB14+'SALT Plan'!AB14+'SDN Plan'!AB14+'SST Plan'!AB14+'WH Plan'!AB14+'FH Plan'!AB14</f>
        <v/>
      </c>
      <c r="AC14" s="16">
        <f>'ABA Plan'!AC14+'BK Plan'!AC14+'BW Plan'!AC14+'CED Plan'!AC14+'HAB Plan'!AC14+'HB Plan'!AC14+'OD Plan'!AC14+'HDN Plan'!AC14+'KIN Plan'!AC14+'LE Plan'!AC14+'MER Plan'!AC14+'NDN Plan'!AC14+'SALT Plan'!AC14+'SDN Plan'!AC14+'SST Plan'!AC14+'WH Plan'!AC14+'FH Plan'!AC14</f>
        <v/>
      </c>
      <c r="AD14" s="16">
        <f>'ABA Plan'!AD14+'BK Plan'!AD14+'BW Plan'!AD14+'CED Plan'!AD14+'HAB Plan'!AD14+'HB Plan'!AD14+'OD Plan'!AD14+'HDN Plan'!AD14+'KIN Plan'!AD14+'LE Plan'!AD14+'MER Plan'!AD14+'NDN Plan'!AD14+'SALT Plan'!AD14+'SDN Plan'!AD14+'SST Plan'!AD14+'WH Plan'!AD14+'FH Plan'!AD14</f>
        <v/>
      </c>
      <c r="AE14" s="16">
        <f>'ABA Plan'!AE14+'BK Plan'!AE14+'BW Plan'!AE14+'CED Plan'!AE14+'HAB Plan'!AE14+'HB Plan'!AE14+'OD Plan'!AE14+'HDN Plan'!AE14+'KIN Plan'!AE14+'LE Plan'!AE14+'MER Plan'!AE14+'NDN Plan'!AE14+'SALT Plan'!AE14+'SDN Plan'!AE14+'SST Plan'!AE14+'WH Plan'!AE14+'FH Plan'!AE14</f>
        <v/>
      </c>
      <c r="AF14" s="16">
        <f>'ABA Plan'!AF14+'BK Plan'!AF14+'BW Plan'!AF14+'CED Plan'!AF14+'HAB Plan'!AF14+'HB Plan'!AF14+'OD Plan'!AF14+'HDN Plan'!AF14+'KIN Plan'!AF14+'LE Plan'!AF14+'MER Plan'!AF14+'NDN Plan'!AF14+'SALT Plan'!AF14+'SDN Plan'!AF14+'SST Plan'!AF14+'WH Plan'!AF14+'FH Plan'!AF14</f>
        <v/>
      </c>
      <c r="AG14" s="16">
        <f>'ABA Plan'!AG14+'BK Plan'!AG14+'BW Plan'!AG14+'CED Plan'!AG14+'HAB Plan'!AG14+'HB Plan'!AG14+'OD Plan'!AG14+'HDN Plan'!AG14+'KIN Plan'!AG14+'LE Plan'!AG14+'MER Plan'!AG14+'NDN Plan'!AG14+'SALT Plan'!AG14+'SDN Plan'!AG14+'SST Plan'!AG14+'WH Plan'!AG14+'FH Plan'!AG14</f>
        <v/>
      </c>
      <c r="AH14" s="16">
        <f>'ABA Plan'!AH14+'BK Plan'!AH14+'BW Plan'!AH14+'CED Plan'!AH14+'HAB Plan'!AH14+'HB Plan'!AH14+'OD Plan'!AH14+'HDN Plan'!AH14+'KIN Plan'!AH14+'LE Plan'!AH14+'MER Plan'!AH14+'NDN Plan'!AH14+'SALT Plan'!AH14+'SDN Plan'!AH14+'SST Plan'!AH14+'WH Plan'!AH14+'FH Plan'!AH14</f>
        <v/>
      </c>
      <c r="AI14" s="16">
        <f>'ABA Plan'!AI14+'BK Plan'!AI14+'BW Plan'!AI14+'CED Plan'!AI14+'HAB Plan'!AI14+'HB Plan'!AI14+'OD Plan'!AI14+'HDN Plan'!AI14+'KIN Plan'!AI14+'LE Plan'!AI14+'MER Plan'!AI14+'NDN Plan'!AI14+'SALT Plan'!AI14+'SDN Plan'!AI14+'SST Plan'!AI14+'WH Plan'!AI14+'FH Plan'!AI14</f>
        <v/>
      </c>
      <c r="AJ14" s="16">
        <f>'ABA Plan'!AJ14+'BK Plan'!AJ14+'BW Plan'!AJ14+'CED Plan'!AJ14+'HAB Plan'!AJ14+'HB Plan'!AJ14+'OD Plan'!AJ14+'HDN Plan'!AJ14+'KIN Plan'!AJ14+'LE Plan'!AJ14+'MER Plan'!AJ14+'NDN Plan'!AJ14+'SALT Plan'!AJ14+'SDN Plan'!AJ14+'SST Plan'!AJ14+'WH Plan'!AJ14+'FH Plan'!AJ14</f>
        <v/>
      </c>
      <c r="AK14" s="11">
        <f>IF(N14&lt;&gt;0,(AB14-N14)/ABS(N14),0)</f>
        <v/>
      </c>
      <c r="AL14" s="11">
        <f>IF(AB14&lt;&gt;0,(AJ14-AB14)/ABS(AB14),0)</f>
        <v/>
      </c>
    </row>
    <row r="15" ht="13" customHeight="1">
      <c r="A15" s="15" t="inlineStr">
        <is>
          <t xml:space="preserve">    Training</t>
        </is>
      </c>
      <c r="B15" s="16">
        <f>'ABA Plan'!B15+'BK Plan'!B15+'BW Plan'!B15+'CED Plan'!B15+'HAB Plan'!B15+'HB Plan'!B15+'OD Plan'!B15+'HDN Plan'!B15+'KIN Plan'!B15+'LE Plan'!B15+'MER Plan'!B15+'NDN Plan'!B15+'SALT Plan'!B15+'SDN Plan'!B15+'SST Plan'!B15+'WH Plan'!B15+'FH Plan'!B15</f>
        <v/>
      </c>
      <c r="C15" s="16">
        <f>'ABA Plan'!C15+'BK Plan'!C15+'BW Plan'!C15+'CED Plan'!C15+'HAB Plan'!C15+'HB Plan'!C15+'OD Plan'!C15+'HDN Plan'!C15+'KIN Plan'!C15+'LE Plan'!C15+'MER Plan'!C15+'NDN Plan'!C15+'SALT Plan'!C15+'SDN Plan'!C15+'SST Plan'!C15+'WH Plan'!C15+'FH Plan'!C15</f>
        <v/>
      </c>
      <c r="D15" s="16">
        <f>'ABA Plan'!D15+'BK Plan'!D15+'BW Plan'!D15+'CED Plan'!D15+'HAB Plan'!D15+'HB Plan'!D15+'OD Plan'!D15+'HDN Plan'!D15+'KIN Plan'!D15+'LE Plan'!D15+'MER Plan'!D15+'NDN Plan'!D15+'SALT Plan'!D15+'SDN Plan'!D15+'SST Plan'!D15+'WH Plan'!D15+'FH Plan'!D15</f>
        <v/>
      </c>
      <c r="E15" s="16">
        <f>'ABA Plan'!E15+'BK Plan'!E15+'BW Plan'!E15+'CED Plan'!E15+'HAB Plan'!E15+'HB Plan'!E15+'OD Plan'!E15+'HDN Plan'!E15+'KIN Plan'!E15+'LE Plan'!E15+'MER Plan'!E15+'NDN Plan'!E15+'SALT Plan'!E15+'SDN Plan'!E15+'SST Plan'!E15+'WH Plan'!E15+'FH Plan'!E15</f>
        <v/>
      </c>
      <c r="F15" s="16">
        <f>'ABA Plan'!F15+'BK Plan'!F15+'BW Plan'!F15+'CED Plan'!F15+'HAB Plan'!F15+'HB Plan'!F15+'OD Plan'!F15+'HDN Plan'!F15+'KIN Plan'!F15+'LE Plan'!F15+'MER Plan'!F15+'NDN Plan'!F15+'SALT Plan'!F15+'SDN Plan'!F15+'SST Plan'!F15+'WH Plan'!F15+'FH Plan'!F15</f>
        <v/>
      </c>
      <c r="G15" s="16">
        <f>'ABA Plan'!G15+'BK Plan'!G15+'BW Plan'!G15+'CED Plan'!G15+'HAB Plan'!G15+'HB Plan'!G15+'OD Plan'!G15+'HDN Plan'!G15+'KIN Plan'!G15+'LE Plan'!G15+'MER Plan'!G15+'NDN Plan'!G15+'SALT Plan'!G15+'SDN Plan'!G15+'SST Plan'!G15+'WH Plan'!G15+'FH Plan'!G15</f>
        <v/>
      </c>
      <c r="H15" s="16">
        <f>'ABA Plan'!H15+'BK Plan'!H15+'BW Plan'!H15+'CED Plan'!H15+'HAB Plan'!H15+'HB Plan'!H15+'OD Plan'!H15+'HDN Plan'!H15+'KIN Plan'!H15+'LE Plan'!H15+'MER Plan'!H15+'NDN Plan'!H15+'SALT Plan'!H15+'SDN Plan'!H15+'SST Plan'!H15+'WH Plan'!H15+'FH Plan'!H15</f>
        <v/>
      </c>
      <c r="I15" s="16">
        <f>'ABA Plan'!I15+'BK Plan'!I15+'BW Plan'!I15+'CED Plan'!I15+'HAB Plan'!I15+'HB Plan'!I15+'OD Plan'!I15+'HDN Plan'!I15+'KIN Plan'!I15+'LE Plan'!I15+'MER Plan'!I15+'NDN Plan'!I15+'SALT Plan'!I15+'SDN Plan'!I15+'SST Plan'!I15+'WH Plan'!I15+'FH Plan'!I15</f>
        <v/>
      </c>
      <c r="J15" s="16">
        <f>'ABA Plan'!J15+'BK Plan'!J15+'BW Plan'!J15+'CED Plan'!J15+'HAB Plan'!J15+'HB Plan'!J15+'OD Plan'!J15+'HDN Plan'!J15+'KIN Plan'!J15+'LE Plan'!J15+'MER Plan'!J15+'NDN Plan'!J15+'SALT Plan'!J15+'SDN Plan'!J15+'SST Plan'!J15+'WH Plan'!J15+'FH Plan'!J15</f>
        <v/>
      </c>
      <c r="K15" s="16">
        <f>'ABA Plan'!K15+'BK Plan'!K15+'BW Plan'!K15+'CED Plan'!K15+'HAB Plan'!K15+'HB Plan'!K15+'OD Plan'!K15+'HDN Plan'!K15+'KIN Plan'!K15+'LE Plan'!K15+'MER Plan'!K15+'NDN Plan'!K15+'SALT Plan'!K15+'SDN Plan'!K15+'SST Plan'!K15+'WH Plan'!K15+'FH Plan'!K15</f>
        <v/>
      </c>
      <c r="L15" s="16">
        <f>'ABA Plan'!L15+'BK Plan'!L15+'BW Plan'!L15+'CED Plan'!L15+'HAB Plan'!L15+'HB Plan'!L15+'OD Plan'!L15+'HDN Plan'!L15+'KIN Plan'!L15+'LE Plan'!L15+'MER Plan'!L15+'NDN Plan'!L15+'SALT Plan'!L15+'SDN Plan'!L15+'SST Plan'!L15+'WH Plan'!L15+'FH Plan'!L15</f>
        <v/>
      </c>
      <c r="M15" s="16">
        <f>'ABA Plan'!M15+'BK Plan'!M15+'BW Plan'!M15+'CED Plan'!M15+'HAB Plan'!M15+'HB Plan'!M15+'OD Plan'!M15+'HDN Plan'!M15+'KIN Plan'!M15+'LE Plan'!M15+'MER Plan'!M15+'NDN Plan'!M15+'SALT Plan'!M15+'SDN Plan'!M15+'SST Plan'!M15+'WH Plan'!M15+'FH Plan'!M15</f>
        <v/>
      </c>
      <c r="N15" s="16">
        <f>'ABA Plan'!N15+'BK Plan'!N15+'BW Plan'!N15+'CED Plan'!N15+'HAB Plan'!N15+'HB Plan'!N15+'OD Plan'!N15+'HDN Plan'!N15+'KIN Plan'!N15+'LE Plan'!N15+'MER Plan'!N15+'NDN Plan'!N15+'SALT Plan'!N15+'SDN Plan'!N15+'SST Plan'!N15+'WH Plan'!N15+'FH Plan'!N15</f>
        <v/>
      </c>
      <c r="O15" s="16">
        <f>'ABA Plan'!O15+'BK Plan'!O15+'BW Plan'!O15+'CED Plan'!O15+'HAB Plan'!O15+'HB Plan'!O15+'OD Plan'!O15+'HDN Plan'!O15+'KIN Plan'!O15+'LE Plan'!O15+'MER Plan'!O15+'NDN Plan'!O15+'SALT Plan'!O15+'SDN Plan'!O15+'SST Plan'!O15+'WH Plan'!O15+'FH Plan'!O15</f>
        <v/>
      </c>
      <c r="P15" s="16">
        <f>'ABA Plan'!P15+'BK Plan'!P15+'BW Plan'!P15+'CED Plan'!P15+'HAB Plan'!P15+'HB Plan'!P15+'OD Plan'!P15+'HDN Plan'!P15+'KIN Plan'!P15+'LE Plan'!P15+'MER Plan'!P15+'NDN Plan'!P15+'SALT Plan'!P15+'SDN Plan'!P15+'SST Plan'!P15+'WH Plan'!P15+'FH Plan'!P15</f>
        <v/>
      </c>
      <c r="Q15" s="16">
        <f>'ABA Plan'!Q15+'BK Plan'!Q15+'BW Plan'!Q15+'CED Plan'!Q15+'HAB Plan'!Q15+'HB Plan'!Q15+'OD Plan'!Q15+'HDN Plan'!Q15+'KIN Plan'!Q15+'LE Plan'!Q15+'MER Plan'!Q15+'NDN Plan'!Q15+'SALT Plan'!Q15+'SDN Plan'!Q15+'SST Plan'!Q15+'WH Plan'!Q15+'FH Plan'!Q15</f>
        <v/>
      </c>
      <c r="R15" s="16">
        <f>'ABA Plan'!R15+'BK Plan'!R15+'BW Plan'!R15+'CED Plan'!R15+'HAB Plan'!R15+'HB Plan'!R15+'OD Plan'!R15+'HDN Plan'!R15+'KIN Plan'!R15+'LE Plan'!R15+'MER Plan'!R15+'NDN Plan'!R15+'SALT Plan'!R15+'SDN Plan'!R15+'SST Plan'!R15+'WH Plan'!R15+'FH Plan'!R15</f>
        <v/>
      </c>
      <c r="S15" s="16">
        <f>'ABA Plan'!S15+'BK Plan'!S15+'BW Plan'!S15+'CED Plan'!S15+'HAB Plan'!S15+'HB Plan'!S15+'OD Plan'!S15+'HDN Plan'!S15+'KIN Plan'!S15+'LE Plan'!S15+'MER Plan'!S15+'NDN Plan'!S15+'SALT Plan'!S15+'SDN Plan'!S15+'SST Plan'!S15+'WH Plan'!S15+'FH Plan'!S15</f>
        <v/>
      </c>
      <c r="T15" s="16">
        <f>'ABA Plan'!T15+'BK Plan'!T15+'BW Plan'!T15+'CED Plan'!T15+'HAB Plan'!T15+'HB Plan'!T15+'OD Plan'!T15+'HDN Plan'!T15+'KIN Plan'!T15+'LE Plan'!T15+'MER Plan'!T15+'NDN Plan'!T15+'SALT Plan'!T15+'SDN Plan'!T15+'SST Plan'!T15+'WH Plan'!T15+'FH Plan'!T15</f>
        <v/>
      </c>
      <c r="U15" s="16">
        <f>'ABA Plan'!U15+'BK Plan'!U15+'BW Plan'!U15+'CED Plan'!U15+'HAB Plan'!U15+'HB Plan'!U15+'OD Plan'!U15+'HDN Plan'!U15+'KIN Plan'!U15+'LE Plan'!U15+'MER Plan'!U15+'NDN Plan'!U15+'SALT Plan'!U15+'SDN Plan'!U15+'SST Plan'!U15+'WH Plan'!U15+'FH Plan'!U15</f>
        <v/>
      </c>
      <c r="V15" s="16">
        <f>'ABA Plan'!V15+'BK Plan'!V15+'BW Plan'!V15+'CED Plan'!V15+'HAB Plan'!V15+'HB Plan'!V15+'OD Plan'!V15+'HDN Plan'!V15+'KIN Plan'!V15+'LE Plan'!V15+'MER Plan'!V15+'NDN Plan'!V15+'SALT Plan'!V15+'SDN Plan'!V15+'SST Plan'!V15+'WH Plan'!V15+'FH Plan'!V15</f>
        <v/>
      </c>
      <c r="W15" s="16">
        <f>'ABA Plan'!W15+'BK Plan'!W15+'BW Plan'!W15+'CED Plan'!W15+'HAB Plan'!W15+'HB Plan'!W15+'OD Plan'!W15+'HDN Plan'!W15+'KIN Plan'!W15+'LE Plan'!W15+'MER Plan'!W15+'NDN Plan'!W15+'SALT Plan'!W15+'SDN Plan'!W15+'SST Plan'!W15+'WH Plan'!W15+'FH Plan'!W15</f>
        <v/>
      </c>
      <c r="X15" s="16">
        <f>'ABA Plan'!X15+'BK Plan'!X15+'BW Plan'!X15+'CED Plan'!X15+'HAB Plan'!X15+'HB Plan'!X15+'OD Plan'!X15+'HDN Plan'!X15+'KIN Plan'!X15+'LE Plan'!X15+'MER Plan'!X15+'NDN Plan'!X15+'SALT Plan'!X15+'SDN Plan'!X15+'SST Plan'!X15+'WH Plan'!X15+'FH Plan'!X15</f>
        <v/>
      </c>
      <c r="Y15" s="16">
        <f>'ABA Plan'!Y15+'BK Plan'!Y15+'BW Plan'!Y15+'CED Plan'!Y15+'HAB Plan'!Y15+'HB Plan'!Y15+'OD Plan'!Y15+'HDN Plan'!Y15+'KIN Plan'!Y15+'LE Plan'!Y15+'MER Plan'!Y15+'NDN Plan'!Y15+'SALT Plan'!Y15+'SDN Plan'!Y15+'SST Plan'!Y15+'WH Plan'!Y15+'FH Plan'!Y15</f>
        <v/>
      </c>
      <c r="Z15" s="16">
        <f>'ABA Plan'!Z15+'BK Plan'!Z15+'BW Plan'!Z15+'CED Plan'!Z15+'HAB Plan'!Z15+'HB Plan'!Z15+'OD Plan'!Z15+'HDN Plan'!Z15+'KIN Plan'!Z15+'LE Plan'!Z15+'MER Plan'!Z15+'NDN Plan'!Z15+'SALT Plan'!Z15+'SDN Plan'!Z15+'SST Plan'!Z15+'WH Plan'!Z15+'FH Plan'!Z15</f>
        <v/>
      </c>
      <c r="AA15" s="16">
        <f>'ABA Plan'!AA15+'BK Plan'!AA15+'BW Plan'!AA15+'CED Plan'!AA15+'HAB Plan'!AA15+'HB Plan'!AA15+'OD Plan'!AA15+'HDN Plan'!AA15+'KIN Plan'!AA15+'LE Plan'!AA15+'MER Plan'!AA15+'NDN Plan'!AA15+'SALT Plan'!AA15+'SDN Plan'!AA15+'SST Plan'!AA15+'WH Plan'!AA15+'FH Plan'!AA15</f>
        <v/>
      </c>
      <c r="AB15" s="16">
        <f>'ABA Plan'!AB15+'BK Plan'!AB15+'BW Plan'!AB15+'CED Plan'!AB15+'HAB Plan'!AB15+'HB Plan'!AB15+'OD Plan'!AB15+'HDN Plan'!AB15+'KIN Plan'!AB15+'LE Plan'!AB15+'MER Plan'!AB15+'NDN Plan'!AB15+'SALT Plan'!AB15+'SDN Plan'!AB15+'SST Plan'!AB15+'WH Plan'!AB15+'FH Plan'!AB15</f>
        <v/>
      </c>
      <c r="AC15" s="16">
        <f>'ABA Plan'!AC15+'BK Plan'!AC15+'BW Plan'!AC15+'CED Plan'!AC15+'HAB Plan'!AC15+'HB Plan'!AC15+'OD Plan'!AC15+'HDN Plan'!AC15+'KIN Plan'!AC15+'LE Plan'!AC15+'MER Plan'!AC15+'NDN Plan'!AC15+'SALT Plan'!AC15+'SDN Plan'!AC15+'SST Plan'!AC15+'WH Plan'!AC15+'FH Plan'!AC15</f>
        <v/>
      </c>
      <c r="AD15" s="16">
        <f>'ABA Plan'!AD15+'BK Plan'!AD15+'BW Plan'!AD15+'CED Plan'!AD15+'HAB Plan'!AD15+'HB Plan'!AD15+'OD Plan'!AD15+'HDN Plan'!AD15+'KIN Plan'!AD15+'LE Plan'!AD15+'MER Plan'!AD15+'NDN Plan'!AD15+'SALT Plan'!AD15+'SDN Plan'!AD15+'SST Plan'!AD15+'WH Plan'!AD15+'FH Plan'!AD15</f>
        <v/>
      </c>
      <c r="AE15" s="16">
        <f>'ABA Plan'!AE15+'BK Plan'!AE15+'BW Plan'!AE15+'CED Plan'!AE15+'HAB Plan'!AE15+'HB Plan'!AE15+'OD Plan'!AE15+'HDN Plan'!AE15+'KIN Plan'!AE15+'LE Plan'!AE15+'MER Plan'!AE15+'NDN Plan'!AE15+'SALT Plan'!AE15+'SDN Plan'!AE15+'SST Plan'!AE15+'WH Plan'!AE15+'FH Plan'!AE15</f>
        <v/>
      </c>
      <c r="AF15" s="16">
        <f>'ABA Plan'!AF15+'BK Plan'!AF15+'BW Plan'!AF15+'CED Plan'!AF15+'HAB Plan'!AF15+'HB Plan'!AF15+'OD Plan'!AF15+'HDN Plan'!AF15+'KIN Plan'!AF15+'LE Plan'!AF15+'MER Plan'!AF15+'NDN Plan'!AF15+'SALT Plan'!AF15+'SDN Plan'!AF15+'SST Plan'!AF15+'WH Plan'!AF15+'FH Plan'!AF15</f>
        <v/>
      </c>
      <c r="AG15" s="16">
        <f>'ABA Plan'!AG15+'BK Plan'!AG15+'BW Plan'!AG15+'CED Plan'!AG15+'HAB Plan'!AG15+'HB Plan'!AG15+'OD Plan'!AG15+'HDN Plan'!AG15+'KIN Plan'!AG15+'LE Plan'!AG15+'MER Plan'!AG15+'NDN Plan'!AG15+'SALT Plan'!AG15+'SDN Plan'!AG15+'SST Plan'!AG15+'WH Plan'!AG15+'FH Plan'!AG15</f>
        <v/>
      </c>
      <c r="AH15" s="16">
        <f>'ABA Plan'!AH15+'BK Plan'!AH15+'BW Plan'!AH15+'CED Plan'!AH15+'HAB Plan'!AH15+'HB Plan'!AH15+'OD Plan'!AH15+'HDN Plan'!AH15+'KIN Plan'!AH15+'LE Plan'!AH15+'MER Plan'!AH15+'NDN Plan'!AH15+'SALT Plan'!AH15+'SDN Plan'!AH15+'SST Plan'!AH15+'WH Plan'!AH15+'FH Plan'!AH15</f>
        <v/>
      </c>
      <c r="AI15" s="16">
        <f>'ABA Plan'!AI15+'BK Plan'!AI15+'BW Plan'!AI15+'CED Plan'!AI15+'HAB Plan'!AI15+'HB Plan'!AI15+'OD Plan'!AI15+'HDN Plan'!AI15+'KIN Plan'!AI15+'LE Plan'!AI15+'MER Plan'!AI15+'NDN Plan'!AI15+'SALT Plan'!AI15+'SDN Plan'!AI15+'SST Plan'!AI15+'WH Plan'!AI15+'FH Plan'!AI15</f>
        <v/>
      </c>
      <c r="AJ15" s="16">
        <f>'ABA Plan'!AJ15+'BK Plan'!AJ15+'BW Plan'!AJ15+'CED Plan'!AJ15+'HAB Plan'!AJ15+'HB Plan'!AJ15+'OD Plan'!AJ15+'HDN Plan'!AJ15+'KIN Plan'!AJ15+'LE Plan'!AJ15+'MER Plan'!AJ15+'NDN Plan'!AJ15+'SALT Plan'!AJ15+'SDN Plan'!AJ15+'SST Plan'!AJ15+'WH Plan'!AJ15+'FH Plan'!AJ15</f>
        <v/>
      </c>
      <c r="AK15" s="11">
        <f>IF(N15&lt;&gt;0,(AB15-N15)/ABS(N15),0)</f>
        <v/>
      </c>
      <c r="AL15" s="11">
        <f>IF(AB15&lt;&gt;0,(AJ15-AB15)/ABS(AB15),0)</f>
        <v/>
      </c>
    </row>
    <row r="16" ht="13" customHeight="1">
      <c r="A16" s="15" t="inlineStr">
        <is>
          <t xml:space="preserve">    Staff Welfare</t>
        </is>
      </c>
      <c r="B16" s="16">
        <f>'ABA Plan'!B16+'BK Plan'!B16+'BW Plan'!B16+'CED Plan'!B16+'HAB Plan'!B16+'HB Plan'!B16+'OD Plan'!B16+'HDN Plan'!B16+'KIN Plan'!B16+'LE Plan'!B16+'MER Plan'!B16+'NDN Plan'!B16+'SALT Plan'!B16+'SDN Plan'!B16+'SST Plan'!B16+'WH Plan'!B16+'FH Plan'!B16</f>
        <v/>
      </c>
      <c r="C16" s="16">
        <f>'ABA Plan'!C16+'BK Plan'!C16+'BW Plan'!C16+'CED Plan'!C16+'HAB Plan'!C16+'HB Plan'!C16+'OD Plan'!C16+'HDN Plan'!C16+'KIN Plan'!C16+'LE Plan'!C16+'MER Plan'!C16+'NDN Plan'!C16+'SALT Plan'!C16+'SDN Plan'!C16+'SST Plan'!C16+'WH Plan'!C16+'FH Plan'!C16</f>
        <v/>
      </c>
      <c r="D16" s="16">
        <f>'ABA Plan'!D16+'BK Plan'!D16+'BW Plan'!D16+'CED Plan'!D16+'HAB Plan'!D16+'HB Plan'!D16+'OD Plan'!D16+'HDN Plan'!D16+'KIN Plan'!D16+'LE Plan'!D16+'MER Plan'!D16+'NDN Plan'!D16+'SALT Plan'!D16+'SDN Plan'!D16+'SST Plan'!D16+'WH Plan'!D16+'FH Plan'!D16</f>
        <v/>
      </c>
      <c r="E16" s="16">
        <f>'ABA Plan'!E16+'BK Plan'!E16+'BW Plan'!E16+'CED Plan'!E16+'HAB Plan'!E16+'HB Plan'!E16+'OD Plan'!E16+'HDN Plan'!E16+'KIN Plan'!E16+'LE Plan'!E16+'MER Plan'!E16+'NDN Plan'!E16+'SALT Plan'!E16+'SDN Plan'!E16+'SST Plan'!E16+'WH Plan'!E16+'FH Plan'!E16</f>
        <v/>
      </c>
      <c r="F16" s="16">
        <f>'ABA Plan'!F16+'BK Plan'!F16+'BW Plan'!F16+'CED Plan'!F16+'HAB Plan'!F16+'HB Plan'!F16+'OD Plan'!F16+'HDN Plan'!F16+'KIN Plan'!F16+'LE Plan'!F16+'MER Plan'!F16+'NDN Plan'!F16+'SALT Plan'!F16+'SDN Plan'!F16+'SST Plan'!F16+'WH Plan'!F16+'FH Plan'!F16</f>
        <v/>
      </c>
      <c r="G16" s="16">
        <f>'ABA Plan'!G16+'BK Plan'!G16+'BW Plan'!G16+'CED Plan'!G16+'HAB Plan'!G16+'HB Plan'!G16+'OD Plan'!G16+'HDN Plan'!G16+'KIN Plan'!G16+'LE Plan'!G16+'MER Plan'!G16+'NDN Plan'!G16+'SALT Plan'!G16+'SDN Plan'!G16+'SST Plan'!G16+'WH Plan'!G16+'FH Plan'!G16</f>
        <v/>
      </c>
      <c r="H16" s="16">
        <f>'ABA Plan'!H16+'BK Plan'!H16+'BW Plan'!H16+'CED Plan'!H16+'HAB Plan'!H16+'HB Plan'!H16+'OD Plan'!H16+'HDN Plan'!H16+'KIN Plan'!H16+'LE Plan'!H16+'MER Plan'!H16+'NDN Plan'!H16+'SALT Plan'!H16+'SDN Plan'!H16+'SST Plan'!H16+'WH Plan'!H16+'FH Plan'!H16</f>
        <v/>
      </c>
      <c r="I16" s="16">
        <f>'ABA Plan'!I16+'BK Plan'!I16+'BW Plan'!I16+'CED Plan'!I16+'HAB Plan'!I16+'HB Plan'!I16+'OD Plan'!I16+'HDN Plan'!I16+'KIN Plan'!I16+'LE Plan'!I16+'MER Plan'!I16+'NDN Plan'!I16+'SALT Plan'!I16+'SDN Plan'!I16+'SST Plan'!I16+'WH Plan'!I16+'FH Plan'!I16</f>
        <v/>
      </c>
      <c r="J16" s="16">
        <f>'ABA Plan'!J16+'BK Plan'!J16+'BW Plan'!J16+'CED Plan'!J16+'HAB Plan'!J16+'HB Plan'!J16+'OD Plan'!J16+'HDN Plan'!J16+'KIN Plan'!J16+'LE Plan'!J16+'MER Plan'!J16+'NDN Plan'!J16+'SALT Plan'!J16+'SDN Plan'!J16+'SST Plan'!J16+'WH Plan'!J16+'FH Plan'!J16</f>
        <v/>
      </c>
      <c r="K16" s="16">
        <f>'ABA Plan'!K16+'BK Plan'!K16+'BW Plan'!K16+'CED Plan'!K16+'HAB Plan'!K16+'HB Plan'!K16+'OD Plan'!K16+'HDN Plan'!K16+'KIN Plan'!K16+'LE Plan'!K16+'MER Plan'!K16+'NDN Plan'!K16+'SALT Plan'!K16+'SDN Plan'!K16+'SST Plan'!K16+'WH Plan'!K16+'FH Plan'!K16</f>
        <v/>
      </c>
      <c r="L16" s="16">
        <f>'ABA Plan'!L16+'BK Plan'!L16+'BW Plan'!L16+'CED Plan'!L16+'HAB Plan'!L16+'HB Plan'!L16+'OD Plan'!L16+'HDN Plan'!L16+'KIN Plan'!L16+'LE Plan'!L16+'MER Plan'!L16+'NDN Plan'!L16+'SALT Plan'!L16+'SDN Plan'!L16+'SST Plan'!L16+'WH Plan'!L16+'FH Plan'!L16</f>
        <v/>
      </c>
      <c r="M16" s="16">
        <f>'ABA Plan'!M16+'BK Plan'!M16+'BW Plan'!M16+'CED Plan'!M16+'HAB Plan'!M16+'HB Plan'!M16+'OD Plan'!M16+'HDN Plan'!M16+'KIN Plan'!M16+'LE Plan'!M16+'MER Plan'!M16+'NDN Plan'!M16+'SALT Plan'!M16+'SDN Plan'!M16+'SST Plan'!M16+'WH Plan'!M16+'FH Plan'!M16</f>
        <v/>
      </c>
      <c r="N16" s="16">
        <f>'ABA Plan'!N16+'BK Plan'!N16+'BW Plan'!N16+'CED Plan'!N16+'HAB Plan'!N16+'HB Plan'!N16+'OD Plan'!N16+'HDN Plan'!N16+'KIN Plan'!N16+'LE Plan'!N16+'MER Plan'!N16+'NDN Plan'!N16+'SALT Plan'!N16+'SDN Plan'!N16+'SST Plan'!N16+'WH Plan'!N16+'FH Plan'!N16</f>
        <v/>
      </c>
      <c r="O16" s="16">
        <f>'ABA Plan'!O16+'BK Plan'!O16+'BW Plan'!O16+'CED Plan'!O16+'HAB Plan'!O16+'HB Plan'!O16+'OD Plan'!O16+'HDN Plan'!O16+'KIN Plan'!O16+'LE Plan'!O16+'MER Plan'!O16+'NDN Plan'!O16+'SALT Plan'!O16+'SDN Plan'!O16+'SST Plan'!O16+'WH Plan'!O16+'FH Plan'!O16</f>
        <v/>
      </c>
      <c r="P16" s="16">
        <f>'ABA Plan'!P16+'BK Plan'!P16+'BW Plan'!P16+'CED Plan'!P16+'HAB Plan'!P16+'HB Plan'!P16+'OD Plan'!P16+'HDN Plan'!P16+'KIN Plan'!P16+'LE Plan'!P16+'MER Plan'!P16+'NDN Plan'!P16+'SALT Plan'!P16+'SDN Plan'!P16+'SST Plan'!P16+'WH Plan'!P16+'FH Plan'!P16</f>
        <v/>
      </c>
      <c r="Q16" s="16">
        <f>'ABA Plan'!Q16+'BK Plan'!Q16+'BW Plan'!Q16+'CED Plan'!Q16+'HAB Plan'!Q16+'HB Plan'!Q16+'OD Plan'!Q16+'HDN Plan'!Q16+'KIN Plan'!Q16+'LE Plan'!Q16+'MER Plan'!Q16+'NDN Plan'!Q16+'SALT Plan'!Q16+'SDN Plan'!Q16+'SST Plan'!Q16+'WH Plan'!Q16+'FH Plan'!Q16</f>
        <v/>
      </c>
      <c r="R16" s="16">
        <f>'ABA Plan'!R16+'BK Plan'!R16+'BW Plan'!R16+'CED Plan'!R16+'HAB Plan'!R16+'HB Plan'!R16+'OD Plan'!R16+'HDN Plan'!R16+'KIN Plan'!R16+'LE Plan'!R16+'MER Plan'!R16+'NDN Plan'!R16+'SALT Plan'!R16+'SDN Plan'!R16+'SST Plan'!R16+'WH Plan'!R16+'FH Plan'!R16</f>
        <v/>
      </c>
      <c r="S16" s="16">
        <f>'ABA Plan'!S16+'BK Plan'!S16+'BW Plan'!S16+'CED Plan'!S16+'HAB Plan'!S16+'HB Plan'!S16+'OD Plan'!S16+'HDN Plan'!S16+'KIN Plan'!S16+'LE Plan'!S16+'MER Plan'!S16+'NDN Plan'!S16+'SALT Plan'!S16+'SDN Plan'!S16+'SST Plan'!S16+'WH Plan'!S16+'FH Plan'!S16</f>
        <v/>
      </c>
      <c r="T16" s="16">
        <f>'ABA Plan'!T16+'BK Plan'!T16+'BW Plan'!T16+'CED Plan'!T16+'HAB Plan'!T16+'HB Plan'!T16+'OD Plan'!T16+'HDN Plan'!T16+'KIN Plan'!T16+'LE Plan'!T16+'MER Plan'!T16+'NDN Plan'!T16+'SALT Plan'!T16+'SDN Plan'!T16+'SST Plan'!T16+'WH Plan'!T16+'FH Plan'!T16</f>
        <v/>
      </c>
      <c r="U16" s="16">
        <f>'ABA Plan'!U16+'BK Plan'!U16+'BW Plan'!U16+'CED Plan'!U16+'HAB Plan'!U16+'HB Plan'!U16+'OD Plan'!U16+'HDN Plan'!U16+'KIN Plan'!U16+'LE Plan'!U16+'MER Plan'!U16+'NDN Plan'!U16+'SALT Plan'!U16+'SDN Plan'!U16+'SST Plan'!U16+'WH Plan'!U16+'FH Plan'!U16</f>
        <v/>
      </c>
      <c r="V16" s="16">
        <f>'ABA Plan'!V16+'BK Plan'!V16+'BW Plan'!V16+'CED Plan'!V16+'HAB Plan'!V16+'HB Plan'!V16+'OD Plan'!V16+'HDN Plan'!V16+'KIN Plan'!V16+'LE Plan'!V16+'MER Plan'!V16+'NDN Plan'!V16+'SALT Plan'!V16+'SDN Plan'!V16+'SST Plan'!V16+'WH Plan'!V16+'FH Plan'!V16</f>
        <v/>
      </c>
      <c r="W16" s="16">
        <f>'ABA Plan'!W16+'BK Plan'!W16+'BW Plan'!W16+'CED Plan'!W16+'HAB Plan'!W16+'HB Plan'!W16+'OD Plan'!W16+'HDN Plan'!W16+'KIN Plan'!W16+'LE Plan'!W16+'MER Plan'!W16+'NDN Plan'!W16+'SALT Plan'!W16+'SDN Plan'!W16+'SST Plan'!W16+'WH Plan'!W16+'FH Plan'!W16</f>
        <v/>
      </c>
      <c r="X16" s="16">
        <f>'ABA Plan'!X16+'BK Plan'!X16+'BW Plan'!X16+'CED Plan'!X16+'HAB Plan'!X16+'HB Plan'!X16+'OD Plan'!X16+'HDN Plan'!X16+'KIN Plan'!X16+'LE Plan'!X16+'MER Plan'!X16+'NDN Plan'!X16+'SALT Plan'!X16+'SDN Plan'!X16+'SST Plan'!X16+'WH Plan'!X16+'FH Plan'!X16</f>
        <v/>
      </c>
      <c r="Y16" s="16">
        <f>'ABA Plan'!Y16+'BK Plan'!Y16+'BW Plan'!Y16+'CED Plan'!Y16+'HAB Plan'!Y16+'HB Plan'!Y16+'OD Plan'!Y16+'HDN Plan'!Y16+'KIN Plan'!Y16+'LE Plan'!Y16+'MER Plan'!Y16+'NDN Plan'!Y16+'SALT Plan'!Y16+'SDN Plan'!Y16+'SST Plan'!Y16+'WH Plan'!Y16+'FH Plan'!Y16</f>
        <v/>
      </c>
      <c r="Z16" s="16">
        <f>'ABA Plan'!Z16+'BK Plan'!Z16+'BW Plan'!Z16+'CED Plan'!Z16+'HAB Plan'!Z16+'HB Plan'!Z16+'OD Plan'!Z16+'HDN Plan'!Z16+'KIN Plan'!Z16+'LE Plan'!Z16+'MER Plan'!Z16+'NDN Plan'!Z16+'SALT Plan'!Z16+'SDN Plan'!Z16+'SST Plan'!Z16+'WH Plan'!Z16+'FH Plan'!Z16</f>
        <v/>
      </c>
      <c r="AA16" s="16">
        <f>'ABA Plan'!AA16+'BK Plan'!AA16+'BW Plan'!AA16+'CED Plan'!AA16+'HAB Plan'!AA16+'HB Plan'!AA16+'OD Plan'!AA16+'HDN Plan'!AA16+'KIN Plan'!AA16+'LE Plan'!AA16+'MER Plan'!AA16+'NDN Plan'!AA16+'SALT Plan'!AA16+'SDN Plan'!AA16+'SST Plan'!AA16+'WH Plan'!AA16+'FH Plan'!AA16</f>
        <v/>
      </c>
      <c r="AB16" s="16">
        <f>'ABA Plan'!AB16+'BK Plan'!AB16+'BW Plan'!AB16+'CED Plan'!AB16+'HAB Plan'!AB16+'HB Plan'!AB16+'OD Plan'!AB16+'HDN Plan'!AB16+'KIN Plan'!AB16+'LE Plan'!AB16+'MER Plan'!AB16+'NDN Plan'!AB16+'SALT Plan'!AB16+'SDN Plan'!AB16+'SST Plan'!AB16+'WH Plan'!AB16+'FH Plan'!AB16</f>
        <v/>
      </c>
      <c r="AC16" s="16">
        <f>'ABA Plan'!AC16+'BK Plan'!AC16+'BW Plan'!AC16+'CED Plan'!AC16+'HAB Plan'!AC16+'HB Plan'!AC16+'OD Plan'!AC16+'HDN Plan'!AC16+'KIN Plan'!AC16+'LE Plan'!AC16+'MER Plan'!AC16+'NDN Plan'!AC16+'SALT Plan'!AC16+'SDN Plan'!AC16+'SST Plan'!AC16+'WH Plan'!AC16+'FH Plan'!AC16</f>
        <v/>
      </c>
      <c r="AD16" s="16">
        <f>'ABA Plan'!AD16+'BK Plan'!AD16+'BW Plan'!AD16+'CED Plan'!AD16+'HAB Plan'!AD16+'HB Plan'!AD16+'OD Plan'!AD16+'HDN Plan'!AD16+'KIN Plan'!AD16+'LE Plan'!AD16+'MER Plan'!AD16+'NDN Plan'!AD16+'SALT Plan'!AD16+'SDN Plan'!AD16+'SST Plan'!AD16+'WH Plan'!AD16+'FH Plan'!AD16</f>
        <v/>
      </c>
      <c r="AE16" s="16">
        <f>'ABA Plan'!AE16+'BK Plan'!AE16+'BW Plan'!AE16+'CED Plan'!AE16+'HAB Plan'!AE16+'HB Plan'!AE16+'OD Plan'!AE16+'HDN Plan'!AE16+'KIN Plan'!AE16+'LE Plan'!AE16+'MER Plan'!AE16+'NDN Plan'!AE16+'SALT Plan'!AE16+'SDN Plan'!AE16+'SST Plan'!AE16+'WH Plan'!AE16+'FH Plan'!AE16</f>
        <v/>
      </c>
      <c r="AF16" s="16">
        <f>'ABA Plan'!AF16+'BK Plan'!AF16+'BW Plan'!AF16+'CED Plan'!AF16+'HAB Plan'!AF16+'HB Plan'!AF16+'OD Plan'!AF16+'HDN Plan'!AF16+'KIN Plan'!AF16+'LE Plan'!AF16+'MER Plan'!AF16+'NDN Plan'!AF16+'SALT Plan'!AF16+'SDN Plan'!AF16+'SST Plan'!AF16+'WH Plan'!AF16+'FH Plan'!AF16</f>
        <v/>
      </c>
      <c r="AG16" s="16">
        <f>'ABA Plan'!AG16+'BK Plan'!AG16+'BW Plan'!AG16+'CED Plan'!AG16+'HAB Plan'!AG16+'HB Plan'!AG16+'OD Plan'!AG16+'HDN Plan'!AG16+'KIN Plan'!AG16+'LE Plan'!AG16+'MER Plan'!AG16+'NDN Plan'!AG16+'SALT Plan'!AG16+'SDN Plan'!AG16+'SST Plan'!AG16+'WH Plan'!AG16+'FH Plan'!AG16</f>
        <v/>
      </c>
      <c r="AH16" s="16">
        <f>'ABA Plan'!AH16+'BK Plan'!AH16+'BW Plan'!AH16+'CED Plan'!AH16+'HAB Plan'!AH16+'HB Plan'!AH16+'OD Plan'!AH16+'HDN Plan'!AH16+'KIN Plan'!AH16+'LE Plan'!AH16+'MER Plan'!AH16+'NDN Plan'!AH16+'SALT Plan'!AH16+'SDN Plan'!AH16+'SST Plan'!AH16+'WH Plan'!AH16+'FH Plan'!AH16</f>
        <v/>
      </c>
      <c r="AI16" s="16">
        <f>'ABA Plan'!AI16+'BK Plan'!AI16+'BW Plan'!AI16+'CED Plan'!AI16+'HAB Plan'!AI16+'HB Plan'!AI16+'OD Plan'!AI16+'HDN Plan'!AI16+'KIN Plan'!AI16+'LE Plan'!AI16+'MER Plan'!AI16+'NDN Plan'!AI16+'SALT Plan'!AI16+'SDN Plan'!AI16+'SST Plan'!AI16+'WH Plan'!AI16+'FH Plan'!AI16</f>
        <v/>
      </c>
      <c r="AJ16" s="16">
        <f>'ABA Plan'!AJ16+'BK Plan'!AJ16+'BW Plan'!AJ16+'CED Plan'!AJ16+'HAB Plan'!AJ16+'HB Plan'!AJ16+'OD Plan'!AJ16+'HDN Plan'!AJ16+'KIN Plan'!AJ16+'LE Plan'!AJ16+'MER Plan'!AJ16+'NDN Plan'!AJ16+'SALT Plan'!AJ16+'SDN Plan'!AJ16+'SST Plan'!AJ16+'WH Plan'!AJ16+'FH Plan'!AJ16</f>
        <v/>
      </c>
      <c r="AK16" s="11">
        <f>IF(N16&lt;&gt;0,(AB16-N16)/ABS(N16),0)</f>
        <v/>
      </c>
      <c r="AL16" s="11">
        <f>IF(AB16&lt;&gt;0,(AJ16-AB16)/ABS(AB16),0)</f>
        <v/>
      </c>
    </row>
    <row r="17" ht="13" customHeight="1">
      <c r="A17" s="15" t="inlineStr">
        <is>
          <t xml:space="preserve">    Recruitment</t>
        </is>
      </c>
      <c r="B17" s="16">
        <f>'ABA Plan'!B17+'BK Plan'!B17+'BW Plan'!B17+'CED Plan'!B17+'HAB Plan'!B17+'HB Plan'!B17+'OD Plan'!B17+'HDN Plan'!B17+'KIN Plan'!B17+'LE Plan'!B17+'MER Plan'!B17+'NDN Plan'!B17+'SALT Plan'!B17+'SDN Plan'!B17+'SST Plan'!B17+'WH Plan'!B17+'FH Plan'!B17</f>
        <v/>
      </c>
      <c r="C17" s="16">
        <f>'ABA Plan'!C17+'BK Plan'!C17+'BW Plan'!C17+'CED Plan'!C17+'HAB Plan'!C17+'HB Plan'!C17+'OD Plan'!C17+'HDN Plan'!C17+'KIN Plan'!C17+'LE Plan'!C17+'MER Plan'!C17+'NDN Plan'!C17+'SALT Plan'!C17+'SDN Plan'!C17+'SST Plan'!C17+'WH Plan'!C17+'FH Plan'!C17</f>
        <v/>
      </c>
      <c r="D17" s="16">
        <f>'ABA Plan'!D17+'BK Plan'!D17+'BW Plan'!D17+'CED Plan'!D17+'HAB Plan'!D17+'HB Plan'!D17+'OD Plan'!D17+'HDN Plan'!D17+'KIN Plan'!D17+'LE Plan'!D17+'MER Plan'!D17+'NDN Plan'!D17+'SALT Plan'!D17+'SDN Plan'!D17+'SST Plan'!D17+'WH Plan'!D17+'FH Plan'!D17</f>
        <v/>
      </c>
      <c r="E17" s="16">
        <f>'ABA Plan'!E17+'BK Plan'!E17+'BW Plan'!E17+'CED Plan'!E17+'HAB Plan'!E17+'HB Plan'!E17+'OD Plan'!E17+'HDN Plan'!E17+'KIN Plan'!E17+'LE Plan'!E17+'MER Plan'!E17+'NDN Plan'!E17+'SALT Plan'!E17+'SDN Plan'!E17+'SST Plan'!E17+'WH Plan'!E17+'FH Plan'!E17</f>
        <v/>
      </c>
      <c r="F17" s="16">
        <f>'ABA Plan'!F17+'BK Plan'!F17+'BW Plan'!F17+'CED Plan'!F17+'HAB Plan'!F17+'HB Plan'!F17+'OD Plan'!F17+'HDN Plan'!F17+'KIN Plan'!F17+'LE Plan'!F17+'MER Plan'!F17+'NDN Plan'!F17+'SALT Plan'!F17+'SDN Plan'!F17+'SST Plan'!F17+'WH Plan'!F17+'FH Plan'!F17</f>
        <v/>
      </c>
      <c r="G17" s="16">
        <f>'ABA Plan'!G17+'BK Plan'!G17+'BW Plan'!G17+'CED Plan'!G17+'HAB Plan'!G17+'HB Plan'!G17+'OD Plan'!G17+'HDN Plan'!G17+'KIN Plan'!G17+'LE Plan'!G17+'MER Plan'!G17+'NDN Plan'!G17+'SALT Plan'!G17+'SDN Plan'!G17+'SST Plan'!G17+'WH Plan'!G17+'FH Plan'!G17</f>
        <v/>
      </c>
      <c r="H17" s="16">
        <f>'ABA Plan'!H17+'BK Plan'!H17+'BW Plan'!H17+'CED Plan'!H17+'HAB Plan'!H17+'HB Plan'!H17+'OD Plan'!H17+'HDN Plan'!H17+'KIN Plan'!H17+'LE Plan'!H17+'MER Plan'!H17+'NDN Plan'!H17+'SALT Plan'!H17+'SDN Plan'!H17+'SST Plan'!H17+'WH Plan'!H17+'FH Plan'!H17</f>
        <v/>
      </c>
      <c r="I17" s="16">
        <f>'ABA Plan'!I17+'BK Plan'!I17+'BW Plan'!I17+'CED Plan'!I17+'HAB Plan'!I17+'HB Plan'!I17+'OD Plan'!I17+'HDN Plan'!I17+'KIN Plan'!I17+'LE Plan'!I17+'MER Plan'!I17+'NDN Plan'!I17+'SALT Plan'!I17+'SDN Plan'!I17+'SST Plan'!I17+'WH Plan'!I17+'FH Plan'!I17</f>
        <v/>
      </c>
      <c r="J17" s="16">
        <f>'ABA Plan'!J17+'BK Plan'!J17+'BW Plan'!J17+'CED Plan'!J17+'HAB Plan'!J17+'HB Plan'!J17+'OD Plan'!J17+'HDN Plan'!J17+'KIN Plan'!J17+'LE Plan'!J17+'MER Plan'!J17+'NDN Plan'!J17+'SALT Plan'!J17+'SDN Plan'!J17+'SST Plan'!J17+'WH Plan'!J17+'FH Plan'!J17</f>
        <v/>
      </c>
      <c r="K17" s="16">
        <f>'ABA Plan'!K17+'BK Plan'!K17+'BW Plan'!K17+'CED Plan'!K17+'HAB Plan'!K17+'HB Plan'!K17+'OD Plan'!K17+'HDN Plan'!K17+'KIN Plan'!K17+'LE Plan'!K17+'MER Plan'!K17+'NDN Plan'!K17+'SALT Plan'!K17+'SDN Plan'!K17+'SST Plan'!K17+'WH Plan'!K17+'FH Plan'!K17</f>
        <v/>
      </c>
      <c r="L17" s="16">
        <f>'ABA Plan'!L17+'BK Plan'!L17+'BW Plan'!L17+'CED Plan'!L17+'HAB Plan'!L17+'HB Plan'!L17+'OD Plan'!L17+'HDN Plan'!L17+'KIN Plan'!L17+'LE Plan'!L17+'MER Plan'!L17+'NDN Plan'!L17+'SALT Plan'!L17+'SDN Plan'!L17+'SST Plan'!L17+'WH Plan'!L17+'FH Plan'!L17</f>
        <v/>
      </c>
      <c r="M17" s="16">
        <f>'ABA Plan'!M17+'BK Plan'!M17+'BW Plan'!M17+'CED Plan'!M17+'HAB Plan'!M17+'HB Plan'!M17+'OD Plan'!M17+'HDN Plan'!M17+'KIN Plan'!M17+'LE Plan'!M17+'MER Plan'!M17+'NDN Plan'!M17+'SALT Plan'!M17+'SDN Plan'!M17+'SST Plan'!M17+'WH Plan'!M17+'FH Plan'!M17</f>
        <v/>
      </c>
      <c r="N17" s="16">
        <f>'ABA Plan'!N17+'BK Plan'!N17+'BW Plan'!N17+'CED Plan'!N17+'HAB Plan'!N17+'HB Plan'!N17+'OD Plan'!N17+'HDN Plan'!N17+'KIN Plan'!N17+'LE Plan'!N17+'MER Plan'!N17+'NDN Plan'!N17+'SALT Plan'!N17+'SDN Plan'!N17+'SST Plan'!N17+'WH Plan'!N17+'FH Plan'!N17</f>
        <v/>
      </c>
      <c r="O17" s="16">
        <f>'ABA Plan'!O17+'BK Plan'!O17+'BW Plan'!O17+'CED Plan'!O17+'HAB Plan'!O17+'HB Plan'!O17+'OD Plan'!O17+'HDN Plan'!O17+'KIN Plan'!O17+'LE Plan'!O17+'MER Plan'!O17+'NDN Plan'!O17+'SALT Plan'!O17+'SDN Plan'!O17+'SST Plan'!O17+'WH Plan'!O17+'FH Plan'!O17</f>
        <v/>
      </c>
      <c r="P17" s="16">
        <f>'ABA Plan'!P17+'BK Plan'!P17+'BW Plan'!P17+'CED Plan'!P17+'HAB Plan'!P17+'HB Plan'!P17+'OD Plan'!P17+'HDN Plan'!P17+'KIN Plan'!P17+'LE Plan'!P17+'MER Plan'!P17+'NDN Plan'!P17+'SALT Plan'!P17+'SDN Plan'!P17+'SST Plan'!P17+'WH Plan'!P17+'FH Plan'!P17</f>
        <v/>
      </c>
      <c r="Q17" s="16">
        <f>'ABA Plan'!Q17+'BK Plan'!Q17+'BW Plan'!Q17+'CED Plan'!Q17+'HAB Plan'!Q17+'HB Plan'!Q17+'OD Plan'!Q17+'HDN Plan'!Q17+'KIN Plan'!Q17+'LE Plan'!Q17+'MER Plan'!Q17+'NDN Plan'!Q17+'SALT Plan'!Q17+'SDN Plan'!Q17+'SST Plan'!Q17+'WH Plan'!Q17+'FH Plan'!Q17</f>
        <v/>
      </c>
      <c r="R17" s="16">
        <f>'ABA Plan'!R17+'BK Plan'!R17+'BW Plan'!R17+'CED Plan'!R17+'HAB Plan'!R17+'HB Plan'!R17+'OD Plan'!R17+'HDN Plan'!R17+'KIN Plan'!R17+'LE Plan'!R17+'MER Plan'!R17+'NDN Plan'!R17+'SALT Plan'!R17+'SDN Plan'!R17+'SST Plan'!R17+'WH Plan'!R17+'FH Plan'!R17</f>
        <v/>
      </c>
      <c r="S17" s="16">
        <f>'ABA Plan'!S17+'BK Plan'!S17+'BW Plan'!S17+'CED Plan'!S17+'HAB Plan'!S17+'HB Plan'!S17+'OD Plan'!S17+'HDN Plan'!S17+'KIN Plan'!S17+'LE Plan'!S17+'MER Plan'!S17+'NDN Plan'!S17+'SALT Plan'!S17+'SDN Plan'!S17+'SST Plan'!S17+'WH Plan'!S17+'FH Plan'!S17</f>
        <v/>
      </c>
      <c r="T17" s="16">
        <f>'ABA Plan'!T17+'BK Plan'!T17+'BW Plan'!T17+'CED Plan'!T17+'HAB Plan'!T17+'HB Plan'!T17+'OD Plan'!T17+'HDN Plan'!T17+'KIN Plan'!T17+'LE Plan'!T17+'MER Plan'!T17+'NDN Plan'!T17+'SALT Plan'!T17+'SDN Plan'!T17+'SST Plan'!T17+'WH Plan'!T17+'FH Plan'!T17</f>
        <v/>
      </c>
      <c r="U17" s="16">
        <f>'ABA Plan'!U17+'BK Plan'!U17+'BW Plan'!U17+'CED Plan'!U17+'HAB Plan'!U17+'HB Plan'!U17+'OD Plan'!U17+'HDN Plan'!U17+'KIN Plan'!U17+'LE Plan'!U17+'MER Plan'!U17+'NDN Plan'!U17+'SALT Plan'!U17+'SDN Plan'!U17+'SST Plan'!U17+'WH Plan'!U17+'FH Plan'!U17</f>
        <v/>
      </c>
      <c r="V17" s="16">
        <f>'ABA Plan'!V17+'BK Plan'!V17+'BW Plan'!V17+'CED Plan'!V17+'HAB Plan'!V17+'HB Plan'!V17+'OD Plan'!V17+'HDN Plan'!V17+'KIN Plan'!V17+'LE Plan'!V17+'MER Plan'!V17+'NDN Plan'!V17+'SALT Plan'!V17+'SDN Plan'!V17+'SST Plan'!V17+'WH Plan'!V17+'FH Plan'!V17</f>
        <v/>
      </c>
      <c r="W17" s="16">
        <f>'ABA Plan'!W17+'BK Plan'!W17+'BW Plan'!W17+'CED Plan'!W17+'HAB Plan'!W17+'HB Plan'!W17+'OD Plan'!W17+'HDN Plan'!W17+'KIN Plan'!W17+'LE Plan'!W17+'MER Plan'!W17+'NDN Plan'!W17+'SALT Plan'!W17+'SDN Plan'!W17+'SST Plan'!W17+'WH Plan'!W17+'FH Plan'!W17</f>
        <v/>
      </c>
      <c r="X17" s="16">
        <f>'ABA Plan'!X17+'BK Plan'!X17+'BW Plan'!X17+'CED Plan'!X17+'HAB Plan'!X17+'HB Plan'!X17+'OD Plan'!X17+'HDN Plan'!X17+'KIN Plan'!X17+'LE Plan'!X17+'MER Plan'!X17+'NDN Plan'!X17+'SALT Plan'!X17+'SDN Plan'!X17+'SST Plan'!X17+'WH Plan'!X17+'FH Plan'!X17</f>
        <v/>
      </c>
      <c r="Y17" s="16">
        <f>'ABA Plan'!Y17+'BK Plan'!Y17+'BW Plan'!Y17+'CED Plan'!Y17+'HAB Plan'!Y17+'HB Plan'!Y17+'OD Plan'!Y17+'HDN Plan'!Y17+'KIN Plan'!Y17+'LE Plan'!Y17+'MER Plan'!Y17+'NDN Plan'!Y17+'SALT Plan'!Y17+'SDN Plan'!Y17+'SST Plan'!Y17+'WH Plan'!Y17+'FH Plan'!Y17</f>
        <v/>
      </c>
      <c r="Z17" s="16">
        <f>'ABA Plan'!Z17+'BK Plan'!Z17+'BW Plan'!Z17+'CED Plan'!Z17+'HAB Plan'!Z17+'HB Plan'!Z17+'OD Plan'!Z17+'HDN Plan'!Z17+'KIN Plan'!Z17+'LE Plan'!Z17+'MER Plan'!Z17+'NDN Plan'!Z17+'SALT Plan'!Z17+'SDN Plan'!Z17+'SST Plan'!Z17+'WH Plan'!Z17+'FH Plan'!Z17</f>
        <v/>
      </c>
      <c r="AA17" s="16">
        <f>'ABA Plan'!AA17+'BK Plan'!AA17+'BW Plan'!AA17+'CED Plan'!AA17+'HAB Plan'!AA17+'HB Plan'!AA17+'OD Plan'!AA17+'HDN Plan'!AA17+'KIN Plan'!AA17+'LE Plan'!AA17+'MER Plan'!AA17+'NDN Plan'!AA17+'SALT Plan'!AA17+'SDN Plan'!AA17+'SST Plan'!AA17+'WH Plan'!AA17+'FH Plan'!AA17</f>
        <v/>
      </c>
      <c r="AB17" s="16">
        <f>'ABA Plan'!AB17+'BK Plan'!AB17+'BW Plan'!AB17+'CED Plan'!AB17+'HAB Plan'!AB17+'HB Plan'!AB17+'OD Plan'!AB17+'HDN Plan'!AB17+'KIN Plan'!AB17+'LE Plan'!AB17+'MER Plan'!AB17+'NDN Plan'!AB17+'SALT Plan'!AB17+'SDN Plan'!AB17+'SST Plan'!AB17+'WH Plan'!AB17+'FH Plan'!AB17</f>
        <v/>
      </c>
      <c r="AC17" s="16">
        <f>'ABA Plan'!AC17+'BK Plan'!AC17+'BW Plan'!AC17+'CED Plan'!AC17+'HAB Plan'!AC17+'HB Plan'!AC17+'OD Plan'!AC17+'HDN Plan'!AC17+'KIN Plan'!AC17+'LE Plan'!AC17+'MER Plan'!AC17+'NDN Plan'!AC17+'SALT Plan'!AC17+'SDN Plan'!AC17+'SST Plan'!AC17+'WH Plan'!AC17+'FH Plan'!AC17</f>
        <v/>
      </c>
      <c r="AD17" s="16">
        <f>'ABA Plan'!AD17+'BK Plan'!AD17+'BW Plan'!AD17+'CED Plan'!AD17+'HAB Plan'!AD17+'HB Plan'!AD17+'OD Plan'!AD17+'HDN Plan'!AD17+'KIN Plan'!AD17+'LE Plan'!AD17+'MER Plan'!AD17+'NDN Plan'!AD17+'SALT Plan'!AD17+'SDN Plan'!AD17+'SST Plan'!AD17+'WH Plan'!AD17+'FH Plan'!AD17</f>
        <v/>
      </c>
      <c r="AE17" s="16">
        <f>'ABA Plan'!AE17+'BK Plan'!AE17+'BW Plan'!AE17+'CED Plan'!AE17+'HAB Plan'!AE17+'HB Plan'!AE17+'OD Plan'!AE17+'HDN Plan'!AE17+'KIN Plan'!AE17+'LE Plan'!AE17+'MER Plan'!AE17+'NDN Plan'!AE17+'SALT Plan'!AE17+'SDN Plan'!AE17+'SST Plan'!AE17+'WH Plan'!AE17+'FH Plan'!AE17</f>
        <v/>
      </c>
      <c r="AF17" s="16">
        <f>'ABA Plan'!AF17+'BK Plan'!AF17+'BW Plan'!AF17+'CED Plan'!AF17+'HAB Plan'!AF17+'HB Plan'!AF17+'OD Plan'!AF17+'HDN Plan'!AF17+'KIN Plan'!AF17+'LE Plan'!AF17+'MER Plan'!AF17+'NDN Plan'!AF17+'SALT Plan'!AF17+'SDN Plan'!AF17+'SST Plan'!AF17+'WH Plan'!AF17+'FH Plan'!AF17</f>
        <v/>
      </c>
      <c r="AG17" s="16">
        <f>'ABA Plan'!AG17+'BK Plan'!AG17+'BW Plan'!AG17+'CED Plan'!AG17+'HAB Plan'!AG17+'HB Plan'!AG17+'OD Plan'!AG17+'HDN Plan'!AG17+'KIN Plan'!AG17+'LE Plan'!AG17+'MER Plan'!AG17+'NDN Plan'!AG17+'SALT Plan'!AG17+'SDN Plan'!AG17+'SST Plan'!AG17+'WH Plan'!AG17+'FH Plan'!AG17</f>
        <v/>
      </c>
      <c r="AH17" s="16">
        <f>'ABA Plan'!AH17+'BK Plan'!AH17+'BW Plan'!AH17+'CED Plan'!AH17+'HAB Plan'!AH17+'HB Plan'!AH17+'OD Plan'!AH17+'HDN Plan'!AH17+'KIN Plan'!AH17+'LE Plan'!AH17+'MER Plan'!AH17+'NDN Plan'!AH17+'SALT Plan'!AH17+'SDN Plan'!AH17+'SST Plan'!AH17+'WH Plan'!AH17+'FH Plan'!AH17</f>
        <v/>
      </c>
      <c r="AI17" s="16">
        <f>'ABA Plan'!AI17+'BK Plan'!AI17+'BW Plan'!AI17+'CED Plan'!AI17+'HAB Plan'!AI17+'HB Plan'!AI17+'OD Plan'!AI17+'HDN Plan'!AI17+'KIN Plan'!AI17+'LE Plan'!AI17+'MER Plan'!AI17+'NDN Plan'!AI17+'SALT Plan'!AI17+'SDN Plan'!AI17+'SST Plan'!AI17+'WH Plan'!AI17+'FH Plan'!AI17</f>
        <v/>
      </c>
      <c r="AJ17" s="16">
        <f>'ABA Plan'!AJ17+'BK Plan'!AJ17+'BW Plan'!AJ17+'CED Plan'!AJ17+'HAB Plan'!AJ17+'HB Plan'!AJ17+'OD Plan'!AJ17+'HDN Plan'!AJ17+'KIN Plan'!AJ17+'LE Plan'!AJ17+'MER Plan'!AJ17+'NDN Plan'!AJ17+'SALT Plan'!AJ17+'SDN Plan'!AJ17+'SST Plan'!AJ17+'WH Plan'!AJ17+'FH Plan'!AJ17</f>
        <v/>
      </c>
      <c r="AK17" s="11">
        <f>IF(N17&lt;&gt;0,(AB17-N17)/ABS(N17),0)</f>
        <v/>
      </c>
      <c r="AL17" s="11">
        <f>IF(AB17&lt;&gt;0,(AJ17-AB17)/ABS(AB17),0)</f>
        <v/>
      </c>
    </row>
    <row r="18" ht="13" customHeight="1">
      <c r="A18" s="15" t="inlineStr">
        <is>
          <t xml:space="preserve">    Rewards &amp; Recognition</t>
        </is>
      </c>
      <c r="B18" s="16">
        <f>'ABA Plan'!B18+'BK Plan'!B18+'BW Plan'!B18+'CED Plan'!B18+'HAB Plan'!B18+'HB Plan'!B18+'OD Plan'!B18+'HDN Plan'!B18+'KIN Plan'!B18+'LE Plan'!B18+'MER Plan'!B18+'NDN Plan'!B18+'SALT Plan'!B18+'SDN Plan'!B18+'SST Plan'!B18+'WH Plan'!B18+'FH Plan'!B18</f>
        <v/>
      </c>
      <c r="C18" s="16">
        <f>'ABA Plan'!C18+'BK Plan'!C18+'BW Plan'!C18+'CED Plan'!C18+'HAB Plan'!C18+'HB Plan'!C18+'OD Plan'!C18+'HDN Plan'!C18+'KIN Plan'!C18+'LE Plan'!C18+'MER Plan'!C18+'NDN Plan'!C18+'SALT Plan'!C18+'SDN Plan'!C18+'SST Plan'!C18+'WH Plan'!C18+'FH Plan'!C18</f>
        <v/>
      </c>
      <c r="D18" s="16">
        <f>'ABA Plan'!D18+'BK Plan'!D18+'BW Plan'!D18+'CED Plan'!D18+'HAB Plan'!D18+'HB Plan'!D18+'OD Plan'!D18+'HDN Plan'!D18+'KIN Plan'!D18+'LE Plan'!D18+'MER Plan'!D18+'NDN Plan'!D18+'SALT Plan'!D18+'SDN Plan'!D18+'SST Plan'!D18+'WH Plan'!D18+'FH Plan'!D18</f>
        <v/>
      </c>
      <c r="E18" s="16">
        <f>'ABA Plan'!E18+'BK Plan'!E18+'BW Plan'!E18+'CED Plan'!E18+'HAB Plan'!E18+'HB Plan'!E18+'OD Plan'!E18+'HDN Plan'!E18+'KIN Plan'!E18+'LE Plan'!E18+'MER Plan'!E18+'NDN Plan'!E18+'SALT Plan'!E18+'SDN Plan'!E18+'SST Plan'!E18+'WH Plan'!E18+'FH Plan'!E18</f>
        <v/>
      </c>
      <c r="F18" s="16">
        <f>'ABA Plan'!F18+'BK Plan'!F18+'BW Plan'!F18+'CED Plan'!F18+'HAB Plan'!F18+'HB Plan'!F18+'OD Plan'!F18+'HDN Plan'!F18+'KIN Plan'!F18+'LE Plan'!F18+'MER Plan'!F18+'NDN Plan'!F18+'SALT Plan'!F18+'SDN Plan'!F18+'SST Plan'!F18+'WH Plan'!F18+'FH Plan'!F18</f>
        <v/>
      </c>
      <c r="G18" s="16">
        <f>'ABA Plan'!G18+'BK Plan'!G18+'BW Plan'!G18+'CED Plan'!G18+'HAB Plan'!G18+'HB Plan'!G18+'OD Plan'!G18+'HDN Plan'!G18+'KIN Plan'!G18+'LE Plan'!G18+'MER Plan'!G18+'NDN Plan'!G18+'SALT Plan'!G18+'SDN Plan'!G18+'SST Plan'!G18+'WH Plan'!G18+'FH Plan'!G18</f>
        <v/>
      </c>
      <c r="H18" s="16">
        <f>'ABA Plan'!H18+'BK Plan'!H18+'BW Plan'!H18+'CED Plan'!H18+'HAB Plan'!H18+'HB Plan'!H18+'OD Plan'!H18+'HDN Plan'!H18+'KIN Plan'!H18+'LE Plan'!H18+'MER Plan'!H18+'NDN Plan'!H18+'SALT Plan'!H18+'SDN Plan'!H18+'SST Plan'!H18+'WH Plan'!H18+'FH Plan'!H18</f>
        <v/>
      </c>
      <c r="I18" s="16">
        <f>'ABA Plan'!I18+'BK Plan'!I18+'BW Plan'!I18+'CED Plan'!I18+'HAB Plan'!I18+'HB Plan'!I18+'OD Plan'!I18+'HDN Plan'!I18+'KIN Plan'!I18+'LE Plan'!I18+'MER Plan'!I18+'NDN Plan'!I18+'SALT Plan'!I18+'SDN Plan'!I18+'SST Plan'!I18+'WH Plan'!I18+'FH Plan'!I18</f>
        <v/>
      </c>
      <c r="J18" s="16">
        <f>'ABA Plan'!J18+'BK Plan'!J18+'BW Plan'!J18+'CED Plan'!J18+'HAB Plan'!J18+'HB Plan'!J18+'OD Plan'!J18+'HDN Plan'!J18+'KIN Plan'!J18+'LE Plan'!J18+'MER Plan'!J18+'NDN Plan'!J18+'SALT Plan'!J18+'SDN Plan'!J18+'SST Plan'!J18+'WH Plan'!J18+'FH Plan'!J18</f>
        <v/>
      </c>
      <c r="K18" s="16">
        <f>'ABA Plan'!K18+'BK Plan'!K18+'BW Plan'!K18+'CED Plan'!K18+'HAB Plan'!K18+'HB Plan'!K18+'OD Plan'!K18+'HDN Plan'!K18+'KIN Plan'!K18+'LE Plan'!K18+'MER Plan'!K18+'NDN Plan'!K18+'SALT Plan'!K18+'SDN Plan'!K18+'SST Plan'!K18+'WH Plan'!K18+'FH Plan'!K18</f>
        <v/>
      </c>
      <c r="L18" s="16">
        <f>'ABA Plan'!L18+'BK Plan'!L18+'BW Plan'!L18+'CED Plan'!L18+'HAB Plan'!L18+'HB Plan'!L18+'OD Plan'!L18+'HDN Plan'!L18+'KIN Plan'!L18+'LE Plan'!L18+'MER Plan'!L18+'NDN Plan'!L18+'SALT Plan'!L18+'SDN Plan'!L18+'SST Plan'!L18+'WH Plan'!L18+'FH Plan'!L18</f>
        <v/>
      </c>
      <c r="M18" s="16">
        <f>'ABA Plan'!M18+'BK Plan'!M18+'BW Plan'!M18+'CED Plan'!M18+'HAB Plan'!M18+'HB Plan'!M18+'OD Plan'!M18+'HDN Plan'!M18+'KIN Plan'!M18+'LE Plan'!M18+'MER Plan'!M18+'NDN Plan'!M18+'SALT Plan'!M18+'SDN Plan'!M18+'SST Plan'!M18+'WH Plan'!M18+'FH Plan'!M18</f>
        <v/>
      </c>
      <c r="N18" s="16">
        <f>'ABA Plan'!N18+'BK Plan'!N18+'BW Plan'!N18+'CED Plan'!N18+'HAB Plan'!N18+'HB Plan'!N18+'OD Plan'!N18+'HDN Plan'!N18+'KIN Plan'!N18+'LE Plan'!N18+'MER Plan'!N18+'NDN Plan'!N18+'SALT Plan'!N18+'SDN Plan'!N18+'SST Plan'!N18+'WH Plan'!N18+'FH Plan'!N18</f>
        <v/>
      </c>
      <c r="O18" s="16">
        <f>'ABA Plan'!O18+'BK Plan'!O18+'BW Plan'!O18+'CED Plan'!O18+'HAB Plan'!O18+'HB Plan'!O18+'OD Plan'!O18+'HDN Plan'!O18+'KIN Plan'!O18+'LE Plan'!O18+'MER Plan'!O18+'NDN Plan'!O18+'SALT Plan'!O18+'SDN Plan'!O18+'SST Plan'!O18+'WH Plan'!O18+'FH Plan'!O18</f>
        <v/>
      </c>
      <c r="P18" s="16">
        <f>'ABA Plan'!P18+'BK Plan'!P18+'BW Plan'!P18+'CED Plan'!P18+'HAB Plan'!P18+'HB Plan'!P18+'OD Plan'!P18+'HDN Plan'!P18+'KIN Plan'!P18+'LE Plan'!P18+'MER Plan'!P18+'NDN Plan'!P18+'SALT Plan'!P18+'SDN Plan'!P18+'SST Plan'!P18+'WH Plan'!P18+'FH Plan'!P18</f>
        <v/>
      </c>
      <c r="Q18" s="16">
        <f>'ABA Plan'!Q18+'BK Plan'!Q18+'BW Plan'!Q18+'CED Plan'!Q18+'HAB Plan'!Q18+'HB Plan'!Q18+'OD Plan'!Q18+'HDN Plan'!Q18+'KIN Plan'!Q18+'LE Plan'!Q18+'MER Plan'!Q18+'NDN Plan'!Q18+'SALT Plan'!Q18+'SDN Plan'!Q18+'SST Plan'!Q18+'WH Plan'!Q18+'FH Plan'!Q18</f>
        <v/>
      </c>
      <c r="R18" s="16">
        <f>'ABA Plan'!R18+'BK Plan'!R18+'BW Plan'!R18+'CED Plan'!R18+'HAB Plan'!R18+'HB Plan'!R18+'OD Plan'!R18+'HDN Plan'!R18+'KIN Plan'!R18+'LE Plan'!R18+'MER Plan'!R18+'NDN Plan'!R18+'SALT Plan'!R18+'SDN Plan'!R18+'SST Plan'!R18+'WH Plan'!R18+'FH Plan'!R18</f>
        <v/>
      </c>
      <c r="S18" s="16">
        <f>'ABA Plan'!S18+'BK Plan'!S18+'BW Plan'!S18+'CED Plan'!S18+'HAB Plan'!S18+'HB Plan'!S18+'OD Plan'!S18+'HDN Plan'!S18+'KIN Plan'!S18+'LE Plan'!S18+'MER Plan'!S18+'NDN Plan'!S18+'SALT Plan'!S18+'SDN Plan'!S18+'SST Plan'!S18+'WH Plan'!S18+'FH Plan'!S18</f>
        <v/>
      </c>
      <c r="T18" s="16">
        <f>'ABA Plan'!T18+'BK Plan'!T18+'BW Plan'!T18+'CED Plan'!T18+'HAB Plan'!T18+'HB Plan'!T18+'OD Plan'!T18+'HDN Plan'!T18+'KIN Plan'!T18+'LE Plan'!T18+'MER Plan'!T18+'NDN Plan'!T18+'SALT Plan'!T18+'SDN Plan'!T18+'SST Plan'!T18+'WH Plan'!T18+'FH Plan'!T18</f>
        <v/>
      </c>
      <c r="U18" s="16">
        <f>'ABA Plan'!U18+'BK Plan'!U18+'BW Plan'!U18+'CED Plan'!U18+'HAB Plan'!U18+'HB Plan'!U18+'OD Plan'!U18+'HDN Plan'!U18+'KIN Plan'!U18+'LE Plan'!U18+'MER Plan'!U18+'NDN Plan'!U18+'SALT Plan'!U18+'SDN Plan'!U18+'SST Plan'!U18+'WH Plan'!U18+'FH Plan'!U18</f>
        <v/>
      </c>
      <c r="V18" s="16">
        <f>'ABA Plan'!V18+'BK Plan'!V18+'BW Plan'!V18+'CED Plan'!V18+'HAB Plan'!V18+'HB Plan'!V18+'OD Plan'!V18+'HDN Plan'!V18+'KIN Plan'!V18+'LE Plan'!V18+'MER Plan'!V18+'NDN Plan'!V18+'SALT Plan'!V18+'SDN Plan'!V18+'SST Plan'!V18+'WH Plan'!V18+'FH Plan'!V18</f>
        <v/>
      </c>
      <c r="W18" s="16">
        <f>'ABA Plan'!W18+'BK Plan'!W18+'BW Plan'!W18+'CED Plan'!W18+'HAB Plan'!W18+'HB Plan'!W18+'OD Plan'!W18+'HDN Plan'!W18+'KIN Plan'!W18+'LE Plan'!W18+'MER Plan'!W18+'NDN Plan'!W18+'SALT Plan'!W18+'SDN Plan'!W18+'SST Plan'!W18+'WH Plan'!W18+'FH Plan'!W18</f>
        <v/>
      </c>
      <c r="X18" s="16">
        <f>'ABA Plan'!X18+'BK Plan'!X18+'BW Plan'!X18+'CED Plan'!X18+'HAB Plan'!X18+'HB Plan'!X18+'OD Plan'!X18+'HDN Plan'!X18+'KIN Plan'!X18+'LE Plan'!X18+'MER Plan'!X18+'NDN Plan'!X18+'SALT Plan'!X18+'SDN Plan'!X18+'SST Plan'!X18+'WH Plan'!X18+'FH Plan'!X18</f>
        <v/>
      </c>
      <c r="Y18" s="16">
        <f>'ABA Plan'!Y18+'BK Plan'!Y18+'BW Plan'!Y18+'CED Plan'!Y18+'HAB Plan'!Y18+'HB Plan'!Y18+'OD Plan'!Y18+'HDN Plan'!Y18+'KIN Plan'!Y18+'LE Plan'!Y18+'MER Plan'!Y18+'NDN Plan'!Y18+'SALT Plan'!Y18+'SDN Plan'!Y18+'SST Plan'!Y18+'WH Plan'!Y18+'FH Plan'!Y18</f>
        <v/>
      </c>
      <c r="Z18" s="16">
        <f>'ABA Plan'!Z18+'BK Plan'!Z18+'BW Plan'!Z18+'CED Plan'!Z18+'HAB Plan'!Z18+'HB Plan'!Z18+'OD Plan'!Z18+'HDN Plan'!Z18+'KIN Plan'!Z18+'LE Plan'!Z18+'MER Plan'!Z18+'NDN Plan'!Z18+'SALT Plan'!Z18+'SDN Plan'!Z18+'SST Plan'!Z18+'WH Plan'!Z18+'FH Plan'!Z18</f>
        <v/>
      </c>
      <c r="AA18" s="16">
        <f>'ABA Plan'!AA18+'BK Plan'!AA18+'BW Plan'!AA18+'CED Plan'!AA18+'HAB Plan'!AA18+'HB Plan'!AA18+'OD Plan'!AA18+'HDN Plan'!AA18+'KIN Plan'!AA18+'LE Plan'!AA18+'MER Plan'!AA18+'NDN Plan'!AA18+'SALT Plan'!AA18+'SDN Plan'!AA18+'SST Plan'!AA18+'WH Plan'!AA18+'FH Plan'!AA18</f>
        <v/>
      </c>
      <c r="AB18" s="16">
        <f>'ABA Plan'!AB18+'BK Plan'!AB18+'BW Plan'!AB18+'CED Plan'!AB18+'HAB Plan'!AB18+'HB Plan'!AB18+'OD Plan'!AB18+'HDN Plan'!AB18+'KIN Plan'!AB18+'LE Plan'!AB18+'MER Plan'!AB18+'NDN Plan'!AB18+'SALT Plan'!AB18+'SDN Plan'!AB18+'SST Plan'!AB18+'WH Plan'!AB18+'FH Plan'!AB18</f>
        <v/>
      </c>
      <c r="AC18" s="16">
        <f>'ABA Plan'!AC18+'BK Plan'!AC18+'BW Plan'!AC18+'CED Plan'!AC18+'HAB Plan'!AC18+'HB Plan'!AC18+'OD Plan'!AC18+'HDN Plan'!AC18+'KIN Plan'!AC18+'LE Plan'!AC18+'MER Plan'!AC18+'NDN Plan'!AC18+'SALT Plan'!AC18+'SDN Plan'!AC18+'SST Plan'!AC18+'WH Plan'!AC18+'FH Plan'!AC18</f>
        <v/>
      </c>
      <c r="AD18" s="16">
        <f>'ABA Plan'!AD18+'BK Plan'!AD18+'BW Plan'!AD18+'CED Plan'!AD18+'HAB Plan'!AD18+'HB Plan'!AD18+'OD Plan'!AD18+'HDN Plan'!AD18+'KIN Plan'!AD18+'LE Plan'!AD18+'MER Plan'!AD18+'NDN Plan'!AD18+'SALT Plan'!AD18+'SDN Plan'!AD18+'SST Plan'!AD18+'WH Plan'!AD18+'FH Plan'!AD18</f>
        <v/>
      </c>
      <c r="AE18" s="16">
        <f>'ABA Plan'!AE18+'BK Plan'!AE18+'BW Plan'!AE18+'CED Plan'!AE18+'HAB Plan'!AE18+'HB Plan'!AE18+'OD Plan'!AE18+'HDN Plan'!AE18+'KIN Plan'!AE18+'LE Plan'!AE18+'MER Plan'!AE18+'NDN Plan'!AE18+'SALT Plan'!AE18+'SDN Plan'!AE18+'SST Plan'!AE18+'WH Plan'!AE18+'FH Plan'!AE18</f>
        <v/>
      </c>
      <c r="AF18" s="16">
        <f>'ABA Plan'!AF18+'BK Plan'!AF18+'BW Plan'!AF18+'CED Plan'!AF18+'HAB Plan'!AF18+'HB Plan'!AF18+'OD Plan'!AF18+'HDN Plan'!AF18+'KIN Plan'!AF18+'LE Plan'!AF18+'MER Plan'!AF18+'NDN Plan'!AF18+'SALT Plan'!AF18+'SDN Plan'!AF18+'SST Plan'!AF18+'WH Plan'!AF18+'FH Plan'!AF18</f>
        <v/>
      </c>
      <c r="AG18" s="16">
        <f>'ABA Plan'!AG18+'BK Plan'!AG18+'BW Plan'!AG18+'CED Plan'!AG18+'HAB Plan'!AG18+'HB Plan'!AG18+'OD Plan'!AG18+'HDN Plan'!AG18+'KIN Plan'!AG18+'LE Plan'!AG18+'MER Plan'!AG18+'NDN Plan'!AG18+'SALT Plan'!AG18+'SDN Plan'!AG18+'SST Plan'!AG18+'WH Plan'!AG18+'FH Plan'!AG18</f>
        <v/>
      </c>
      <c r="AH18" s="16">
        <f>'ABA Plan'!AH18+'BK Plan'!AH18+'BW Plan'!AH18+'CED Plan'!AH18+'HAB Plan'!AH18+'HB Plan'!AH18+'OD Plan'!AH18+'HDN Plan'!AH18+'KIN Plan'!AH18+'LE Plan'!AH18+'MER Plan'!AH18+'NDN Plan'!AH18+'SALT Plan'!AH18+'SDN Plan'!AH18+'SST Plan'!AH18+'WH Plan'!AH18+'FH Plan'!AH18</f>
        <v/>
      </c>
      <c r="AI18" s="16">
        <f>'ABA Plan'!AI18+'BK Plan'!AI18+'BW Plan'!AI18+'CED Plan'!AI18+'HAB Plan'!AI18+'HB Plan'!AI18+'OD Plan'!AI18+'HDN Plan'!AI18+'KIN Plan'!AI18+'LE Plan'!AI18+'MER Plan'!AI18+'NDN Plan'!AI18+'SALT Plan'!AI18+'SDN Plan'!AI18+'SST Plan'!AI18+'WH Plan'!AI18+'FH Plan'!AI18</f>
        <v/>
      </c>
      <c r="AJ18" s="16">
        <f>'ABA Plan'!AJ18+'BK Plan'!AJ18+'BW Plan'!AJ18+'CED Plan'!AJ18+'HAB Plan'!AJ18+'HB Plan'!AJ18+'OD Plan'!AJ18+'HDN Plan'!AJ18+'KIN Plan'!AJ18+'LE Plan'!AJ18+'MER Plan'!AJ18+'NDN Plan'!AJ18+'SALT Plan'!AJ18+'SDN Plan'!AJ18+'SST Plan'!AJ18+'WH Plan'!AJ18+'FH Plan'!AJ18</f>
        <v/>
      </c>
      <c r="AK18" s="11">
        <f>IF(N18&lt;&gt;0,(AB18-N18)/ABS(N18),0)</f>
        <v/>
      </c>
      <c r="AL18" s="11">
        <f>IF(AB18&lt;&gt;0,(AJ18-AB18)/ABS(AB18),0)</f>
        <v/>
      </c>
    </row>
    <row r="19" ht="13" customHeight="1">
      <c r="A19" s="15" t="inlineStr">
        <is>
          <t xml:space="preserve">    Temps</t>
        </is>
      </c>
      <c r="B19" s="16">
        <f>'ABA Plan'!B19+'BK Plan'!B19+'BW Plan'!B19+'CED Plan'!B19+'HAB Plan'!B19+'HB Plan'!B19+'OD Plan'!B19+'HDN Plan'!B19+'KIN Plan'!B19+'LE Plan'!B19+'MER Plan'!B19+'NDN Plan'!B19+'SALT Plan'!B19+'SDN Plan'!B19+'SST Plan'!B19+'WH Plan'!B19+'FH Plan'!B19</f>
        <v/>
      </c>
      <c r="C19" s="16">
        <f>'ABA Plan'!C19+'BK Plan'!C19+'BW Plan'!C19+'CED Plan'!C19+'HAB Plan'!C19+'HB Plan'!C19+'OD Plan'!C19+'HDN Plan'!C19+'KIN Plan'!C19+'LE Plan'!C19+'MER Plan'!C19+'NDN Plan'!C19+'SALT Plan'!C19+'SDN Plan'!C19+'SST Plan'!C19+'WH Plan'!C19+'FH Plan'!C19</f>
        <v/>
      </c>
      <c r="D19" s="16">
        <f>'ABA Plan'!D19+'BK Plan'!D19+'BW Plan'!D19+'CED Plan'!D19+'HAB Plan'!D19+'HB Plan'!D19+'OD Plan'!D19+'HDN Plan'!D19+'KIN Plan'!D19+'LE Plan'!D19+'MER Plan'!D19+'NDN Plan'!D19+'SALT Plan'!D19+'SDN Plan'!D19+'SST Plan'!D19+'WH Plan'!D19+'FH Plan'!D19</f>
        <v/>
      </c>
      <c r="E19" s="16">
        <f>'ABA Plan'!E19+'BK Plan'!E19+'BW Plan'!E19+'CED Plan'!E19+'HAB Plan'!E19+'HB Plan'!E19+'OD Plan'!E19+'HDN Plan'!E19+'KIN Plan'!E19+'LE Plan'!E19+'MER Plan'!E19+'NDN Plan'!E19+'SALT Plan'!E19+'SDN Plan'!E19+'SST Plan'!E19+'WH Plan'!E19+'FH Plan'!E19</f>
        <v/>
      </c>
      <c r="F19" s="16">
        <f>'ABA Plan'!F19+'BK Plan'!F19+'BW Plan'!F19+'CED Plan'!F19+'HAB Plan'!F19+'HB Plan'!F19+'OD Plan'!F19+'HDN Plan'!F19+'KIN Plan'!F19+'LE Plan'!F19+'MER Plan'!F19+'NDN Plan'!F19+'SALT Plan'!F19+'SDN Plan'!F19+'SST Plan'!F19+'WH Plan'!F19+'FH Plan'!F19</f>
        <v/>
      </c>
      <c r="G19" s="16">
        <f>'ABA Plan'!G19+'BK Plan'!G19+'BW Plan'!G19+'CED Plan'!G19+'HAB Plan'!G19+'HB Plan'!G19+'OD Plan'!G19+'HDN Plan'!G19+'KIN Plan'!G19+'LE Plan'!G19+'MER Plan'!G19+'NDN Plan'!G19+'SALT Plan'!G19+'SDN Plan'!G19+'SST Plan'!G19+'WH Plan'!G19+'FH Plan'!G19</f>
        <v/>
      </c>
      <c r="H19" s="16">
        <f>'ABA Plan'!H19+'BK Plan'!H19+'BW Plan'!H19+'CED Plan'!H19+'HAB Plan'!H19+'HB Plan'!H19+'OD Plan'!H19+'HDN Plan'!H19+'KIN Plan'!H19+'LE Plan'!H19+'MER Plan'!H19+'NDN Plan'!H19+'SALT Plan'!H19+'SDN Plan'!H19+'SST Plan'!H19+'WH Plan'!H19+'FH Plan'!H19</f>
        <v/>
      </c>
      <c r="I19" s="16">
        <f>'ABA Plan'!I19+'BK Plan'!I19+'BW Plan'!I19+'CED Plan'!I19+'HAB Plan'!I19+'HB Plan'!I19+'OD Plan'!I19+'HDN Plan'!I19+'KIN Plan'!I19+'LE Plan'!I19+'MER Plan'!I19+'NDN Plan'!I19+'SALT Plan'!I19+'SDN Plan'!I19+'SST Plan'!I19+'WH Plan'!I19+'FH Plan'!I19</f>
        <v/>
      </c>
      <c r="J19" s="16">
        <f>'ABA Plan'!J19+'BK Plan'!J19+'BW Plan'!J19+'CED Plan'!J19+'HAB Plan'!J19+'HB Plan'!J19+'OD Plan'!J19+'HDN Plan'!J19+'KIN Plan'!J19+'LE Plan'!J19+'MER Plan'!J19+'NDN Plan'!J19+'SALT Plan'!J19+'SDN Plan'!J19+'SST Plan'!J19+'WH Plan'!J19+'FH Plan'!J19</f>
        <v/>
      </c>
      <c r="K19" s="16">
        <f>'ABA Plan'!K19+'BK Plan'!K19+'BW Plan'!K19+'CED Plan'!K19+'HAB Plan'!K19+'HB Plan'!K19+'OD Plan'!K19+'HDN Plan'!K19+'KIN Plan'!K19+'LE Plan'!K19+'MER Plan'!K19+'NDN Plan'!K19+'SALT Plan'!K19+'SDN Plan'!K19+'SST Plan'!K19+'WH Plan'!K19+'FH Plan'!K19</f>
        <v/>
      </c>
      <c r="L19" s="16">
        <f>'ABA Plan'!L19+'BK Plan'!L19+'BW Plan'!L19+'CED Plan'!L19+'HAB Plan'!L19+'HB Plan'!L19+'OD Plan'!L19+'HDN Plan'!L19+'KIN Plan'!L19+'LE Plan'!L19+'MER Plan'!L19+'NDN Plan'!L19+'SALT Plan'!L19+'SDN Plan'!L19+'SST Plan'!L19+'WH Plan'!L19+'FH Plan'!L19</f>
        <v/>
      </c>
      <c r="M19" s="16">
        <f>'ABA Plan'!M19+'BK Plan'!M19+'BW Plan'!M19+'CED Plan'!M19+'HAB Plan'!M19+'HB Plan'!M19+'OD Plan'!M19+'HDN Plan'!M19+'KIN Plan'!M19+'LE Plan'!M19+'MER Plan'!M19+'NDN Plan'!M19+'SALT Plan'!M19+'SDN Plan'!M19+'SST Plan'!M19+'WH Plan'!M19+'FH Plan'!M19</f>
        <v/>
      </c>
      <c r="N19" s="16">
        <f>'ABA Plan'!N19+'BK Plan'!N19+'BW Plan'!N19+'CED Plan'!N19+'HAB Plan'!N19+'HB Plan'!N19+'OD Plan'!N19+'HDN Plan'!N19+'KIN Plan'!N19+'LE Plan'!N19+'MER Plan'!N19+'NDN Plan'!N19+'SALT Plan'!N19+'SDN Plan'!N19+'SST Plan'!N19+'WH Plan'!N19+'FH Plan'!N19</f>
        <v/>
      </c>
      <c r="O19" s="16">
        <f>'ABA Plan'!O19+'BK Plan'!O19+'BW Plan'!O19+'CED Plan'!O19+'HAB Plan'!O19+'HB Plan'!O19+'OD Plan'!O19+'HDN Plan'!O19+'KIN Plan'!O19+'LE Plan'!O19+'MER Plan'!O19+'NDN Plan'!O19+'SALT Plan'!O19+'SDN Plan'!O19+'SST Plan'!O19+'WH Plan'!O19+'FH Plan'!O19</f>
        <v/>
      </c>
      <c r="P19" s="16">
        <f>'ABA Plan'!P19+'BK Plan'!P19+'BW Plan'!P19+'CED Plan'!P19+'HAB Plan'!P19+'HB Plan'!P19+'OD Plan'!P19+'HDN Plan'!P19+'KIN Plan'!P19+'LE Plan'!P19+'MER Plan'!P19+'NDN Plan'!P19+'SALT Plan'!P19+'SDN Plan'!P19+'SST Plan'!P19+'WH Plan'!P19+'FH Plan'!P19</f>
        <v/>
      </c>
      <c r="Q19" s="16">
        <f>'ABA Plan'!Q19+'BK Plan'!Q19+'BW Plan'!Q19+'CED Plan'!Q19+'HAB Plan'!Q19+'HB Plan'!Q19+'OD Plan'!Q19+'HDN Plan'!Q19+'KIN Plan'!Q19+'LE Plan'!Q19+'MER Plan'!Q19+'NDN Plan'!Q19+'SALT Plan'!Q19+'SDN Plan'!Q19+'SST Plan'!Q19+'WH Plan'!Q19+'FH Plan'!Q19</f>
        <v/>
      </c>
      <c r="R19" s="16">
        <f>'ABA Plan'!R19+'BK Plan'!R19+'BW Plan'!R19+'CED Plan'!R19+'HAB Plan'!R19+'HB Plan'!R19+'OD Plan'!R19+'HDN Plan'!R19+'KIN Plan'!R19+'LE Plan'!R19+'MER Plan'!R19+'NDN Plan'!R19+'SALT Plan'!R19+'SDN Plan'!R19+'SST Plan'!R19+'WH Plan'!R19+'FH Plan'!R19</f>
        <v/>
      </c>
      <c r="S19" s="16">
        <f>'ABA Plan'!S19+'BK Plan'!S19+'BW Plan'!S19+'CED Plan'!S19+'HAB Plan'!S19+'HB Plan'!S19+'OD Plan'!S19+'HDN Plan'!S19+'KIN Plan'!S19+'LE Plan'!S19+'MER Plan'!S19+'NDN Plan'!S19+'SALT Plan'!S19+'SDN Plan'!S19+'SST Plan'!S19+'WH Plan'!S19+'FH Plan'!S19</f>
        <v/>
      </c>
      <c r="T19" s="16">
        <f>'ABA Plan'!T19+'BK Plan'!T19+'BW Plan'!T19+'CED Plan'!T19+'HAB Plan'!T19+'HB Plan'!T19+'OD Plan'!T19+'HDN Plan'!T19+'KIN Plan'!T19+'LE Plan'!T19+'MER Plan'!T19+'NDN Plan'!T19+'SALT Plan'!T19+'SDN Plan'!T19+'SST Plan'!T19+'WH Plan'!T19+'FH Plan'!T19</f>
        <v/>
      </c>
      <c r="U19" s="16">
        <f>'ABA Plan'!U19+'BK Plan'!U19+'BW Plan'!U19+'CED Plan'!U19+'HAB Plan'!U19+'HB Plan'!U19+'OD Plan'!U19+'HDN Plan'!U19+'KIN Plan'!U19+'LE Plan'!U19+'MER Plan'!U19+'NDN Plan'!U19+'SALT Plan'!U19+'SDN Plan'!U19+'SST Plan'!U19+'WH Plan'!U19+'FH Plan'!U19</f>
        <v/>
      </c>
      <c r="V19" s="16">
        <f>'ABA Plan'!V19+'BK Plan'!V19+'BW Plan'!V19+'CED Plan'!V19+'HAB Plan'!V19+'HB Plan'!V19+'OD Plan'!V19+'HDN Plan'!V19+'KIN Plan'!V19+'LE Plan'!V19+'MER Plan'!V19+'NDN Plan'!V19+'SALT Plan'!V19+'SDN Plan'!V19+'SST Plan'!V19+'WH Plan'!V19+'FH Plan'!V19</f>
        <v/>
      </c>
      <c r="W19" s="16">
        <f>'ABA Plan'!W19+'BK Plan'!W19+'BW Plan'!W19+'CED Plan'!W19+'HAB Plan'!W19+'HB Plan'!W19+'OD Plan'!W19+'HDN Plan'!W19+'KIN Plan'!W19+'LE Plan'!W19+'MER Plan'!W19+'NDN Plan'!W19+'SALT Plan'!W19+'SDN Plan'!W19+'SST Plan'!W19+'WH Plan'!W19+'FH Plan'!W19</f>
        <v/>
      </c>
      <c r="X19" s="16">
        <f>'ABA Plan'!X19+'BK Plan'!X19+'BW Plan'!X19+'CED Plan'!X19+'HAB Plan'!X19+'HB Plan'!X19+'OD Plan'!X19+'HDN Plan'!X19+'KIN Plan'!X19+'LE Plan'!X19+'MER Plan'!X19+'NDN Plan'!X19+'SALT Plan'!X19+'SDN Plan'!X19+'SST Plan'!X19+'WH Plan'!X19+'FH Plan'!X19</f>
        <v/>
      </c>
      <c r="Y19" s="16">
        <f>'ABA Plan'!Y19+'BK Plan'!Y19+'BW Plan'!Y19+'CED Plan'!Y19+'HAB Plan'!Y19+'HB Plan'!Y19+'OD Plan'!Y19+'HDN Plan'!Y19+'KIN Plan'!Y19+'LE Plan'!Y19+'MER Plan'!Y19+'NDN Plan'!Y19+'SALT Plan'!Y19+'SDN Plan'!Y19+'SST Plan'!Y19+'WH Plan'!Y19+'FH Plan'!Y19</f>
        <v/>
      </c>
      <c r="Z19" s="16">
        <f>'ABA Plan'!Z19+'BK Plan'!Z19+'BW Plan'!Z19+'CED Plan'!Z19+'HAB Plan'!Z19+'HB Plan'!Z19+'OD Plan'!Z19+'HDN Plan'!Z19+'KIN Plan'!Z19+'LE Plan'!Z19+'MER Plan'!Z19+'NDN Plan'!Z19+'SALT Plan'!Z19+'SDN Plan'!Z19+'SST Plan'!Z19+'WH Plan'!Z19+'FH Plan'!Z19</f>
        <v/>
      </c>
      <c r="AA19" s="16">
        <f>'ABA Plan'!AA19+'BK Plan'!AA19+'BW Plan'!AA19+'CED Plan'!AA19+'HAB Plan'!AA19+'HB Plan'!AA19+'OD Plan'!AA19+'HDN Plan'!AA19+'KIN Plan'!AA19+'LE Plan'!AA19+'MER Plan'!AA19+'NDN Plan'!AA19+'SALT Plan'!AA19+'SDN Plan'!AA19+'SST Plan'!AA19+'WH Plan'!AA19+'FH Plan'!AA19</f>
        <v/>
      </c>
      <c r="AB19" s="16">
        <f>'ABA Plan'!AB19+'BK Plan'!AB19+'BW Plan'!AB19+'CED Plan'!AB19+'HAB Plan'!AB19+'HB Plan'!AB19+'OD Plan'!AB19+'HDN Plan'!AB19+'KIN Plan'!AB19+'LE Plan'!AB19+'MER Plan'!AB19+'NDN Plan'!AB19+'SALT Plan'!AB19+'SDN Plan'!AB19+'SST Plan'!AB19+'WH Plan'!AB19+'FH Plan'!AB19</f>
        <v/>
      </c>
      <c r="AC19" s="16">
        <f>'ABA Plan'!AC19+'BK Plan'!AC19+'BW Plan'!AC19+'CED Plan'!AC19+'HAB Plan'!AC19+'HB Plan'!AC19+'OD Plan'!AC19+'HDN Plan'!AC19+'KIN Plan'!AC19+'LE Plan'!AC19+'MER Plan'!AC19+'NDN Plan'!AC19+'SALT Plan'!AC19+'SDN Plan'!AC19+'SST Plan'!AC19+'WH Plan'!AC19+'FH Plan'!AC19</f>
        <v/>
      </c>
      <c r="AD19" s="16">
        <f>'ABA Plan'!AD19+'BK Plan'!AD19+'BW Plan'!AD19+'CED Plan'!AD19+'HAB Plan'!AD19+'HB Plan'!AD19+'OD Plan'!AD19+'HDN Plan'!AD19+'KIN Plan'!AD19+'LE Plan'!AD19+'MER Plan'!AD19+'NDN Plan'!AD19+'SALT Plan'!AD19+'SDN Plan'!AD19+'SST Plan'!AD19+'WH Plan'!AD19+'FH Plan'!AD19</f>
        <v/>
      </c>
      <c r="AE19" s="16">
        <f>'ABA Plan'!AE19+'BK Plan'!AE19+'BW Plan'!AE19+'CED Plan'!AE19+'HAB Plan'!AE19+'HB Plan'!AE19+'OD Plan'!AE19+'HDN Plan'!AE19+'KIN Plan'!AE19+'LE Plan'!AE19+'MER Plan'!AE19+'NDN Plan'!AE19+'SALT Plan'!AE19+'SDN Plan'!AE19+'SST Plan'!AE19+'WH Plan'!AE19+'FH Plan'!AE19</f>
        <v/>
      </c>
      <c r="AF19" s="16">
        <f>'ABA Plan'!AF19+'BK Plan'!AF19+'BW Plan'!AF19+'CED Plan'!AF19+'HAB Plan'!AF19+'HB Plan'!AF19+'OD Plan'!AF19+'HDN Plan'!AF19+'KIN Plan'!AF19+'LE Plan'!AF19+'MER Plan'!AF19+'NDN Plan'!AF19+'SALT Plan'!AF19+'SDN Plan'!AF19+'SST Plan'!AF19+'WH Plan'!AF19+'FH Plan'!AF19</f>
        <v/>
      </c>
      <c r="AG19" s="16">
        <f>'ABA Plan'!AG19+'BK Plan'!AG19+'BW Plan'!AG19+'CED Plan'!AG19+'HAB Plan'!AG19+'HB Plan'!AG19+'OD Plan'!AG19+'HDN Plan'!AG19+'KIN Plan'!AG19+'LE Plan'!AG19+'MER Plan'!AG19+'NDN Plan'!AG19+'SALT Plan'!AG19+'SDN Plan'!AG19+'SST Plan'!AG19+'WH Plan'!AG19+'FH Plan'!AG19</f>
        <v/>
      </c>
      <c r="AH19" s="16">
        <f>'ABA Plan'!AH19+'BK Plan'!AH19+'BW Plan'!AH19+'CED Plan'!AH19+'HAB Plan'!AH19+'HB Plan'!AH19+'OD Plan'!AH19+'HDN Plan'!AH19+'KIN Plan'!AH19+'LE Plan'!AH19+'MER Plan'!AH19+'NDN Plan'!AH19+'SALT Plan'!AH19+'SDN Plan'!AH19+'SST Plan'!AH19+'WH Plan'!AH19+'FH Plan'!AH19</f>
        <v/>
      </c>
      <c r="AI19" s="16">
        <f>'ABA Plan'!AI19+'BK Plan'!AI19+'BW Plan'!AI19+'CED Plan'!AI19+'HAB Plan'!AI19+'HB Plan'!AI19+'OD Plan'!AI19+'HDN Plan'!AI19+'KIN Plan'!AI19+'LE Plan'!AI19+'MER Plan'!AI19+'NDN Plan'!AI19+'SALT Plan'!AI19+'SDN Plan'!AI19+'SST Plan'!AI19+'WH Plan'!AI19+'FH Plan'!AI19</f>
        <v/>
      </c>
      <c r="AJ19" s="16">
        <f>'ABA Plan'!AJ19+'BK Plan'!AJ19+'BW Plan'!AJ19+'CED Plan'!AJ19+'HAB Plan'!AJ19+'HB Plan'!AJ19+'OD Plan'!AJ19+'HDN Plan'!AJ19+'KIN Plan'!AJ19+'LE Plan'!AJ19+'MER Plan'!AJ19+'NDN Plan'!AJ19+'SALT Plan'!AJ19+'SDN Plan'!AJ19+'SST Plan'!AJ19+'WH Plan'!AJ19+'FH Plan'!AJ19</f>
        <v/>
      </c>
      <c r="AK19" s="11">
        <f>IF(N19&lt;&gt;0,(AB19-N19)/ABS(N19),0)</f>
        <v/>
      </c>
      <c r="AL19" s="11">
        <f>IF(AB19&lt;&gt;0,(AJ19-AB19)/ABS(AB19),0)</f>
        <v/>
      </c>
    </row>
    <row r="20" ht="13" customHeight="1">
      <c r="A20" s="17" t="inlineStr">
        <is>
          <t>Total Personnel</t>
        </is>
      </c>
      <c r="B20" s="18">
        <f>'ABA Plan'!B20+'BK Plan'!B20+'BW Plan'!B20+'CED Plan'!B20+'HAB Plan'!B20+'HB Plan'!B20+'OD Plan'!B20+'HDN Plan'!B20+'KIN Plan'!B20+'LE Plan'!B20+'MER Plan'!B20+'NDN Plan'!B20+'SALT Plan'!B20+'SDN Plan'!B20+'SST Plan'!B20+'WH Plan'!B20+'FH Plan'!B20</f>
        <v/>
      </c>
      <c r="C20" s="18">
        <f>'ABA Plan'!C20+'BK Plan'!C20+'BW Plan'!C20+'CED Plan'!C20+'HAB Plan'!C20+'HB Plan'!C20+'OD Plan'!C20+'HDN Plan'!C20+'KIN Plan'!C20+'LE Plan'!C20+'MER Plan'!C20+'NDN Plan'!C20+'SALT Plan'!C20+'SDN Plan'!C20+'SST Plan'!C20+'WH Plan'!C20+'FH Plan'!C20</f>
        <v/>
      </c>
      <c r="D20" s="18">
        <f>'ABA Plan'!D20+'BK Plan'!D20+'BW Plan'!D20+'CED Plan'!D20+'HAB Plan'!D20+'HB Plan'!D20+'OD Plan'!D20+'HDN Plan'!D20+'KIN Plan'!D20+'LE Plan'!D20+'MER Plan'!D20+'NDN Plan'!D20+'SALT Plan'!D20+'SDN Plan'!D20+'SST Plan'!D20+'WH Plan'!D20+'FH Plan'!D20</f>
        <v/>
      </c>
      <c r="E20" s="18">
        <f>'ABA Plan'!E20+'BK Plan'!E20+'BW Plan'!E20+'CED Plan'!E20+'HAB Plan'!E20+'HB Plan'!E20+'OD Plan'!E20+'HDN Plan'!E20+'KIN Plan'!E20+'LE Plan'!E20+'MER Plan'!E20+'NDN Plan'!E20+'SALT Plan'!E20+'SDN Plan'!E20+'SST Plan'!E20+'WH Plan'!E20+'FH Plan'!E20</f>
        <v/>
      </c>
      <c r="F20" s="18">
        <f>'ABA Plan'!F20+'BK Plan'!F20+'BW Plan'!F20+'CED Plan'!F20+'HAB Plan'!F20+'HB Plan'!F20+'OD Plan'!F20+'HDN Plan'!F20+'KIN Plan'!F20+'LE Plan'!F20+'MER Plan'!F20+'NDN Plan'!F20+'SALT Plan'!F20+'SDN Plan'!F20+'SST Plan'!F20+'WH Plan'!F20+'FH Plan'!F20</f>
        <v/>
      </c>
      <c r="G20" s="18">
        <f>'ABA Plan'!G20+'BK Plan'!G20+'BW Plan'!G20+'CED Plan'!G20+'HAB Plan'!G20+'HB Plan'!G20+'OD Plan'!G20+'HDN Plan'!G20+'KIN Plan'!G20+'LE Plan'!G20+'MER Plan'!G20+'NDN Plan'!G20+'SALT Plan'!G20+'SDN Plan'!G20+'SST Plan'!G20+'WH Plan'!G20+'FH Plan'!G20</f>
        <v/>
      </c>
      <c r="H20" s="18">
        <f>'ABA Plan'!H20+'BK Plan'!H20+'BW Plan'!H20+'CED Plan'!H20+'HAB Plan'!H20+'HB Plan'!H20+'OD Plan'!H20+'HDN Plan'!H20+'KIN Plan'!H20+'LE Plan'!H20+'MER Plan'!H20+'NDN Plan'!H20+'SALT Plan'!H20+'SDN Plan'!H20+'SST Plan'!H20+'WH Plan'!H20+'FH Plan'!H20</f>
        <v/>
      </c>
      <c r="I20" s="18">
        <f>'ABA Plan'!I20+'BK Plan'!I20+'BW Plan'!I20+'CED Plan'!I20+'HAB Plan'!I20+'HB Plan'!I20+'OD Plan'!I20+'HDN Plan'!I20+'KIN Plan'!I20+'LE Plan'!I20+'MER Plan'!I20+'NDN Plan'!I20+'SALT Plan'!I20+'SDN Plan'!I20+'SST Plan'!I20+'WH Plan'!I20+'FH Plan'!I20</f>
        <v/>
      </c>
      <c r="J20" s="18">
        <f>'ABA Plan'!J20+'BK Plan'!J20+'BW Plan'!J20+'CED Plan'!J20+'HAB Plan'!J20+'HB Plan'!J20+'OD Plan'!J20+'HDN Plan'!J20+'KIN Plan'!J20+'LE Plan'!J20+'MER Plan'!J20+'NDN Plan'!J20+'SALT Plan'!J20+'SDN Plan'!J20+'SST Plan'!J20+'WH Plan'!J20+'FH Plan'!J20</f>
        <v/>
      </c>
      <c r="K20" s="18">
        <f>'ABA Plan'!K20+'BK Plan'!K20+'BW Plan'!K20+'CED Plan'!K20+'HAB Plan'!K20+'HB Plan'!K20+'OD Plan'!K20+'HDN Plan'!K20+'KIN Plan'!K20+'LE Plan'!K20+'MER Plan'!K20+'NDN Plan'!K20+'SALT Plan'!K20+'SDN Plan'!K20+'SST Plan'!K20+'WH Plan'!K20+'FH Plan'!K20</f>
        <v/>
      </c>
      <c r="L20" s="18">
        <f>'ABA Plan'!L20+'BK Plan'!L20+'BW Plan'!L20+'CED Plan'!L20+'HAB Plan'!L20+'HB Plan'!L20+'OD Plan'!L20+'HDN Plan'!L20+'KIN Plan'!L20+'LE Plan'!L20+'MER Plan'!L20+'NDN Plan'!L20+'SALT Plan'!L20+'SDN Plan'!L20+'SST Plan'!L20+'WH Plan'!L20+'FH Plan'!L20</f>
        <v/>
      </c>
      <c r="M20" s="18">
        <f>'ABA Plan'!M20+'BK Plan'!M20+'BW Plan'!M20+'CED Plan'!M20+'HAB Plan'!M20+'HB Plan'!M20+'OD Plan'!M20+'HDN Plan'!M20+'KIN Plan'!M20+'LE Plan'!M20+'MER Plan'!M20+'NDN Plan'!M20+'SALT Plan'!M20+'SDN Plan'!M20+'SST Plan'!M20+'WH Plan'!M20+'FH Plan'!M20</f>
        <v/>
      </c>
      <c r="N20" s="18">
        <f>'ABA Plan'!N20+'BK Plan'!N20+'BW Plan'!N20+'CED Plan'!N20+'HAB Plan'!N20+'HB Plan'!N20+'OD Plan'!N20+'HDN Plan'!N20+'KIN Plan'!N20+'LE Plan'!N20+'MER Plan'!N20+'NDN Plan'!N20+'SALT Plan'!N20+'SDN Plan'!N20+'SST Plan'!N20+'WH Plan'!N20+'FH Plan'!N20</f>
        <v/>
      </c>
      <c r="O20" s="18">
        <f>'ABA Plan'!O20+'BK Plan'!O20+'BW Plan'!O20+'CED Plan'!O20+'HAB Plan'!O20+'HB Plan'!O20+'OD Plan'!O20+'HDN Plan'!O20+'KIN Plan'!O20+'LE Plan'!O20+'MER Plan'!O20+'NDN Plan'!O20+'SALT Plan'!O20+'SDN Plan'!O20+'SST Plan'!O20+'WH Plan'!O20+'FH Plan'!O20</f>
        <v/>
      </c>
      <c r="P20" s="18">
        <f>'ABA Plan'!P20+'BK Plan'!P20+'BW Plan'!P20+'CED Plan'!P20+'HAB Plan'!P20+'HB Plan'!P20+'OD Plan'!P20+'HDN Plan'!P20+'KIN Plan'!P20+'LE Plan'!P20+'MER Plan'!P20+'NDN Plan'!P20+'SALT Plan'!P20+'SDN Plan'!P20+'SST Plan'!P20+'WH Plan'!P20+'FH Plan'!P20</f>
        <v/>
      </c>
      <c r="Q20" s="18">
        <f>'ABA Plan'!Q20+'BK Plan'!Q20+'BW Plan'!Q20+'CED Plan'!Q20+'HAB Plan'!Q20+'HB Plan'!Q20+'OD Plan'!Q20+'HDN Plan'!Q20+'KIN Plan'!Q20+'LE Plan'!Q20+'MER Plan'!Q20+'NDN Plan'!Q20+'SALT Plan'!Q20+'SDN Plan'!Q20+'SST Plan'!Q20+'WH Plan'!Q20+'FH Plan'!Q20</f>
        <v/>
      </c>
      <c r="R20" s="18">
        <f>'ABA Plan'!R20+'BK Plan'!R20+'BW Plan'!R20+'CED Plan'!R20+'HAB Plan'!R20+'HB Plan'!R20+'OD Plan'!R20+'HDN Plan'!R20+'KIN Plan'!R20+'LE Plan'!R20+'MER Plan'!R20+'NDN Plan'!R20+'SALT Plan'!R20+'SDN Plan'!R20+'SST Plan'!R20+'WH Plan'!R20+'FH Plan'!R20</f>
        <v/>
      </c>
      <c r="S20" s="18">
        <f>'ABA Plan'!S20+'BK Plan'!S20+'BW Plan'!S20+'CED Plan'!S20+'HAB Plan'!S20+'HB Plan'!S20+'OD Plan'!S20+'HDN Plan'!S20+'KIN Plan'!S20+'LE Plan'!S20+'MER Plan'!S20+'NDN Plan'!S20+'SALT Plan'!S20+'SDN Plan'!S20+'SST Plan'!S20+'WH Plan'!S20+'FH Plan'!S20</f>
        <v/>
      </c>
      <c r="T20" s="18">
        <f>'ABA Plan'!T20+'BK Plan'!T20+'BW Plan'!T20+'CED Plan'!T20+'HAB Plan'!T20+'HB Plan'!T20+'OD Plan'!T20+'HDN Plan'!T20+'KIN Plan'!T20+'LE Plan'!T20+'MER Plan'!T20+'NDN Plan'!T20+'SALT Plan'!T20+'SDN Plan'!T20+'SST Plan'!T20+'WH Plan'!T20+'FH Plan'!T20</f>
        <v/>
      </c>
      <c r="U20" s="18">
        <f>'ABA Plan'!U20+'BK Plan'!U20+'BW Plan'!U20+'CED Plan'!U20+'HAB Plan'!U20+'HB Plan'!U20+'OD Plan'!U20+'HDN Plan'!U20+'KIN Plan'!U20+'LE Plan'!U20+'MER Plan'!U20+'NDN Plan'!U20+'SALT Plan'!U20+'SDN Plan'!U20+'SST Plan'!U20+'WH Plan'!U20+'FH Plan'!U20</f>
        <v/>
      </c>
      <c r="V20" s="18">
        <f>'ABA Plan'!V20+'BK Plan'!V20+'BW Plan'!V20+'CED Plan'!V20+'HAB Plan'!V20+'HB Plan'!V20+'OD Plan'!V20+'HDN Plan'!V20+'KIN Plan'!V20+'LE Plan'!V20+'MER Plan'!V20+'NDN Plan'!V20+'SALT Plan'!V20+'SDN Plan'!V20+'SST Plan'!V20+'WH Plan'!V20+'FH Plan'!V20</f>
        <v/>
      </c>
      <c r="W20" s="18">
        <f>'ABA Plan'!W20+'BK Plan'!W20+'BW Plan'!W20+'CED Plan'!W20+'HAB Plan'!W20+'HB Plan'!W20+'OD Plan'!W20+'HDN Plan'!W20+'KIN Plan'!W20+'LE Plan'!W20+'MER Plan'!W20+'NDN Plan'!W20+'SALT Plan'!W20+'SDN Plan'!W20+'SST Plan'!W20+'WH Plan'!W20+'FH Plan'!W20</f>
        <v/>
      </c>
      <c r="X20" s="18">
        <f>'ABA Plan'!X20+'BK Plan'!X20+'BW Plan'!X20+'CED Plan'!X20+'HAB Plan'!X20+'HB Plan'!X20+'OD Plan'!X20+'HDN Plan'!X20+'KIN Plan'!X20+'LE Plan'!X20+'MER Plan'!X20+'NDN Plan'!X20+'SALT Plan'!X20+'SDN Plan'!X20+'SST Plan'!X20+'WH Plan'!X20+'FH Plan'!X20</f>
        <v/>
      </c>
      <c r="Y20" s="18">
        <f>'ABA Plan'!Y20+'BK Plan'!Y20+'BW Plan'!Y20+'CED Plan'!Y20+'HAB Plan'!Y20+'HB Plan'!Y20+'OD Plan'!Y20+'HDN Plan'!Y20+'KIN Plan'!Y20+'LE Plan'!Y20+'MER Plan'!Y20+'NDN Plan'!Y20+'SALT Plan'!Y20+'SDN Plan'!Y20+'SST Plan'!Y20+'WH Plan'!Y20+'FH Plan'!Y20</f>
        <v/>
      </c>
      <c r="Z20" s="18">
        <f>'ABA Plan'!Z20+'BK Plan'!Z20+'BW Plan'!Z20+'CED Plan'!Z20+'HAB Plan'!Z20+'HB Plan'!Z20+'OD Plan'!Z20+'HDN Plan'!Z20+'KIN Plan'!Z20+'LE Plan'!Z20+'MER Plan'!Z20+'NDN Plan'!Z20+'SALT Plan'!Z20+'SDN Plan'!Z20+'SST Plan'!Z20+'WH Plan'!Z20+'FH Plan'!Z20</f>
        <v/>
      </c>
      <c r="AA20" s="18">
        <f>'ABA Plan'!AA20+'BK Plan'!AA20+'BW Plan'!AA20+'CED Plan'!AA20+'HAB Plan'!AA20+'HB Plan'!AA20+'OD Plan'!AA20+'HDN Plan'!AA20+'KIN Plan'!AA20+'LE Plan'!AA20+'MER Plan'!AA20+'NDN Plan'!AA20+'SALT Plan'!AA20+'SDN Plan'!AA20+'SST Plan'!AA20+'WH Plan'!AA20+'FH Plan'!AA20</f>
        <v/>
      </c>
      <c r="AB20" s="18">
        <f>'ABA Plan'!AB20+'BK Plan'!AB20+'BW Plan'!AB20+'CED Plan'!AB20+'HAB Plan'!AB20+'HB Plan'!AB20+'OD Plan'!AB20+'HDN Plan'!AB20+'KIN Plan'!AB20+'LE Plan'!AB20+'MER Plan'!AB20+'NDN Plan'!AB20+'SALT Plan'!AB20+'SDN Plan'!AB20+'SST Plan'!AB20+'WH Plan'!AB20+'FH Plan'!AB20</f>
        <v/>
      </c>
      <c r="AC20" s="18">
        <f>'ABA Plan'!AC20+'BK Plan'!AC20+'BW Plan'!AC20+'CED Plan'!AC20+'HAB Plan'!AC20+'HB Plan'!AC20+'OD Plan'!AC20+'HDN Plan'!AC20+'KIN Plan'!AC20+'LE Plan'!AC20+'MER Plan'!AC20+'NDN Plan'!AC20+'SALT Plan'!AC20+'SDN Plan'!AC20+'SST Plan'!AC20+'WH Plan'!AC20+'FH Plan'!AC20</f>
        <v/>
      </c>
      <c r="AD20" s="18">
        <f>'ABA Plan'!AD20+'BK Plan'!AD20+'BW Plan'!AD20+'CED Plan'!AD20+'HAB Plan'!AD20+'HB Plan'!AD20+'OD Plan'!AD20+'HDN Plan'!AD20+'KIN Plan'!AD20+'LE Plan'!AD20+'MER Plan'!AD20+'NDN Plan'!AD20+'SALT Plan'!AD20+'SDN Plan'!AD20+'SST Plan'!AD20+'WH Plan'!AD20+'FH Plan'!AD20</f>
        <v/>
      </c>
      <c r="AE20" s="18">
        <f>'ABA Plan'!AE20+'BK Plan'!AE20+'BW Plan'!AE20+'CED Plan'!AE20+'HAB Plan'!AE20+'HB Plan'!AE20+'OD Plan'!AE20+'HDN Plan'!AE20+'KIN Plan'!AE20+'LE Plan'!AE20+'MER Plan'!AE20+'NDN Plan'!AE20+'SALT Plan'!AE20+'SDN Plan'!AE20+'SST Plan'!AE20+'WH Plan'!AE20+'FH Plan'!AE20</f>
        <v/>
      </c>
      <c r="AF20" s="18">
        <f>'ABA Plan'!AF20+'BK Plan'!AF20+'BW Plan'!AF20+'CED Plan'!AF20+'HAB Plan'!AF20+'HB Plan'!AF20+'OD Plan'!AF20+'HDN Plan'!AF20+'KIN Plan'!AF20+'LE Plan'!AF20+'MER Plan'!AF20+'NDN Plan'!AF20+'SALT Plan'!AF20+'SDN Plan'!AF20+'SST Plan'!AF20+'WH Plan'!AF20+'FH Plan'!AF20</f>
        <v/>
      </c>
      <c r="AG20" s="18">
        <f>'ABA Plan'!AG20+'BK Plan'!AG20+'BW Plan'!AG20+'CED Plan'!AG20+'HAB Plan'!AG20+'HB Plan'!AG20+'OD Plan'!AG20+'HDN Plan'!AG20+'KIN Plan'!AG20+'LE Plan'!AG20+'MER Plan'!AG20+'NDN Plan'!AG20+'SALT Plan'!AG20+'SDN Plan'!AG20+'SST Plan'!AG20+'WH Plan'!AG20+'FH Plan'!AG20</f>
        <v/>
      </c>
      <c r="AH20" s="18">
        <f>'ABA Plan'!AH20+'BK Plan'!AH20+'BW Plan'!AH20+'CED Plan'!AH20+'HAB Plan'!AH20+'HB Plan'!AH20+'OD Plan'!AH20+'HDN Plan'!AH20+'KIN Plan'!AH20+'LE Plan'!AH20+'MER Plan'!AH20+'NDN Plan'!AH20+'SALT Plan'!AH20+'SDN Plan'!AH20+'SST Plan'!AH20+'WH Plan'!AH20+'FH Plan'!AH20</f>
        <v/>
      </c>
      <c r="AI20" s="18">
        <f>'ABA Plan'!AI20+'BK Plan'!AI20+'BW Plan'!AI20+'CED Plan'!AI20+'HAB Plan'!AI20+'HB Plan'!AI20+'OD Plan'!AI20+'HDN Plan'!AI20+'KIN Plan'!AI20+'LE Plan'!AI20+'MER Plan'!AI20+'NDN Plan'!AI20+'SALT Plan'!AI20+'SDN Plan'!AI20+'SST Plan'!AI20+'WH Plan'!AI20+'FH Plan'!AI20</f>
        <v/>
      </c>
      <c r="AJ20" s="18">
        <f>'ABA Plan'!AJ20+'BK Plan'!AJ20+'BW Plan'!AJ20+'CED Plan'!AJ20+'HAB Plan'!AJ20+'HB Plan'!AJ20+'OD Plan'!AJ20+'HDN Plan'!AJ20+'KIN Plan'!AJ20+'LE Plan'!AJ20+'MER Plan'!AJ20+'NDN Plan'!AJ20+'SALT Plan'!AJ20+'SDN Plan'!AJ20+'SST Plan'!AJ20+'WH Plan'!AJ20+'FH Plan'!AJ20</f>
        <v/>
      </c>
      <c r="AK20" s="11">
        <f>IF(N20&lt;&gt;0,(AB20-N20)/ABS(N20),0)</f>
        <v/>
      </c>
      <c r="AL20" s="11">
        <f>IF(AB20&lt;&gt;0,(AJ20-AB20)/ABS(AB20),0)</f>
        <v/>
      </c>
    </row>
    <row r="21" ht="13" customHeight="1">
      <c r="A21" s="19" t="inlineStr">
        <is>
          <t xml:space="preserve">    Sal:Rev</t>
        </is>
      </c>
      <c r="N21" s="20">
        <f>IF(N7&gt;0,N20/N7,0)</f>
        <v/>
      </c>
      <c r="AB21" s="20">
        <f>IF(AB7&gt;0,AB20/AB7,0)</f>
        <v/>
      </c>
      <c r="AJ21" s="20">
        <f>IF(AJ7&gt;0,AJ20/AJ7,0)</f>
        <v/>
      </c>
    </row>
    <row r="22" ht="5" customHeight="1"/>
    <row r="23" ht="13" customHeight="1">
      <c r="A23" s="14" t="inlineStr">
        <is>
          <t>Childcare</t>
        </is>
      </c>
    </row>
    <row r="24" ht="13" customHeight="1">
      <c r="A24" s="21" t="inlineStr">
        <is>
          <t xml:space="preserve">    Catering Costs</t>
        </is>
      </c>
      <c r="B24" s="22">
        <f>'ABA Plan'!B24+'BK Plan'!B24+'BW Plan'!B24+'CED Plan'!B24+'HAB Plan'!B24+'HB Plan'!B24+'OD Plan'!B24+'HDN Plan'!B24+'KIN Plan'!B24+'LE Plan'!B24+'MER Plan'!B24+'NDN Plan'!B24+'SALT Plan'!B24+'SDN Plan'!B24+'SST Plan'!B24+'WH Plan'!B24+'FH Plan'!B24</f>
        <v/>
      </c>
      <c r="C24" s="22">
        <f>'ABA Plan'!C24+'BK Plan'!C24+'BW Plan'!C24+'CED Plan'!C24+'HAB Plan'!C24+'HB Plan'!C24+'OD Plan'!C24+'HDN Plan'!C24+'KIN Plan'!C24+'LE Plan'!C24+'MER Plan'!C24+'NDN Plan'!C24+'SALT Plan'!C24+'SDN Plan'!C24+'SST Plan'!C24+'WH Plan'!C24+'FH Plan'!C24</f>
        <v/>
      </c>
      <c r="D24" s="22">
        <f>'ABA Plan'!D24+'BK Plan'!D24+'BW Plan'!D24+'CED Plan'!D24+'HAB Plan'!D24+'HB Plan'!D24+'OD Plan'!D24+'HDN Plan'!D24+'KIN Plan'!D24+'LE Plan'!D24+'MER Plan'!D24+'NDN Plan'!D24+'SALT Plan'!D24+'SDN Plan'!D24+'SST Plan'!D24+'WH Plan'!D24+'FH Plan'!D24</f>
        <v/>
      </c>
      <c r="E24" s="22">
        <f>'ABA Plan'!E24+'BK Plan'!E24+'BW Plan'!E24+'CED Plan'!E24+'HAB Plan'!E24+'HB Plan'!E24+'OD Plan'!E24+'HDN Plan'!E24+'KIN Plan'!E24+'LE Plan'!E24+'MER Plan'!E24+'NDN Plan'!E24+'SALT Plan'!E24+'SDN Plan'!E24+'SST Plan'!E24+'WH Plan'!E24+'FH Plan'!E24</f>
        <v/>
      </c>
      <c r="F24" s="22">
        <f>'ABA Plan'!F24+'BK Plan'!F24+'BW Plan'!F24+'CED Plan'!F24+'HAB Plan'!F24+'HB Plan'!F24+'OD Plan'!F24+'HDN Plan'!F24+'KIN Plan'!F24+'LE Plan'!F24+'MER Plan'!F24+'NDN Plan'!F24+'SALT Plan'!F24+'SDN Plan'!F24+'SST Plan'!F24+'WH Plan'!F24+'FH Plan'!F24</f>
        <v/>
      </c>
      <c r="G24" s="22">
        <f>'ABA Plan'!G24+'BK Plan'!G24+'BW Plan'!G24+'CED Plan'!G24+'HAB Plan'!G24+'HB Plan'!G24+'OD Plan'!G24+'HDN Plan'!G24+'KIN Plan'!G24+'LE Plan'!G24+'MER Plan'!G24+'NDN Plan'!G24+'SALT Plan'!G24+'SDN Plan'!G24+'SST Plan'!G24+'WH Plan'!G24+'FH Plan'!G24</f>
        <v/>
      </c>
      <c r="H24" s="22">
        <f>'ABA Plan'!H24+'BK Plan'!H24+'BW Plan'!H24+'CED Plan'!H24+'HAB Plan'!H24+'HB Plan'!H24+'OD Plan'!H24+'HDN Plan'!H24+'KIN Plan'!H24+'LE Plan'!H24+'MER Plan'!H24+'NDN Plan'!H24+'SALT Plan'!H24+'SDN Plan'!H24+'SST Plan'!H24+'WH Plan'!H24+'FH Plan'!H24</f>
        <v/>
      </c>
      <c r="I24" s="22">
        <f>'ABA Plan'!I24+'BK Plan'!I24+'BW Plan'!I24+'CED Plan'!I24+'HAB Plan'!I24+'HB Plan'!I24+'OD Plan'!I24+'HDN Plan'!I24+'KIN Plan'!I24+'LE Plan'!I24+'MER Plan'!I24+'NDN Plan'!I24+'SALT Plan'!I24+'SDN Plan'!I24+'SST Plan'!I24+'WH Plan'!I24+'FH Plan'!I24</f>
        <v/>
      </c>
      <c r="J24" s="22">
        <f>'ABA Plan'!J24+'BK Plan'!J24+'BW Plan'!J24+'CED Plan'!J24+'HAB Plan'!J24+'HB Plan'!J24+'OD Plan'!J24+'HDN Plan'!J24+'KIN Plan'!J24+'LE Plan'!J24+'MER Plan'!J24+'NDN Plan'!J24+'SALT Plan'!J24+'SDN Plan'!J24+'SST Plan'!J24+'WH Plan'!J24+'FH Plan'!J24</f>
        <v/>
      </c>
      <c r="K24" s="22">
        <f>'ABA Plan'!K24+'BK Plan'!K24+'BW Plan'!K24+'CED Plan'!K24+'HAB Plan'!K24+'HB Plan'!K24+'OD Plan'!K24+'HDN Plan'!K24+'KIN Plan'!K24+'LE Plan'!K24+'MER Plan'!K24+'NDN Plan'!K24+'SALT Plan'!K24+'SDN Plan'!K24+'SST Plan'!K24+'WH Plan'!K24+'FH Plan'!K24</f>
        <v/>
      </c>
      <c r="L24" s="22">
        <f>'ABA Plan'!L24+'BK Plan'!L24+'BW Plan'!L24+'CED Plan'!L24+'HAB Plan'!L24+'HB Plan'!L24+'OD Plan'!L24+'HDN Plan'!L24+'KIN Plan'!L24+'LE Plan'!L24+'MER Plan'!L24+'NDN Plan'!L24+'SALT Plan'!L24+'SDN Plan'!L24+'SST Plan'!L24+'WH Plan'!L24+'FH Plan'!L24</f>
        <v/>
      </c>
      <c r="M24" s="22">
        <f>'ABA Plan'!M24+'BK Plan'!M24+'BW Plan'!M24+'CED Plan'!M24+'HAB Plan'!M24+'HB Plan'!M24+'OD Plan'!M24+'HDN Plan'!M24+'KIN Plan'!M24+'LE Plan'!M24+'MER Plan'!M24+'NDN Plan'!M24+'SALT Plan'!M24+'SDN Plan'!M24+'SST Plan'!M24+'WH Plan'!M24+'FH Plan'!M24</f>
        <v/>
      </c>
      <c r="N24" s="22">
        <f>'ABA Plan'!N24+'BK Plan'!N24+'BW Plan'!N24+'CED Plan'!N24+'HAB Plan'!N24+'HB Plan'!N24+'OD Plan'!N24+'HDN Plan'!N24+'KIN Plan'!N24+'LE Plan'!N24+'MER Plan'!N24+'NDN Plan'!N24+'SALT Plan'!N24+'SDN Plan'!N24+'SST Plan'!N24+'WH Plan'!N24+'FH Plan'!N24</f>
        <v/>
      </c>
      <c r="O24" s="22">
        <f>'ABA Plan'!O24+'BK Plan'!O24+'BW Plan'!O24+'CED Plan'!O24+'HAB Plan'!O24+'HB Plan'!O24+'OD Plan'!O24+'HDN Plan'!O24+'KIN Plan'!O24+'LE Plan'!O24+'MER Plan'!O24+'NDN Plan'!O24+'SALT Plan'!O24+'SDN Plan'!O24+'SST Plan'!O24+'WH Plan'!O24+'FH Plan'!O24</f>
        <v/>
      </c>
      <c r="P24" s="22">
        <f>'ABA Plan'!P24+'BK Plan'!P24+'BW Plan'!P24+'CED Plan'!P24+'HAB Plan'!P24+'HB Plan'!P24+'OD Plan'!P24+'HDN Plan'!P24+'KIN Plan'!P24+'LE Plan'!P24+'MER Plan'!P24+'NDN Plan'!P24+'SALT Plan'!P24+'SDN Plan'!P24+'SST Plan'!P24+'WH Plan'!P24+'FH Plan'!P24</f>
        <v/>
      </c>
      <c r="Q24" s="22">
        <f>'ABA Plan'!Q24+'BK Plan'!Q24+'BW Plan'!Q24+'CED Plan'!Q24+'HAB Plan'!Q24+'HB Plan'!Q24+'OD Plan'!Q24+'HDN Plan'!Q24+'KIN Plan'!Q24+'LE Plan'!Q24+'MER Plan'!Q24+'NDN Plan'!Q24+'SALT Plan'!Q24+'SDN Plan'!Q24+'SST Plan'!Q24+'WH Plan'!Q24+'FH Plan'!Q24</f>
        <v/>
      </c>
      <c r="R24" s="22">
        <f>'ABA Plan'!R24+'BK Plan'!R24+'BW Plan'!R24+'CED Plan'!R24+'HAB Plan'!R24+'HB Plan'!R24+'OD Plan'!R24+'HDN Plan'!R24+'KIN Plan'!R24+'LE Plan'!R24+'MER Plan'!R24+'NDN Plan'!R24+'SALT Plan'!R24+'SDN Plan'!R24+'SST Plan'!R24+'WH Plan'!R24+'FH Plan'!R24</f>
        <v/>
      </c>
      <c r="S24" s="22">
        <f>'ABA Plan'!S24+'BK Plan'!S24+'BW Plan'!S24+'CED Plan'!S24+'HAB Plan'!S24+'HB Plan'!S24+'OD Plan'!S24+'HDN Plan'!S24+'KIN Plan'!S24+'LE Plan'!S24+'MER Plan'!S24+'NDN Plan'!S24+'SALT Plan'!S24+'SDN Plan'!S24+'SST Plan'!S24+'WH Plan'!S24+'FH Plan'!S24</f>
        <v/>
      </c>
      <c r="T24" s="22">
        <f>'ABA Plan'!T24+'BK Plan'!T24+'BW Plan'!T24+'CED Plan'!T24+'HAB Plan'!T24+'HB Plan'!T24+'OD Plan'!T24+'HDN Plan'!T24+'KIN Plan'!T24+'LE Plan'!T24+'MER Plan'!T24+'NDN Plan'!T24+'SALT Plan'!T24+'SDN Plan'!T24+'SST Plan'!T24+'WH Plan'!T24+'FH Plan'!T24</f>
        <v/>
      </c>
      <c r="U24" s="22">
        <f>'ABA Plan'!U24+'BK Plan'!U24+'BW Plan'!U24+'CED Plan'!U24+'HAB Plan'!U24+'HB Plan'!U24+'OD Plan'!U24+'HDN Plan'!U24+'KIN Plan'!U24+'LE Plan'!U24+'MER Plan'!U24+'NDN Plan'!U24+'SALT Plan'!U24+'SDN Plan'!U24+'SST Plan'!U24+'WH Plan'!U24+'FH Plan'!U24</f>
        <v/>
      </c>
      <c r="V24" s="22">
        <f>'ABA Plan'!V24+'BK Plan'!V24+'BW Plan'!V24+'CED Plan'!V24+'HAB Plan'!V24+'HB Plan'!V24+'OD Plan'!V24+'HDN Plan'!V24+'KIN Plan'!V24+'LE Plan'!V24+'MER Plan'!V24+'NDN Plan'!V24+'SALT Plan'!V24+'SDN Plan'!V24+'SST Plan'!V24+'WH Plan'!V24+'FH Plan'!V24</f>
        <v/>
      </c>
      <c r="W24" s="22">
        <f>'ABA Plan'!W24+'BK Plan'!W24+'BW Plan'!W24+'CED Plan'!W24+'HAB Plan'!W24+'HB Plan'!W24+'OD Plan'!W24+'HDN Plan'!W24+'KIN Plan'!W24+'LE Plan'!W24+'MER Plan'!W24+'NDN Plan'!W24+'SALT Plan'!W24+'SDN Plan'!W24+'SST Plan'!W24+'WH Plan'!W24+'FH Plan'!W24</f>
        <v/>
      </c>
      <c r="X24" s="22">
        <f>'ABA Plan'!X24+'BK Plan'!X24+'BW Plan'!X24+'CED Plan'!X24+'HAB Plan'!X24+'HB Plan'!X24+'OD Plan'!X24+'HDN Plan'!X24+'KIN Plan'!X24+'LE Plan'!X24+'MER Plan'!X24+'NDN Plan'!X24+'SALT Plan'!X24+'SDN Plan'!X24+'SST Plan'!X24+'WH Plan'!X24+'FH Plan'!X24</f>
        <v/>
      </c>
      <c r="Y24" s="22">
        <f>'ABA Plan'!Y24+'BK Plan'!Y24+'BW Plan'!Y24+'CED Plan'!Y24+'HAB Plan'!Y24+'HB Plan'!Y24+'OD Plan'!Y24+'HDN Plan'!Y24+'KIN Plan'!Y24+'LE Plan'!Y24+'MER Plan'!Y24+'NDN Plan'!Y24+'SALT Plan'!Y24+'SDN Plan'!Y24+'SST Plan'!Y24+'WH Plan'!Y24+'FH Plan'!Y24</f>
        <v/>
      </c>
      <c r="Z24" s="22">
        <f>'ABA Plan'!Z24+'BK Plan'!Z24+'BW Plan'!Z24+'CED Plan'!Z24+'HAB Plan'!Z24+'HB Plan'!Z24+'OD Plan'!Z24+'HDN Plan'!Z24+'KIN Plan'!Z24+'LE Plan'!Z24+'MER Plan'!Z24+'NDN Plan'!Z24+'SALT Plan'!Z24+'SDN Plan'!Z24+'SST Plan'!Z24+'WH Plan'!Z24+'FH Plan'!Z24</f>
        <v/>
      </c>
      <c r="AA24" s="22">
        <f>'ABA Plan'!AA24+'BK Plan'!AA24+'BW Plan'!AA24+'CED Plan'!AA24+'HAB Plan'!AA24+'HB Plan'!AA24+'OD Plan'!AA24+'HDN Plan'!AA24+'KIN Plan'!AA24+'LE Plan'!AA24+'MER Plan'!AA24+'NDN Plan'!AA24+'SALT Plan'!AA24+'SDN Plan'!AA24+'SST Plan'!AA24+'WH Plan'!AA24+'FH Plan'!AA24</f>
        <v/>
      </c>
      <c r="AB24" s="22">
        <f>'ABA Plan'!AB24+'BK Plan'!AB24+'BW Plan'!AB24+'CED Plan'!AB24+'HAB Plan'!AB24+'HB Plan'!AB24+'OD Plan'!AB24+'HDN Plan'!AB24+'KIN Plan'!AB24+'LE Plan'!AB24+'MER Plan'!AB24+'NDN Plan'!AB24+'SALT Plan'!AB24+'SDN Plan'!AB24+'SST Plan'!AB24+'WH Plan'!AB24+'FH Plan'!AB24</f>
        <v/>
      </c>
      <c r="AC24" s="22">
        <f>'ABA Plan'!AC24+'BK Plan'!AC24+'BW Plan'!AC24+'CED Plan'!AC24+'HAB Plan'!AC24+'HB Plan'!AC24+'OD Plan'!AC24+'HDN Plan'!AC24+'KIN Plan'!AC24+'LE Plan'!AC24+'MER Plan'!AC24+'NDN Plan'!AC24+'SALT Plan'!AC24+'SDN Plan'!AC24+'SST Plan'!AC24+'WH Plan'!AC24+'FH Plan'!AC24</f>
        <v/>
      </c>
      <c r="AD24" s="22">
        <f>'ABA Plan'!AD24+'BK Plan'!AD24+'BW Plan'!AD24+'CED Plan'!AD24+'HAB Plan'!AD24+'HB Plan'!AD24+'OD Plan'!AD24+'HDN Plan'!AD24+'KIN Plan'!AD24+'LE Plan'!AD24+'MER Plan'!AD24+'NDN Plan'!AD24+'SALT Plan'!AD24+'SDN Plan'!AD24+'SST Plan'!AD24+'WH Plan'!AD24+'FH Plan'!AD24</f>
        <v/>
      </c>
      <c r="AE24" s="22">
        <f>'ABA Plan'!AE24+'BK Plan'!AE24+'BW Plan'!AE24+'CED Plan'!AE24+'HAB Plan'!AE24+'HB Plan'!AE24+'OD Plan'!AE24+'HDN Plan'!AE24+'KIN Plan'!AE24+'LE Plan'!AE24+'MER Plan'!AE24+'NDN Plan'!AE24+'SALT Plan'!AE24+'SDN Plan'!AE24+'SST Plan'!AE24+'WH Plan'!AE24+'FH Plan'!AE24</f>
        <v/>
      </c>
      <c r="AF24" s="22">
        <f>'ABA Plan'!AF24+'BK Plan'!AF24+'BW Plan'!AF24+'CED Plan'!AF24+'HAB Plan'!AF24+'HB Plan'!AF24+'OD Plan'!AF24+'HDN Plan'!AF24+'KIN Plan'!AF24+'LE Plan'!AF24+'MER Plan'!AF24+'NDN Plan'!AF24+'SALT Plan'!AF24+'SDN Plan'!AF24+'SST Plan'!AF24+'WH Plan'!AF24+'FH Plan'!AF24</f>
        <v/>
      </c>
      <c r="AG24" s="22">
        <f>'ABA Plan'!AG24+'BK Plan'!AG24+'BW Plan'!AG24+'CED Plan'!AG24+'HAB Plan'!AG24+'HB Plan'!AG24+'OD Plan'!AG24+'HDN Plan'!AG24+'KIN Plan'!AG24+'LE Plan'!AG24+'MER Plan'!AG24+'NDN Plan'!AG24+'SALT Plan'!AG24+'SDN Plan'!AG24+'SST Plan'!AG24+'WH Plan'!AG24+'FH Plan'!AG24</f>
        <v/>
      </c>
      <c r="AH24" s="22">
        <f>'ABA Plan'!AH24+'BK Plan'!AH24+'BW Plan'!AH24+'CED Plan'!AH24+'HAB Plan'!AH24+'HB Plan'!AH24+'OD Plan'!AH24+'HDN Plan'!AH24+'KIN Plan'!AH24+'LE Plan'!AH24+'MER Plan'!AH24+'NDN Plan'!AH24+'SALT Plan'!AH24+'SDN Plan'!AH24+'SST Plan'!AH24+'WH Plan'!AH24+'FH Plan'!AH24</f>
        <v/>
      </c>
      <c r="AI24" s="22">
        <f>'ABA Plan'!AI24+'BK Plan'!AI24+'BW Plan'!AI24+'CED Plan'!AI24+'HAB Plan'!AI24+'HB Plan'!AI24+'OD Plan'!AI24+'HDN Plan'!AI24+'KIN Plan'!AI24+'LE Plan'!AI24+'MER Plan'!AI24+'NDN Plan'!AI24+'SALT Plan'!AI24+'SDN Plan'!AI24+'SST Plan'!AI24+'WH Plan'!AI24+'FH Plan'!AI24</f>
        <v/>
      </c>
      <c r="AJ24" s="22">
        <f>'ABA Plan'!AJ24+'BK Plan'!AJ24+'BW Plan'!AJ24+'CED Plan'!AJ24+'HAB Plan'!AJ24+'HB Plan'!AJ24+'OD Plan'!AJ24+'HDN Plan'!AJ24+'KIN Plan'!AJ24+'LE Plan'!AJ24+'MER Plan'!AJ24+'NDN Plan'!AJ24+'SALT Plan'!AJ24+'SDN Plan'!AJ24+'SST Plan'!AJ24+'WH Plan'!AJ24+'FH Plan'!AJ24</f>
        <v/>
      </c>
      <c r="AK24" s="11">
        <f>IF(N24&lt;&gt;0,(AB24-N24)/ABS(N24),0)</f>
        <v/>
      </c>
      <c r="AL24" s="11">
        <f>IF(AB24&lt;&gt;0,(AJ24-AB24)/ABS(AB24),0)</f>
        <v/>
      </c>
    </row>
    <row r="25" ht="13" customHeight="1">
      <c r="A25" s="21" t="inlineStr">
        <is>
          <t xml:space="preserve">    Toys and Games</t>
        </is>
      </c>
      <c r="B25" s="22">
        <f>'ABA Plan'!B25+'BK Plan'!B25+'BW Plan'!B25+'CED Plan'!B25+'HAB Plan'!B25+'HB Plan'!B25+'OD Plan'!B25+'HDN Plan'!B25+'KIN Plan'!B25+'LE Plan'!B25+'MER Plan'!B25+'NDN Plan'!B25+'SALT Plan'!B25+'SDN Plan'!B25+'SST Plan'!B25+'WH Plan'!B25+'FH Plan'!B25</f>
        <v/>
      </c>
      <c r="C25" s="22">
        <f>'ABA Plan'!C25+'BK Plan'!C25+'BW Plan'!C25+'CED Plan'!C25+'HAB Plan'!C25+'HB Plan'!C25+'OD Plan'!C25+'HDN Plan'!C25+'KIN Plan'!C25+'LE Plan'!C25+'MER Plan'!C25+'NDN Plan'!C25+'SALT Plan'!C25+'SDN Plan'!C25+'SST Plan'!C25+'WH Plan'!C25+'FH Plan'!C25</f>
        <v/>
      </c>
      <c r="D25" s="22">
        <f>'ABA Plan'!D25+'BK Plan'!D25+'BW Plan'!D25+'CED Plan'!D25+'HAB Plan'!D25+'HB Plan'!D25+'OD Plan'!D25+'HDN Plan'!D25+'KIN Plan'!D25+'LE Plan'!D25+'MER Plan'!D25+'NDN Plan'!D25+'SALT Plan'!D25+'SDN Plan'!D25+'SST Plan'!D25+'WH Plan'!D25+'FH Plan'!D25</f>
        <v/>
      </c>
      <c r="E25" s="22">
        <f>'ABA Plan'!E25+'BK Plan'!E25+'BW Plan'!E25+'CED Plan'!E25+'HAB Plan'!E25+'HB Plan'!E25+'OD Plan'!E25+'HDN Plan'!E25+'KIN Plan'!E25+'LE Plan'!E25+'MER Plan'!E25+'NDN Plan'!E25+'SALT Plan'!E25+'SDN Plan'!E25+'SST Plan'!E25+'WH Plan'!E25+'FH Plan'!E25</f>
        <v/>
      </c>
      <c r="F25" s="22">
        <f>'ABA Plan'!F25+'BK Plan'!F25+'BW Plan'!F25+'CED Plan'!F25+'HAB Plan'!F25+'HB Plan'!F25+'OD Plan'!F25+'HDN Plan'!F25+'KIN Plan'!F25+'LE Plan'!F25+'MER Plan'!F25+'NDN Plan'!F25+'SALT Plan'!F25+'SDN Plan'!F25+'SST Plan'!F25+'WH Plan'!F25+'FH Plan'!F25</f>
        <v/>
      </c>
      <c r="G25" s="22">
        <f>'ABA Plan'!G25+'BK Plan'!G25+'BW Plan'!G25+'CED Plan'!G25+'HAB Plan'!G25+'HB Plan'!G25+'OD Plan'!G25+'HDN Plan'!G25+'KIN Plan'!G25+'LE Plan'!G25+'MER Plan'!G25+'NDN Plan'!G25+'SALT Plan'!G25+'SDN Plan'!G25+'SST Plan'!G25+'WH Plan'!G25+'FH Plan'!G25</f>
        <v/>
      </c>
      <c r="H25" s="22">
        <f>'ABA Plan'!H25+'BK Plan'!H25+'BW Plan'!H25+'CED Plan'!H25+'HAB Plan'!H25+'HB Plan'!H25+'OD Plan'!H25+'HDN Plan'!H25+'KIN Plan'!H25+'LE Plan'!H25+'MER Plan'!H25+'NDN Plan'!H25+'SALT Plan'!H25+'SDN Plan'!H25+'SST Plan'!H25+'WH Plan'!H25+'FH Plan'!H25</f>
        <v/>
      </c>
      <c r="I25" s="22">
        <f>'ABA Plan'!I25+'BK Plan'!I25+'BW Plan'!I25+'CED Plan'!I25+'HAB Plan'!I25+'HB Plan'!I25+'OD Plan'!I25+'HDN Plan'!I25+'KIN Plan'!I25+'LE Plan'!I25+'MER Plan'!I25+'NDN Plan'!I25+'SALT Plan'!I25+'SDN Plan'!I25+'SST Plan'!I25+'WH Plan'!I25+'FH Plan'!I25</f>
        <v/>
      </c>
      <c r="J25" s="22">
        <f>'ABA Plan'!J25+'BK Plan'!J25+'BW Plan'!J25+'CED Plan'!J25+'HAB Plan'!J25+'HB Plan'!J25+'OD Plan'!J25+'HDN Plan'!J25+'KIN Plan'!J25+'LE Plan'!J25+'MER Plan'!J25+'NDN Plan'!J25+'SALT Plan'!J25+'SDN Plan'!J25+'SST Plan'!J25+'WH Plan'!J25+'FH Plan'!J25</f>
        <v/>
      </c>
      <c r="K25" s="22">
        <f>'ABA Plan'!K25+'BK Plan'!K25+'BW Plan'!K25+'CED Plan'!K25+'HAB Plan'!K25+'HB Plan'!K25+'OD Plan'!K25+'HDN Plan'!K25+'KIN Plan'!K25+'LE Plan'!K25+'MER Plan'!K25+'NDN Plan'!K25+'SALT Plan'!K25+'SDN Plan'!K25+'SST Plan'!K25+'WH Plan'!K25+'FH Plan'!K25</f>
        <v/>
      </c>
      <c r="L25" s="22">
        <f>'ABA Plan'!L25+'BK Plan'!L25+'BW Plan'!L25+'CED Plan'!L25+'HAB Plan'!L25+'HB Plan'!L25+'OD Plan'!L25+'HDN Plan'!L25+'KIN Plan'!L25+'LE Plan'!L25+'MER Plan'!L25+'NDN Plan'!L25+'SALT Plan'!L25+'SDN Plan'!L25+'SST Plan'!L25+'WH Plan'!L25+'FH Plan'!L25</f>
        <v/>
      </c>
      <c r="M25" s="22">
        <f>'ABA Plan'!M25+'BK Plan'!M25+'BW Plan'!M25+'CED Plan'!M25+'HAB Plan'!M25+'HB Plan'!M25+'OD Plan'!M25+'HDN Plan'!M25+'KIN Plan'!M25+'LE Plan'!M25+'MER Plan'!M25+'NDN Plan'!M25+'SALT Plan'!M25+'SDN Plan'!M25+'SST Plan'!M25+'WH Plan'!M25+'FH Plan'!M25</f>
        <v/>
      </c>
      <c r="N25" s="22">
        <f>'ABA Plan'!N25+'BK Plan'!N25+'BW Plan'!N25+'CED Plan'!N25+'HAB Plan'!N25+'HB Plan'!N25+'OD Plan'!N25+'HDN Plan'!N25+'KIN Plan'!N25+'LE Plan'!N25+'MER Plan'!N25+'NDN Plan'!N25+'SALT Plan'!N25+'SDN Plan'!N25+'SST Plan'!N25+'WH Plan'!N25+'FH Plan'!N25</f>
        <v/>
      </c>
      <c r="O25" s="22">
        <f>'ABA Plan'!O25+'BK Plan'!O25+'BW Plan'!O25+'CED Plan'!O25+'HAB Plan'!O25+'HB Plan'!O25+'OD Plan'!O25+'HDN Plan'!O25+'KIN Plan'!O25+'LE Plan'!O25+'MER Plan'!O25+'NDN Plan'!O25+'SALT Plan'!O25+'SDN Plan'!O25+'SST Plan'!O25+'WH Plan'!O25+'FH Plan'!O25</f>
        <v/>
      </c>
      <c r="P25" s="22">
        <f>'ABA Plan'!P25+'BK Plan'!P25+'BW Plan'!P25+'CED Plan'!P25+'HAB Plan'!P25+'HB Plan'!P25+'OD Plan'!P25+'HDN Plan'!P25+'KIN Plan'!P25+'LE Plan'!P25+'MER Plan'!P25+'NDN Plan'!P25+'SALT Plan'!P25+'SDN Plan'!P25+'SST Plan'!P25+'WH Plan'!P25+'FH Plan'!P25</f>
        <v/>
      </c>
      <c r="Q25" s="22">
        <f>'ABA Plan'!Q25+'BK Plan'!Q25+'BW Plan'!Q25+'CED Plan'!Q25+'HAB Plan'!Q25+'HB Plan'!Q25+'OD Plan'!Q25+'HDN Plan'!Q25+'KIN Plan'!Q25+'LE Plan'!Q25+'MER Plan'!Q25+'NDN Plan'!Q25+'SALT Plan'!Q25+'SDN Plan'!Q25+'SST Plan'!Q25+'WH Plan'!Q25+'FH Plan'!Q25</f>
        <v/>
      </c>
      <c r="R25" s="22">
        <f>'ABA Plan'!R25+'BK Plan'!R25+'BW Plan'!R25+'CED Plan'!R25+'HAB Plan'!R25+'HB Plan'!R25+'OD Plan'!R25+'HDN Plan'!R25+'KIN Plan'!R25+'LE Plan'!R25+'MER Plan'!R25+'NDN Plan'!R25+'SALT Plan'!R25+'SDN Plan'!R25+'SST Plan'!R25+'WH Plan'!R25+'FH Plan'!R25</f>
        <v/>
      </c>
      <c r="S25" s="22">
        <f>'ABA Plan'!S25+'BK Plan'!S25+'BW Plan'!S25+'CED Plan'!S25+'HAB Plan'!S25+'HB Plan'!S25+'OD Plan'!S25+'HDN Plan'!S25+'KIN Plan'!S25+'LE Plan'!S25+'MER Plan'!S25+'NDN Plan'!S25+'SALT Plan'!S25+'SDN Plan'!S25+'SST Plan'!S25+'WH Plan'!S25+'FH Plan'!S25</f>
        <v/>
      </c>
      <c r="T25" s="22">
        <f>'ABA Plan'!T25+'BK Plan'!T25+'BW Plan'!T25+'CED Plan'!T25+'HAB Plan'!T25+'HB Plan'!T25+'OD Plan'!T25+'HDN Plan'!T25+'KIN Plan'!T25+'LE Plan'!T25+'MER Plan'!T25+'NDN Plan'!T25+'SALT Plan'!T25+'SDN Plan'!T25+'SST Plan'!T25+'WH Plan'!T25+'FH Plan'!T25</f>
        <v/>
      </c>
      <c r="U25" s="22">
        <f>'ABA Plan'!U25+'BK Plan'!U25+'BW Plan'!U25+'CED Plan'!U25+'HAB Plan'!U25+'HB Plan'!U25+'OD Plan'!U25+'HDN Plan'!U25+'KIN Plan'!U25+'LE Plan'!U25+'MER Plan'!U25+'NDN Plan'!U25+'SALT Plan'!U25+'SDN Plan'!U25+'SST Plan'!U25+'WH Plan'!U25+'FH Plan'!U25</f>
        <v/>
      </c>
      <c r="V25" s="22">
        <f>'ABA Plan'!V25+'BK Plan'!V25+'BW Plan'!V25+'CED Plan'!V25+'HAB Plan'!V25+'HB Plan'!V25+'OD Plan'!V25+'HDN Plan'!V25+'KIN Plan'!V25+'LE Plan'!V25+'MER Plan'!V25+'NDN Plan'!V25+'SALT Plan'!V25+'SDN Plan'!V25+'SST Plan'!V25+'WH Plan'!V25+'FH Plan'!V25</f>
        <v/>
      </c>
      <c r="W25" s="22">
        <f>'ABA Plan'!W25+'BK Plan'!W25+'BW Plan'!W25+'CED Plan'!W25+'HAB Plan'!W25+'HB Plan'!W25+'OD Plan'!W25+'HDN Plan'!W25+'KIN Plan'!W25+'LE Plan'!W25+'MER Plan'!W25+'NDN Plan'!W25+'SALT Plan'!W25+'SDN Plan'!W25+'SST Plan'!W25+'WH Plan'!W25+'FH Plan'!W25</f>
        <v/>
      </c>
      <c r="X25" s="22">
        <f>'ABA Plan'!X25+'BK Plan'!X25+'BW Plan'!X25+'CED Plan'!X25+'HAB Plan'!X25+'HB Plan'!X25+'OD Plan'!X25+'HDN Plan'!X25+'KIN Plan'!X25+'LE Plan'!X25+'MER Plan'!X25+'NDN Plan'!X25+'SALT Plan'!X25+'SDN Plan'!X25+'SST Plan'!X25+'WH Plan'!X25+'FH Plan'!X25</f>
        <v/>
      </c>
      <c r="Y25" s="22">
        <f>'ABA Plan'!Y25+'BK Plan'!Y25+'BW Plan'!Y25+'CED Plan'!Y25+'HAB Plan'!Y25+'HB Plan'!Y25+'OD Plan'!Y25+'HDN Plan'!Y25+'KIN Plan'!Y25+'LE Plan'!Y25+'MER Plan'!Y25+'NDN Plan'!Y25+'SALT Plan'!Y25+'SDN Plan'!Y25+'SST Plan'!Y25+'WH Plan'!Y25+'FH Plan'!Y25</f>
        <v/>
      </c>
      <c r="Z25" s="22">
        <f>'ABA Plan'!Z25+'BK Plan'!Z25+'BW Plan'!Z25+'CED Plan'!Z25+'HAB Plan'!Z25+'HB Plan'!Z25+'OD Plan'!Z25+'HDN Plan'!Z25+'KIN Plan'!Z25+'LE Plan'!Z25+'MER Plan'!Z25+'NDN Plan'!Z25+'SALT Plan'!Z25+'SDN Plan'!Z25+'SST Plan'!Z25+'WH Plan'!Z25+'FH Plan'!Z25</f>
        <v/>
      </c>
      <c r="AA25" s="22">
        <f>'ABA Plan'!AA25+'BK Plan'!AA25+'BW Plan'!AA25+'CED Plan'!AA25+'HAB Plan'!AA25+'HB Plan'!AA25+'OD Plan'!AA25+'HDN Plan'!AA25+'KIN Plan'!AA25+'LE Plan'!AA25+'MER Plan'!AA25+'NDN Plan'!AA25+'SALT Plan'!AA25+'SDN Plan'!AA25+'SST Plan'!AA25+'WH Plan'!AA25+'FH Plan'!AA25</f>
        <v/>
      </c>
      <c r="AB25" s="22">
        <f>'ABA Plan'!AB25+'BK Plan'!AB25+'BW Plan'!AB25+'CED Plan'!AB25+'HAB Plan'!AB25+'HB Plan'!AB25+'OD Plan'!AB25+'HDN Plan'!AB25+'KIN Plan'!AB25+'LE Plan'!AB25+'MER Plan'!AB25+'NDN Plan'!AB25+'SALT Plan'!AB25+'SDN Plan'!AB25+'SST Plan'!AB25+'WH Plan'!AB25+'FH Plan'!AB25</f>
        <v/>
      </c>
      <c r="AC25" s="22">
        <f>'ABA Plan'!AC25+'BK Plan'!AC25+'BW Plan'!AC25+'CED Plan'!AC25+'HAB Plan'!AC25+'HB Plan'!AC25+'OD Plan'!AC25+'HDN Plan'!AC25+'KIN Plan'!AC25+'LE Plan'!AC25+'MER Plan'!AC25+'NDN Plan'!AC25+'SALT Plan'!AC25+'SDN Plan'!AC25+'SST Plan'!AC25+'WH Plan'!AC25+'FH Plan'!AC25</f>
        <v/>
      </c>
      <c r="AD25" s="22">
        <f>'ABA Plan'!AD25+'BK Plan'!AD25+'BW Plan'!AD25+'CED Plan'!AD25+'HAB Plan'!AD25+'HB Plan'!AD25+'OD Plan'!AD25+'HDN Plan'!AD25+'KIN Plan'!AD25+'LE Plan'!AD25+'MER Plan'!AD25+'NDN Plan'!AD25+'SALT Plan'!AD25+'SDN Plan'!AD25+'SST Plan'!AD25+'WH Plan'!AD25+'FH Plan'!AD25</f>
        <v/>
      </c>
      <c r="AE25" s="22">
        <f>'ABA Plan'!AE25+'BK Plan'!AE25+'BW Plan'!AE25+'CED Plan'!AE25+'HAB Plan'!AE25+'HB Plan'!AE25+'OD Plan'!AE25+'HDN Plan'!AE25+'KIN Plan'!AE25+'LE Plan'!AE25+'MER Plan'!AE25+'NDN Plan'!AE25+'SALT Plan'!AE25+'SDN Plan'!AE25+'SST Plan'!AE25+'WH Plan'!AE25+'FH Plan'!AE25</f>
        <v/>
      </c>
      <c r="AF25" s="22">
        <f>'ABA Plan'!AF25+'BK Plan'!AF25+'BW Plan'!AF25+'CED Plan'!AF25+'HAB Plan'!AF25+'HB Plan'!AF25+'OD Plan'!AF25+'HDN Plan'!AF25+'KIN Plan'!AF25+'LE Plan'!AF25+'MER Plan'!AF25+'NDN Plan'!AF25+'SALT Plan'!AF25+'SDN Plan'!AF25+'SST Plan'!AF25+'WH Plan'!AF25+'FH Plan'!AF25</f>
        <v/>
      </c>
      <c r="AG25" s="22">
        <f>'ABA Plan'!AG25+'BK Plan'!AG25+'BW Plan'!AG25+'CED Plan'!AG25+'HAB Plan'!AG25+'HB Plan'!AG25+'OD Plan'!AG25+'HDN Plan'!AG25+'KIN Plan'!AG25+'LE Plan'!AG25+'MER Plan'!AG25+'NDN Plan'!AG25+'SALT Plan'!AG25+'SDN Plan'!AG25+'SST Plan'!AG25+'WH Plan'!AG25+'FH Plan'!AG25</f>
        <v/>
      </c>
      <c r="AH25" s="22">
        <f>'ABA Plan'!AH25+'BK Plan'!AH25+'BW Plan'!AH25+'CED Plan'!AH25+'HAB Plan'!AH25+'HB Plan'!AH25+'OD Plan'!AH25+'HDN Plan'!AH25+'KIN Plan'!AH25+'LE Plan'!AH25+'MER Plan'!AH25+'NDN Plan'!AH25+'SALT Plan'!AH25+'SDN Plan'!AH25+'SST Plan'!AH25+'WH Plan'!AH25+'FH Plan'!AH25</f>
        <v/>
      </c>
      <c r="AI25" s="22">
        <f>'ABA Plan'!AI25+'BK Plan'!AI25+'BW Plan'!AI25+'CED Plan'!AI25+'HAB Plan'!AI25+'HB Plan'!AI25+'OD Plan'!AI25+'HDN Plan'!AI25+'KIN Plan'!AI25+'LE Plan'!AI25+'MER Plan'!AI25+'NDN Plan'!AI25+'SALT Plan'!AI25+'SDN Plan'!AI25+'SST Plan'!AI25+'WH Plan'!AI25+'FH Plan'!AI25</f>
        <v/>
      </c>
      <c r="AJ25" s="22">
        <f>'ABA Plan'!AJ25+'BK Plan'!AJ25+'BW Plan'!AJ25+'CED Plan'!AJ25+'HAB Plan'!AJ25+'HB Plan'!AJ25+'OD Plan'!AJ25+'HDN Plan'!AJ25+'KIN Plan'!AJ25+'LE Plan'!AJ25+'MER Plan'!AJ25+'NDN Plan'!AJ25+'SALT Plan'!AJ25+'SDN Plan'!AJ25+'SST Plan'!AJ25+'WH Plan'!AJ25+'FH Plan'!AJ25</f>
        <v/>
      </c>
      <c r="AK25" s="11">
        <f>IF(N25&lt;&gt;0,(AB25-N25)/ABS(N25),0)</f>
        <v/>
      </c>
      <c r="AL25" s="11">
        <f>IF(AB25&lt;&gt;0,(AJ25-AB25)/ABS(AB25),0)</f>
        <v/>
      </c>
    </row>
    <row r="26" ht="13" customHeight="1">
      <c r="A26" s="21" t="inlineStr">
        <is>
          <t xml:space="preserve">    Art Materials</t>
        </is>
      </c>
      <c r="B26" s="22">
        <f>'ABA Plan'!B26+'BK Plan'!B26+'BW Plan'!B26+'CED Plan'!B26+'HAB Plan'!B26+'HB Plan'!B26+'OD Plan'!B26+'HDN Plan'!B26+'KIN Plan'!B26+'LE Plan'!B26+'MER Plan'!B26+'NDN Plan'!B26+'SALT Plan'!B26+'SDN Plan'!B26+'SST Plan'!B26+'WH Plan'!B26+'FH Plan'!B26</f>
        <v/>
      </c>
      <c r="C26" s="22">
        <f>'ABA Plan'!C26+'BK Plan'!C26+'BW Plan'!C26+'CED Plan'!C26+'HAB Plan'!C26+'HB Plan'!C26+'OD Plan'!C26+'HDN Plan'!C26+'KIN Plan'!C26+'LE Plan'!C26+'MER Plan'!C26+'NDN Plan'!C26+'SALT Plan'!C26+'SDN Plan'!C26+'SST Plan'!C26+'WH Plan'!C26+'FH Plan'!C26</f>
        <v/>
      </c>
      <c r="D26" s="22">
        <f>'ABA Plan'!D26+'BK Plan'!D26+'BW Plan'!D26+'CED Plan'!D26+'HAB Plan'!D26+'HB Plan'!D26+'OD Plan'!D26+'HDN Plan'!D26+'KIN Plan'!D26+'LE Plan'!D26+'MER Plan'!D26+'NDN Plan'!D26+'SALT Plan'!D26+'SDN Plan'!D26+'SST Plan'!D26+'WH Plan'!D26+'FH Plan'!D26</f>
        <v/>
      </c>
      <c r="E26" s="22">
        <f>'ABA Plan'!E26+'BK Plan'!E26+'BW Plan'!E26+'CED Plan'!E26+'HAB Plan'!E26+'HB Plan'!E26+'OD Plan'!E26+'HDN Plan'!E26+'KIN Plan'!E26+'LE Plan'!E26+'MER Plan'!E26+'NDN Plan'!E26+'SALT Plan'!E26+'SDN Plan'!E26+'SST Plan'!E26+'WH Plan'!E26+'FH Plan'!E26</f>
        <v/>
      </c>
      <c r="F26" s="22">
        <f>'ABA Plan'!F26+'BK Plan'!F26+'BW Plan'!F26+'CED Plan'!F26+'HAB Plan'!F26+'HB Plan'!F26+'OD Plan'!F26+'HDN Plan'!F26+'KIN Plan'!F26+'LE Plan'!F26+'MER Plan'!F26+'NDN Plan'!F26+'SALT Plan'!F26+'SDN Plan'!F26+'SST Plan'!F26+'WH Plan'!F26+'FH Plan'!F26</f>
        <v/>
      </c>
      <c r="G26" s="22">
        <f>'ABA Plan'!G26+'BK Plan'!G26+'BW Plan'!G26+'CED Plan'!G26+'HAB Plan'!G26+'HB Plan'!G26+'OD Plan'!G26+'HDN Plan'!G26+'KIN Plan'!G26+'LE Plan'!G26+'MER Plan'!G26+'NDN Plan'!G26+'SALT Plan'!G26+'SDN Plan'!G26+'SST Plan'!G26+'WH Plan'!G26+'FH Plan'!G26</f>
        <v/>
      </c>
      <c r="H26" s="22">
        <f>'ABA Plan'!H26+'BK Plan'!H26+'BW Plan'!H26+'CED Plan'!H26+'HAB Plan'!H26+'HB Plan'!H26+'OD Plan'!H26+'HDN Plan'!H26+'KIN Plan'!H26+'LE Plan'!H26+'MER Plan'!H26+'NDN Plan'!H26+'SALT Plan'!H26+'SDN Plan'!H26+'SST Plan'!H26+'WH Plan'!H26+'FH Plan'!H26</f>
        <v/>
      </c>
      <c r="I26" s="22">
        <f>'ABA Plan'!I26+'BK Plan'!I26+'BW Plan'!I26+'CED Plan'!I26+'HAB Plan'!I26+'HB Plan'!I26+'OD Plan'!I26+'HDN Plan'!I26+'KIN Plan'!I26+'LE Plan'!I26+'MER Plan'!I26+'NDN Plan'!I26+'SALT Plan'!I26+'SDN Plan'!I26+'SST Plan'!I26+'WH Plan'!I26+'FH Plan'!I26</f>
        <v/>
      </c>
      <c r="J26" s="22">
        <f>'ABA Plan'!J26+'BK Plan'!J26+'BW Plan'!J26+'CED Plan'!J26+'HAB Plan'!J26+'HB Plan'!J26+'OD Plan'!J26+'HDN Plan'!J26+'KIN Plan'!J26+'LE Plan'!J26+'MER Plan'!J26+'NDN Plan'!J26+'SALT Plan'!J26+'SDN Plan'!J26+'SST Plan'!J26+'WH Plan'!J26+'FH Plan'!J26</f>
        <v/>
      </c>
      <c r="K26" s="22">
        <f>'ABA Plan'!K26+'BK Plan'!K26+'BW Plan'!K26+'CED Plan'!K26+'HAB Plan'!K26+'HB Plan'!K26+'OD Plan'!K26+'HDN Plan'!K26+'KIN Plan'!K26+'LE Plan'!K26+'MER Plan'!K26+'NDN Plan'!K26+'SALT Plan'!K26+'SDN Plan'!K26+'SST Plan'!K26+'WH Plan'!K26+'FH Plan'!K26</f>
        <v/>
      </c>
      <c r="L26" s="22">
        <f>'ABA Plan'!L26+'BK Plan'!L26+'BW Plan'!L26+'CED Plan'!L26+'HAB Plan'!L26+'HB Plan'!L26+'OD Plan'!L26+'HDN Plan'!L26+'KIN Plan'!L26+'LE Plan'!L26+'MER Plan'!L26+'NDN Plan'!L26+'SALT Plan'!L26+'SDN Plan'!L26+'SST Plan'!L26+'WH Plan'!L26+'FH Plan'!L26</f>
        <v/>
      </c>
      <c r="M26" s="22">
        <f>'ABA Plan'!M26+'BK Plan'!M26+'BW Plan'!M26+'CED Plan'!M26+'HAB Plan'!M26+'HB Plan'!M26+'OD Plan'!M26+'HDN Plan'!M26+'KIN Plan'!M26+'LE Plan'!M26+'MER Plan'!M26+'NDN Plan'!M26+'SALT Plan'!M26+'SDN Plan'!M26+'SST Plan'!M26+'WH Plan'!M26+'FH Plan'!M26</f>
        <v/>
      </c>
      <c r="N26" s="22">
        <f>'ABA Plan'!N26+'BK Plan'!N26+'BW Plan'!N26+'CED Plan'!N26+'HAB Plan'!N26+'HB Plan'!N26+'OD Plan'!N26+'HDN Plan'!N26+'KIN Plan'!N26+'LE Plan'!N26+'MER Plan'!N26+'NDN Plan'!N26+'SALT Plan'!N26+'SDN Plan'!N26+'SST Plan'!N26+'WH Plan'!N26+'FH Plan'!N26</f>
        <v/>
      </c>
      <c r="O26" s="22">
        <f>'ABA Plan'!O26+'BK Plan'!O26+'BW Plan'!O26+'CED Plan'!O26+'HAB Plan'!O26+'HB Plan'!O26+'OD Plan'!O26+'HDN Plan'!O26+'KIN Plan'!O26+'LE Plan'!O26+'MER Plan'!O26+'NDN Plan'!O26+'SALT Plan'!O26+'SDN Plan'!O26+'SST Plan'!O26+'WH Plan'!O26+'FH Plan'!O26</f>
        <v/>
      </c>
      <c r="P26" s="22">
        <f>'ABA Plan'!P26+'BK Plan'!P26+'BW Plan'!P26+'CED Plan'!P26+'HAB Plan'!P26+'HB Plan'!P26+'OD Plan'!P26+'HDN Plan'!P26+'KIN Plan'!P26+'LE Plan'!P26+'MER Plan'!P26+'NDN Plan'!P26+'SALT Plan'!P26+'SDN Plan'!P26+'SST Plan'!P26+'WH Plan'!P26+'FH Plan'!P26</f>
        <v/>
      </c>
      <c r="Q26" s="22">
        <f>'ABA Plan'!Q26+'BK Plan'!Q26+'BW Plan'!Q26+'CED Plan'!Q26+'HAB Plan'!Q26+'HB Plan'!Q26+'OD Plan'!Q26+'HDN Plan'!Q26+'KIN Plan'!Q26+'LE Plan'!Q26+'MER Plan'!Q26+'NDN Plan'!Q26+'SALT Plan'!Q26+'SDN Plan'!Q26+'SST Plan'!Q26+'WH Plan'!Q26+'FH Plan'!Q26</f>
        <v/>
      </c>
      <c r="R26" s="22">
        <f>'ABA Plan'!R26+'BK Plan'!R26+'BW Plan'!R26+'CED Plan'!R26+'HAB Plan'!R26+'HB Plan'!R26+'OD Plan'!R26+'HDN Plan'!R26+'KIN Plan'!R26+'LE Plan'!R26+'MER Plan'!R26+'NDN Plan'!R26+'SALT Plan'!R26+'SDN Plan'!R26+'SST Plan'!R26+'WH Plan'!R26+'FH Plan'!R26</f>
        <v/>
      </c>
      <c r="S26" s="22">
        <f>'ABA Plan'!S26+'BK Plan'!S26+'BW Plan'!S26+'CED Plan'!S26+'HAB Plan'!S26+'HB Plan'!S26+'OD Plan'!S26+'HDN Plan'!S26+'KIN Plan'!S26+'LE Plan'!S26+'MER Plan'!S26+'NDN Plan'!S26+'SALT Plan'!S26+'SDN Plan'!S26+'SST Plan'!S26+'WH Plan'!S26+'FH Plan'!S26</f>
        <v/>
      </c>
      <c r="T26" s="22">
        <f>'ABA Plan'!T26+'BK Plan'!T26+'BW Plan'!T26+'CED Plan'!T26+'HAB Plan'!T26+'HB Plan'!T26+'OD Plan'!T26+'HDN Plan'!T26+'KIN Plan'!T26+'LE Plan'!T26+'MER Plan'!T26+'NDN Plan'!T26+'SALT Plan'!T26+'SDN Plan'!T26+'SST Plan'!T26+'WH Plan'!T26+'FH Plan'!T26</f>
        <v/>
      </c>
      <c r="U26" s="22">
        <f>'ABA Plan'!U26+'BK Plan'!U26+'BW Plan'!U26+'CED Plan'!U26+'HAB Plan'!U26+'HB Plan'!U26+'OD Plan'!U26+'HDN Plan'!U26+'KIN Plan'!U26+'LE Plan'!U26+'MER Plan'!U26+'NDN Plan'!U26+'SALT Plan'!U26+'SDN Plan'!U26+'SST Plan'!U26+'WH Plan'!U26+'FH Plan'!U26</f>
        <v/>
      </c>
      <c r="V26" s="22">
        <f>'ABA Plan'!V26+'BK Plan'!V26+'BW Plan'!V26+'CED Plan'!V26+'HAB Plan'!V26+'HB Plan'!V26+'OD Plan'!V26+'HDN Plan'!V26+'KIN Plan'!V26+'LE Plan'!V26+'MER Plan'!V26+'NDN Plan'!V26+'SALT Plan'!V26+'SDN Plan'!V26+'SST Plan'!V26+'WH Plan'!V26+'FH Plan'!V26</f>
        <v/>
      </c>
      <c r="W26" s="22">
        <f>'ABA Plan'!W26+'BK Plan'!W26+'BW Plan'!W26+'CED Plan'!W26+'HAB Plan'!W26+'HB Plan'!W26+'OD Plan'!W26+'HDN Plan'!W26+'KIN Plan'!W26+'LE Plan'!W26+'MER Plan'!W26+'NDN Plan'!W26+'SALT Plan'!W26+'SDN Plan'!W26+'SST Plan'!W26+'WH Plan'!W26+'FH Plan'!W26</f>
        <v/>
      </c>
      <c r="X26" s="22">
        <f>'ABA Plan'!X26+'BK Plan'!X26+'BW Plan'!X26+'CED Plan'!X26+'HAB Plan'!X26+'HB Plan'!X26+'OD Plan'!X26+'HDN Plan'!X26+'KIN Plan'!X26+'LE Plan'!X26+'MER Plan'!X26+'NDN Plan'!X26+'SALT Plan'!X26+'SDN Plan'!X26+'SST Plan'!X26+'WH Plan'!X26+'FH Plan'!X26</f>
        <v/>
      </c>
      <c r="Y26" s="22">
        <f>'ABA Plan'!Y26+'BK Plan'!Y26+'BW Plan'!Y26+'CED Plan'!Y26+'HAB Plan'!Y26+'HB Plan'!Y26+'OD Plan'!Y26+'HDN Plan'!Y26+'KIN Plan'!Y26+'LE Plan'!Y26+'MER Plan'!Y26+'NDN Plan'!Y26+'SALT Plan'!Y26+'SDN Plan'!Y26+'SST Plan'!Y26+'WH Plan'!Y26+'FH Plan'!Y26</f>
        <v/>
      </c>
      <c r="Z26" s="22">
        <f>'ABA Plan'!Z26+'BK Plan'!Z26+'BW Plan'!Z26+'CED Plan'!Z26+'HAB Plan'!Z26+'HB Plan'!Z26+'OD Plan'!Z26+'HDN Plan'!Z26+'KIN Plan'!Z26+'LE Plan'!Z26+'MER Plan'!Z26+'NDN Plan'!Z26+'SALT Plan'!Z26+'SDN Plan'!Z26+'SST Plan'!Z26+'WH Plan'!Z26+'FH Plan'!Z26</f>
        <v/>
      </c>
      <c r="AA26" s="22">
        <f>'ABA Plan'!AA26+'BK Plan'!AA26+'BW Plan'!AA26+'CED Plan'!AA26+'HAB Plan'!AA26+'HB Plan'!AA26+'OD Plan'!AA26+'HDN Plan'!AA26+'KIN Plan'!AA26+'LE Plan'!AA26+'MER Plan'!AA26+'NDN Plan'!AA26+'SALT Plan'!AA26+'SDN Plan'!AA26+'SST Plan'!AA26+'WH Plan'!AA26+'FH Plan'!AA26</f>
        <v/>
      </c>
      <c r="AB26" s="22">
        <f>'ABA Plan'!AB26+'BK Plan'!AB26+'BW Plan'!AB26+'CED Plan'!AB26+'HAB Plan'!AB26+'HB Plan'!AB26+'OD Plan'!AB26+'HDN Plan'!AB26+'KIN Plan'!AB26+'LE Plan'!AB26+'MER Plan'!AB26+'NDN Plan'!AB26+'SALT Plan'!AB26+'SDN Plan'!AB26+'SST Plan'!AB26+'WH Plan'!AB26+'FH Plan'!AB26</f>
        <v/>
      </c>
      <c r="AC26" s="22">
        <f>'ABA Plan'!AC26+'BK Plan'!AC26+'BW Plan'!AC26+'CED Plan'!AC26+'HAB Plan'!AC26+'HB Plan'!AC26+'OD Plan'!AC26+'HDN Plan'!AC26+'KIN Plan'!AC26+'LE Plan'!AC26+'MER Plan'!AC26+'NDN Plan'!AC26+'SALT Plan'!AC26+'SDN Plan'!AC26+'SST Plan'!AC26+'WH Plan'!AC26+'FH Plan'!AC26</f>
        <v/>
      </c>
      <c r="AD26" s="22">
        <f>'ABA Plan'!AD26+'BK Plan'!AD26+'BW Plan'!AD26+'CED Plan'!AD26+'HAB Plan'!AD26+'HB Plan'!AD26+'OD Plan'!AD26+'HDN Plan'!AD26+'KIN Plan'!AD26+'LE Plan'!AD26+'MER Plan'!AD26+'NDN Plan'!AD26+'SALT Plan'!AD26+'SDN Plan'!AD26+'SST Plan'!AD26+'WH Plan'!AD26+'FH Plan'!AD26</f>
        <v/>
      </c>
      <c r="AE26" s="22">
        <f>'ABA Plan'!AE26+'BK Plan'!AE26+'BW Plan'!AE26+'CED Plan'!AE26+'HAB Plan'!AE26+'HB Plan'!AE26+'OD Plan'!AE26+'HDN Plan'!AE26+'KIN Plan'!AE26+'LE Plan'!AE26+'MER Plan'!AE26+'NDN Plan'!AE26+'SALT Plan'!AE26+'SDN Plan'!AE26+'SST Plan'!AE26+'WH Plan'!AE26+'FH Plan'!AE26</f>
        <v/>
      </c>
      <c r="AF26" s="22">
        <f>'ABA Plan'!AF26+'BK Plan'!AF26+'BW Plan'!AF26+'CED Plan'!AF26+'HAB Plan'!AF26+'HB Plan'!AF26+'OD Plan'!AF26+'HDN Plan'!AF26+'KIN Plan'!AF26+'LE Plan'!AF26+'MER Plan'!AF26+'NDN Plan'!AF26+'SALT Plan'!AF26+'SDN Plan'!AF26+'SST Plan'!AF26+'WH Plan'!AF26+'FH Plan'!AF26</f>
        <v/>
      </c>
      <c r="AG26" s="22">
        <f>'ABA Plan'!AG26+'BK Plan'!AG26+'BW Plan'!AG26+'CED Plan'!AG26+'HAB Plan'!AG26+'HB Plan'!AG26+'OD Plan'!AG26+'HDN Plan'!AG26+'KIN Plan'!AG26+'LE Plan'!AG26+'MER Plan'!AG26+'NDN Plan'!AG26+'SALT Plan'!AG26+'SDN Plan'!AG26+'SST Plan'!AG26+'WH Plan'!AG26+'FH Plan'!AG26</f>
        <v/>
      </c>
      <c r="AH26" s="22">
        <f>'ABA Plan'!AH26+'BK Plan'!AH26+'BW Plan'!AH26+'CED Plan'!AH26+'HAB Plan'!AH26+'HB Plan'!AH26+'OD Plan'!AH26+'HDN Plan'!AH26+'KIN Plan'!AH26+'LE Plan'!AH26+'MER Plan'!AH26+'NDN Plan'!AH26+'SALT Plan'!AH26+'SDN Plan'!AH26+'SST Plan'!AH26+'WH Plan'!AH26+'FH Plan'!AH26</f>
        <v/>
      </c>
      <c r="AI26" s="22">
        <f>'ABA Plan'!AI26+'BK Plan'!AI26+'BW Plan'!AI26+'CED Plan'!AI26+'HAB Plan'!AI26+'HB Plan'!AI26+'OD Plan'!AI26+'HDN Plan'!AI26+'KIN Plan'!AI26+'LE Plan'!AI26+'MER Plan'!AI26+'NDN Plan'!AI26+'SALT Plan'!AI26+'SDN Plan'!AI26+'SST Plan'!AI26+'WH Plan'!AI26+'FH Plan'!AI26</f>
        <v/>
      </c>
      <c r="AJ26" s="22">
        <f>'ABA Plan'!AJ26+'BK Plan'!AJ26+'BW Plan'!AJ26+'CED Plan'!AJ26+'HAB Plan'!AJ26+'HB Plan'!AJ26+'OD Plan'!AJ26+'HDN Plan'!AJ26+'KIN Plan'!AJ26+'LE Plan'!AJ26+'MER Plan'!AJ26+'NDN Plan'!AJ26+'SALT Plan'!AJ26+'SDN Plan'!AJ26+'SST Plan'!AJ26+'WH Plan'!AJ26+'FH Plan'!AJ26</f>
        <v/>
      </c>
      <c r="AK26" s="11">
        <f>IF(N26&lt;&gt;0,(AB26-N26)/ABS(N26),0)</f>
        <v/>
      </c>
      <c r="AL26" s="11">
        <f>IF(AB26&lt;&gt;0,(AJ26-AB26)/ABS(AB26),0)</f>
        <v/>
      </c>
    </row>
    <row r="27" ht="13" customHeight="1">
      <c r="A27" s="21" t="inlineStr">
        <is>
          <t xml:space="preserve">    Nursery Stationery</t>
        </is>
      </c>
      <c r="B27" s="22">
        <f>'ABA Plan'!B27+'BK Plan'!B27+'BW Plan'!B27+'CED Plan'!B27+'HAB Plan'!B27+'HB Plan'!B27+'OD Plan'!B27+'HDN Plan'!B27+'KIN Plan'!B27+'LE Plan'!B27+'MER Plan'!B27+'NDN Plan'!B27+'SALT Plan'!B27+'SDN Plan'!B27+'SST Plan'!B27+'WH Plan'!B27+'FH Plan'!B27</f>
        <v/>
      </c>
      <c r="C27" s="22">
        <f>'ABA Plan'!C27+'BK Plan'!C27+'BW Plan'!C27+'CED Plan'!C27+'HAB Plan'!C27+'HB Plan'!C27+'OD Plan'!C27+'HDN Plan'!C27+'KIN Plan'!C27+'LE Plan'!C27+'MER Plan'!C27+'NDN Plan'!C27+'SALT Plan'!C27+'SDN Plan'!C27+'SST Plan'!C27+'WH Plan'!C27+'FH Plan'!C27</f>
        <v/>
      </c>
      <c r="D27" s="22">
        <f>'ABA Plan'!D27+'BK Plan'!D27+'BW Plan'!D27+'CED Plan'!D27+'HAB Plan'!D27+'HB Plan'!D27+'OD Plan'!D27+'HDN Plan'!D27+'KIN Plan'!D27+'LE Plan'!D27+'MER Plan'!D27+'NDN Plan'!D27+'SALT Plan'!D27+'SDN Plan'!D27+'SST Plan'!D27+'WH Plan'!D27+'FH Plan'!D27</f>
        <v/>
      </c>
      <c r="E27" s="22">
        <f>'ABA Plan'!E27+'BK Plan'!E27+'BW Plan'!E27+'CED Plan'!E27+'HAB Plan'!E27+'HB Plan'!E27+'OD Plan'!E27+'HDN Plan'!E27+'KIN Plan'!E27+'LE Plan'!E27+'MER Plan'!E27+'NDN Plan'!E27+'SALT Plan'!E27+'SDN Plan'!E27+'SST Plan'!E27+'WH Plan'!E27+'FH Plan'!E27</f>
        <v/>
      </c>
      <c r="F27" s="22">
        <f>'ABA Plan'!F27+'BK Plan'!F27+'BW Plan'!F27+'CED Plan'!F27+'HAB Plan'!F27+'HB Plan'!F27+'OD Plan'!F27+'HDN Plan'!F27+'KIN Plan'!F27+'LE Plan'!F27+'MER Plan'!F27+'NDN Plan'!F27+'SALT Plan'!F27+'SDN Plan'!F27+'SST Plan'!F27+'WH Plan'!F27+'FH Plan'!F27</f>
        <v/>
      </c>
      <c r="G27" s="22">
        <f>'ABA Plan'!G27+'BK Plan'!G27+'BW Plan'!G27+'CED Plan'!G27+'HAB Plan'!G27+'HB Plan'!G27+'OD Plan'!G27+'HDN Plan'!G27+'KIN Plan'!G27+'LE Plan'!G27+'MER Plan'!G27+'NDN Plan'!G27+'SALT Plan'!G27+'SDN Plan'!G27+'SST Plan'!G27+'WH Plan'!G27+'FH Plan'!G27</f>
        <v/>
      </c>
      <c r="H27" s="22">
        <f>'ABA Plan'!H27+'BK Plan'!H27+'BW Plan'!H27+'CED Plan'!H27+'HAB Plan'!H27+'HB Plan'!H27+'OD Plan'!H27+'HDN Plan'!H27+'KIN Plan'!H27+'LE Plan'!H27+'MER Plan'!H27+'NDN Plan'!H27+'SALT Plan'!H27+'SDN Plan'!H27+'SST Plan'!H27+'WH Plan'!H27+'FH Plan'!H27</f>
        <v/>
      </c>
      <c r="I27" s="22">
        <f>'ABA Plan'!I27+'BK Plan'!I27+'BW Plan'!I27+'CED Plan'!I27+'HAB Plan'!I27+'HB Plan'!I27+'OD Plan'!I27+'HDN Plan'!I27+'KIN Plan'!I27+'LE Plan'!I27+'MER Plan'!I27+'NDN Plan'!I27+'SALT Plan'!I27+'SDN Plan'!I27+'SST Plan'!I27+'WH Plan'!I27+'FH Plan'!I27</f>
        <v/>
      </c>
      <c r="J27" s="22">
        <f>'ABA Plan'!J27+'BK Plan'!J27+'BW Plan'!J27+'CED Plan'!J27+'HAB Plan'!J27+'HB Plan'!J27+'OD Plan'!J27+'HDN Plan'!J27+'KIN Plan'!J27+'LE Plan'!J27+'MER Plan'!J27+'NDN Plan'!J27+'SALT Plan'!J27+'SDN Plan'!J27+'SST Plan'!J27+'WH Plan'!J27+'FH Plan'!J27</f>
        <v/>
      </c>
      <c r="K27" s="22">
        <f>'ABA Plan'!K27+'BK Plan'!K27+'BW Plan'!K27+'CED Plan'!K27+'HAB Plan'!K27+'HB Plan'!K27+'OD Plan'!K27+'HDN Plan'!K27+'KIN Plan'!K27+'LE Plan'!K27+'MER Plan'!K27+'NDN Plan'!K27+'SALT Plan'!K27+'SDN Plan'!K27+'SST Plan'!K27+'WH Plan'!K27+'FH Plan'!K27</f>
        <v/>
      </c>
      <c r="L27" s="22">
        <f>'ABA Plan'!L27+'BK Plan'!L27+'BW Plan'!L27+'CED Plan'!L27+'HAB Plan'!L27+'HB Plan'!L27+'OD Plan'!L27+'HDN Plan'!L27+'KIN Plan'!L27+'LE Plan'!L27+'MER Plan'!L27+'NDN Plan'!L27+'SALT Plan'!L27+'SDN Plan'!L27+'SST Plan'!L27+'WH Plan'!L27+'FH Plan'!L27</f>
        <v/>
      </c>
      <c r="M27" s="22">
        <f>'ABA Plan'!M27+'BK Plan'!M27+'BW Plan'!M27+'CED Plan'!M27+'HAB Plan'!M27+'HB Plan'!M27+'OD Plan'!M27+'HDN Plan'!M27+'KIN Plan'!M27+'LE Plan'!M27+'MER Plan'!M27+'NDN Plan'!M27+'SALT Plan'!M27+'SDN Plan'!M27+'SST Plan'!M27+'WH Plan'!M27+'FH Plan'!M27</f>
        <v/>
      </c>
      <c r="N27" s="22">
        <f>'ABA Plan'!N27+'BK Plan'!N27+'BW Plan'!N27+'CED Plan'!N27+'HAB Plan'!N27+'HB Plan'!N27+'OD Plan'!N27+'HDN Plan'!N27+'KIN Plan'!N27+'LE Plan'!N27+'MER Plan'!N27+'NDN Plan'!N27+'SALT Plan'!N27+'SDN Plan'!N27+'SST Plan'!N27+'WH Plan'!N27+'FH Plan'!N27</f>
        <v/>
      </c>
      <c r="O27" s="22">
        <f>'ABA Plan'!O27+'BK Plan'!O27+'BW Plan'!O27+'CED Plan'!O27+'HAB Plan'!O27+'HB Plan'!O27+'OD Plan'!O27+'HDN Plan'!O27+'KIN Plan'!O27+'LE Plan'!O27+'MER Plan'!O27+'NDN Plan'!O27+'SALT Plan'!O27+'SDN Plan'!O27+'SST Plan'!O27+'WH Plan'!O27+'FH Plan'!O27</f>
        <v/>
      </c>
      <c r="P27" s="22">
        <f>'ABA Plan'!P27+'BK Plan'!P27+'BW Plan'!P27+'CED Plan'!P27+'HAB Plan'!P27+'HB Plan'!P27+'OD Plan'!P27+'HDN Plan'!P27+'KIN Plan'!P27+'LE Plan'!P27+'MER Plan'!P27+'NDN Plan'!P27+'SALT Plan'!P27+'SDN Plan'!P27+'SST Plan'!P27+'WH Plan'!P27+'FH Plan'!P27</f>
        <v/>
      </c>
      <c r="Q27" s="22">
        <f>'ABA Plan'!Q27+'BK Plan'!Q27+'BW Plan'!Q27+'CED Plan'!Q27+'HAB Plan'!Q27+'HB Plan'!Q27+'OD Plan'!Q27+'HDN Plan'!Q27+'KIN Plan'!Q27+'LE Plan'!Q27+'MER Plan'!Q27+'NDN Plan'!Q27+'SALT Plan'!Q27+'SDN Plan'!Q27+'SST Plan'!Q27+'WH Plan'!Q27+'FH Plan'!Q27</f>
        <v/>
      </c>
      <c r="R27" s="22">
        <f>'ABA Plan'!R27+'BK Plan'!R27+'BW Plan'!R27+'CED Plan'!R27+'HAB Plan'!R27+'HB Plan'!R27+'OD Plan'!R27+'HDN Plan'!R27+'KIN Plan'!R27+'LE Plan'!R27+'MER Plan'!R27+'NDN Plan'!R27+'SALT Plan'!R27+'SDN Plan'!R27+'SST Plan'!R27+'WH Plan'!R27+'FH Plan'!R27</f>
        <v/>
      </c>
      <c r="S27" s="22">
        <f>'ABA Plan'!S27+'BK Plan'!S27+'BW Plan'!S27+'CED Plan'!S27+'HAB Plan'!S27+'HB Plan'!S27+'OD Plan'!S27+'HDN Plan'!S27+'KIN Plan'!S27+'LE Plan'!S27+'MER Plan'!S27+'NDN Plan'!S27+'SALT Plan'!S27+'SDN Plan'!S27+'SST Plan'!S27+'WH Plan'!S27+'FH Plan'!S27</f>
        <v/>
      </c>
      <c r="T27" s="22">
        <f>'ABA Plan'!T27+'BK Plan'!T27+'BW Plan'!T27+'CED Plan'!T27+'HAB Plan'!T27+'HB Plan'!T27+'OD Plan'!T27+'HDN Plan'!T27+'KIN Plan'!T27+'LE Plan'!T27+'MER Plan'!T27+'NDN Plan'!T27+'SALT Plan'!T27+'SDN Plan'!T27+'SST Plan'!T27+'WH Plan'!T27+'FH Plan'!T27</f>
        <v/>
      </c>
      <c r="U27" s="22">
        <f>'ABA Plan'!U27+'BK Plan'!U27+'BW Plan'!U27+'CED Plan'!U27+'HAB Plan'!U27+'HB Plan'!U27+'OD Plan'!U27+'HDN Plan'!U27+'KIN Plan'!U27+'LE Plan'!U27+'MER Plan'!U27+'NDN Plan'!U27+'SALT Plan'!U27+'SDN Plan'!U27+'SST Plan'!U27+'WH Plan'!U27+'FH Plan'!U27</f>
        <v/>
      </c>
      <c r="V27" s="22">
        <f>'ABA Plan'!V27+'BK Plan'!V27+'BW Plan'!V27+'CED Plan'!V27+'HAB Plan'!V27+'HB Plan'!V27+'OD Plan'!V27+'HDN Plan'!V27+'KIN Plan'!V27+'LE Plan'!V27+'MER Plan'!V27+'NDN Plan'!V27+'SALT Plan'!V27+'SDN Plan'!V27+'SST Plan'!V27+'WH Plan'!V27+'FH Plan'!V27</f>
        <v/>
      </c>
      <c r="W27" s="22">
        <f>'ABA Plan'!W27+'BK Plan'!W27+'BW Plan'!W27+'CED Plan'!W27+'HAB Plan'!W27+'HB Plan'!W27+'OD Plan'!W27+'HDN Plan'!W27+'KIN Plan'!W27+'LE Plan'!W27+'MER Plan'!W27+'NDN Plan'!W27+'SALT Plan'!W27+'SDN Plan'!W27+'SST Plan'!W27+'WH Plan'!W27+'FH Plan'!W27</f>
        <v/>
      </c>
      <c r="X27" s="22">
        <f>'ABA Plan'!X27+'BK Plan'!X27+'BW Plan'!X27+'CED Plan'!X27+'HAB Plan'!X27+'HB Plan'!X27+'OD Plan'!X27+'HDN Plan'!X27+'KIN Plan'!X27+'LE Plan'!X27+'MER Plan'!X27+'NDN Plan'!X27+'SALT Plan'!X27+'SDN Plan'!X27+'SST Plan'!X27+'WH Plan'!X27+'FH Plan'!X27</f>
        <v/>
      </c>
      <c r="Y27" s="22">
        <f>'ABA Plan'!Y27+'BK Plan'!Y27+'BW Plan'!Y27+'CED Plan'!Y27+'HAB Plan'!Y27+'HB Plan'!Y27+'OD Plan'!Y27+'HDN Plan'!Y27+'KIN Plan'!Y27+'LE Plan'!Y27+'MER Plan'!Y27+'NDN Plan'!Y27+'SALT Plan'!Y27+'SDN Plan'!Y27+'SST Plan'!Y27+'WH Plan'!Y27+'FH Plan'!Y27</f>
        <v/>
      </c>
      <c r="Z27" s="22">
        <f>'ABA Plan'!Z27+'BK Plan'!Z27+'BW Plan'!Z27+'CED Plan'!Z27+'HAB Plan'!Z27+'HB Plan'!Z27+'OD Plan'!Z27+'HDN Plan'!Z27+'KIN Plan'!Z27+'LE Plan'!Z27+'MER Plan'!Z27+'NDN Plan'!Z27+'SALT Plan'!Z27+'SDN Plan'!Z27+'SST Plan'!Z27+'WH Plan'!Z27+'FH Plan'!Z27</f>
        <v/>
      </c>
      <c r="AA27" s="22">
        <f>'ABA Plan'!AA27+'BK Plan'!AA27+'BW Plan'!AA27+'CED Plan'!AA27+'HAB Plan'!AA27+'HB Plan'!AA27+'OD Plan'!AA27+'HDN Plan'!AA27+'KIN Plan'!AA27+'LE Plan'!AA27+'MER Plan'!AA27+'NDN Plan'!AA27+'SALT Plan'!AA27+'SDN Plan'!AA27+'SST Plan'!AA27+'WH Plan'!AA27+'FH Plan'!AA27</f>
        <v/>
      </c>
      <c r="AB27" s="22">
        <f>'ABA Plan'!AB27+'BK Plan'!AB27+'BW Plan'!AB27+'CED Plan'!AB27+'HAB Plan'!AB27+'HB Plan'!AB27+'OD Plan'!AB27+'HDN Plan'!AB27+'KIN Plan'!AB27+'LE Plan'!AB27+'MER Plan'!AB27+'NDN Plan'!AB27+'SALT Plan'!AB27+'SDN Plan'!AB27+'SST Plan'!AB27+'WH Plan'!AB27+'FH Plan'!AB27</f>
        <v/>
      </c>
      <c r="AC27" s="22">
        <f>'ABA Plan'!AC27+'BK Plan'!AC27+'BW Plan'!AC27+'CED Plan'!AC27+'HAB Plan'!AC27+'HB Plan'!AC27+'OD Plan'!AC27+'HDN Plan'!AC27+'KIN Plan'!AC27+'LE Plan'!AC27+'MER Plan'!AC27+'NDN Plan'!AC27+'SALT Plan'!AC27+'SDN Plan'!AC27+'SST Plan'!AC27+'WH Plan'!AC27+'FH Plan'!AC27</f>
        <v/>
      </c>
      <c r="AD27" s="22">
        <f>'ABA Plan'!AD27+'BK Plan'!AD27+'BW Plan'!AD27+'CED Plan'!AD27+'HAB Plan'!AD27+'HB Plan'!AD27+'OD Plan'!AD27+'HDN Plan'!AD27+'KIN Plan'!AD27+'LE Plan'!AD27+'MER Plan'!AD27+'NDN Plan'!AD27+'SALT Plan'!AD27+'SDN Plan'!AD27+'SST Plan'!AD27+'WH Plan'!AD27+'FH Plan'!AD27</f>
        <v/>
      </c>
      <c r="AE27" s="22">
        <f>'ABA Plan'!AE27+'BK Plan'!AE27+'BW Plan'!AE27+'CED Plan'!AE27+'HAB Plan'!AE27+'HB Plan'!AE27+'OD Plan'!AE27+'HDN Plan'!AE27+'KIN Plan'!AE27+'LE Plan'!AE27+'MER Plan'!AE27+'NDN Plan'!AE27+'SALT Plan'!AE27+'SDN Plan'!AE27+'SST Plan'!AE27+'WH Plan'!AE27+'FH Plan'!AE27</f>
        <v/>
      </c>
      <c r="AF27" s="22">
        <f>'ABA Plan'!AF27+'BK Plan'!AF27+'BW Plan'!AF27+'CED Plan'!AF27+'HAB Plan'!AF27+'HB Plan'!AF27+'OD Plan'!AF27+'HDN Plan'!AF27+'KIN Plan'!AF27+'LE Plan'!AF27+'MER Plan'!AF27+'NDN Plan'!AF27+'SALT Plan'!AF27+'SDN Plan'!AF27+'SST Plan'!AF27+'WH Plan'!AF27+'FH Plan'!AF27</f>
        <v/>
      </c>
      <c r="AG27" s="22">
        <f>'ABA Plan'!AG27+'BK Plan'!AG27+'BW Plan'!AG27+'CED Plan'!AG27+'HAB Plan'!AG27+'HB Plan'!AG27+'OD Plan'!AG27+'HDN Plan'!AG27+'KIN Plan'!AG27+'LE Plan'!AG27+'MER Plan'!AG27+'NDN Plan'!AG27+'SALT Plan'!AG27+'SDN Plan'!AG27+'SST Plan'!AG27+'WH Plan'!AG27+'FH Plan'!AG27</f>
        <v/>
      </c>
      <c r="AH27" s="22">
        <f>'ABA Plan'!AH27+'BK Plan'!AH27+'BW Plan'!AH27+'CED Plan'!AH27+'HAB Plan'!AH27+'HB Plan'!AH27+'OD Plan'!AH27+'HDN Plan'!AH27+'KIN Plan'!AH27+'LE Plan'!AH27+'MER Plan'!AH27+'NDN Plan'!AH27+'SALT Plan'!AH27+'SDN Plan'!AH27+'SST Plan'!AH27+'WH Plan'!AH27+'FH Plan'!AH27</f>
        <v/>
      </c>
      <c r="AI27" s="22">
        <f>'ABA Plan'!AI27+'BK Plan'!AI27+'BW Plan'!AI27+'CED Plan'!AI27+'HAB Plan'!AI27+'HB Plan'!AI27+'OD Plan'!AI27+'HDN Plan'!AI27+'KIN Plan'!AI27+'LE Plan'!AI27+'MER Plan'!AI27+'NDN Plan'!AI27+'SALT Plan'!AI27+'SDN Plan'!AI27+'SST Plan'!AI27+'WH Plan'!AI27+'FH Plan'!AI27</f>
        <v/>
      </c>
      <c r="AJ27" s="22">
        <f>'ABA Plan'!AJ27+'BK Plan'!AJ27+'BW Plan'!AJ27+'CED Plan'!AJ27+'HAB Plan'!AJ27+'HB Plan'!AJ27+'OD Plan'!AJ27+'HDN Plan'!AJ27+'KIN Plan'!AJ27+'LE Plan'!AJ27+'MER Plan'!AJ27+'NDN Plan'!AJ27+'SALT Plan'!AJ27+'SDN Plan'!AJ27+'SST Plan'!AJ27+'WH Plan'!AJ27+'FH Plan'!AJ27</f>
        <v/>
      </c>
      <c r="AK27" s="11">
        <f>IF(N27&lt;&gt;0,(AB27-N27)/ABS(N27),0)</f>
        <v/>
      </c>
      <c r="AL27" s="11">
        <f>IF(AB27&lt;&gt;0,(AJ27-AB27)/ABS(AB27),0)</f>
        <v/>
      </c>
    </row>
    <row r="28" ht="13" customHeight="1">
      <c r="A28" s="21" t="inlineStr">
        <is>
          <t xml:space="preserve">    Nursery Equipment</t>
        </is>
      </c>
      <c r="B28" s="22">
        <f>'ABA Plan'!B28+'BK Plan'!B28+'BW Plan'!B28+'CED Plan'!B28+'HAB Plan'!B28+'HB Plan'!B28+'OD Plan'!B28+'HDN Plan'!B28+'KIN Plan'!B28+'LE Plan'!B28+'MER Plan'!B28+'NDN Plan'!B28+'SALT Plan'!B28+'SDN Plan'!B28+'SST Plan'!B28+'WH Plan'!B28+'FH Plan'!B28</f>
        <v/>
      </c>
      <c r="C28" s="22">
        <f>'ABA Plan'!C28+'BK Plan'!C28+'BW Plan'!C28+'CED Plan'!C28+'HAB Plan'!C28+'HB Plan'!C28+'OD Plan'!C28+'HDN Plan'!C28+'KIN Plan'!C28+'LE Plan'!C28+'MER Plan'!C28+'NDN Plan'!C28+'SALT Plan'!C28+'SDN Plan'!C28+'SST Plan'!C28+'WH Plan'!C28+'FH Plan'!C28</f>
        <v/>
      </c>
      <c r="D28" s="22">
        <f>'ABA Plan'!D28+'BK Plan'!D28+'BW Plan'!D28+'CED Plan'!D28+'HAB Plan'!D28+'HB Plan'!D28+'OD Plan'!D28+'HDN Plan'!D28+'KIN Plan'!D28+'LE Plan'!D28+'MER Plan'!D28+'NDN Plan'!D28+'SALT Plan'!D28+'SDN Plan'!D28+'SST Plan'!D28+'WH Plan'!D28+'FH Plan'!D28</f>
        <v/>
      </c>
      <c r="E28" s="22">
        <f>'ABA Plan'!E28+'BK Plan'!E28+'BW Plan'!E28+'CED Plan'!E28+'HAB Plan'!E28+'HB Plan'!E28+'OD Plan'!E28+'HDN Plan'!E28+'KIN Plan'!E28+'LE Plan'!E28+'MER Plan'!E28+'NDN Plan'!E28+'SALT Plan'!E28+'SDN Plan'!E28+'SST Plan'!E28+'WH Plan'!E28+'FH Plan'!E28</f>
        <v/>
      </c>
      <c r="F28" s="22">
        <f>'ABA Plan'!F28+'BK Plan'!F28+'BW Plan'!F28+'CED Plan'!F28+'HAB Plan'!F28+'HB Plan'!F28+'OD Plan'!F28+'HDN Plan'!F28+'KIN Plan'!F28+'LE Plan'!F28+'MER Plan'!F28+'NDN Plan'!F28+'SALT Plan'!F28+'SDN Plan'!F28+'SST Plan'!F28+'WH Plan'!F28+'FH Plan'!F28</f>
        <v/>
      </c>
      <c r="G28" s="22">
        <f>'ABA Plan'!G28+'BK Plan'!G28+'BW Plan'!G28+'CED Plan'!G28+'HAB Plan'!G28+'HB Plan'!G28+'OD Plan'!G28+'HDN Plan'!G28+'KIN Plan'!G28+'LE Plan'!G28+'MER Plan'!G28+'NDN Plan'!G28+'SALT Plan'!G28+'SDN Plan'!G28+'SST Plan'!G28+'WH Plan'!G28+'FH Plan'!G28</f>
        <v/>
      </c>
      <c r="H28" s="22">
        <f>'ABA Plan'!H28+'BK Plan'!H28+'BW Plan'!H28+'CED Plan'!H28+'HAB Plan'!H28+'HB Plan'!H28+'OD Plan'!H28+'HDN Plan'!H28+'KIN Plan'!H28+'LE Plan'!H28+'MER Plan'!H28+'NDN Plan'!H28+'SALT Plan'!H28+'SDN Plan'!H28+'SST Plan'!H28+'WH Plan'!H28+'FH Plan'!H28</f>
        <v/>
      </c>
      <c r="I28" s="22">
        <f>'ABA Plan'!I28+'BK Plan'!I28+'BW Plan'!I28+'CED Plan'!I28+'HAB Plan'!I28+'HB Plan'!I28+'OD Plan'!I28+'HDN Plan'!I28+'KIN Plan'!I28+'LE Plan'!I28+'MER Plan'!I28+'NDN Plan'!I28+'SALT Plan'!I28+'SDN Plan'!I28+'SST Plan'!I28+'WH Plan'!I28+'FH Plan'!I28</f>
        <v/>
      </c>
      <c r="J28" s="22">
        <f>'ABA Plan'!J28+'BK Plan'!J28+'BW Plan'!J28+'CED Plan'!J28+'HAB Plan'!J28+'HB Plan'!J28+'OD Plan'!J28+'HDN Plan'!J28+'KIN Plan'!J28+'LE Plan'!J28+'MER Plan'!J28+'NDN Plan'!J28+'SALT Plan'!J28+'SDN Plan'!J28+'SST Plan'!J28+'WH Plan'!J28+'FH Plan'!J28</f>
        <v/>
      </c>
      <c r="K28" s="22">
        <f>'ABA Plan'!K28+'BK Plan'!K28+'BW Plan'!K28+'CED Plan'!K28+'HAB Plan'!K28+'HB Plan'!K28+'OD Plan'!K28+'HDN Plan'!K28+'KIN Plan'!K28+'LE Plan'!K28+'MER Plan'!K28+'NDN Plan'!K28+'SALT Plan'!K28+'SDN Plan'!K28+'SST Plan'!K28+'WH Plan'!K28+'FH Plan'!K28</f>
        <v/>
      </c>
      <c r="L28" s="22">
        <f>'ABA Plan'!L28+'BK Plan'!L28+'BW Plan'!L28+'CED Plan'!L28+'HAB Plan'!L28+'HB Plan'!L28+'OD Plan'!L28+'HDN Plan'!L28+'KIN Plan'!L28+'LE Plan'!L28+'MER Plan'!L28+'NDN Plan'!L28+'SALT Plan'!L28+'SDN Plan'!L28+'SST Plan'!L28+'WH Plan'!L28+'FH Plan'!L28</f>
        <v/>
      </c>
      <c r="M28" s="22">
        <f>'ABA Plan'!M28+'BK Plan'!M28+'BW Plan'!M28+'CED Plan'!M28+'HAB Plan'!M28+'HB Plan'!M28+'OD Plan'!M28+'HDN Plan'!M28+'KIN Plan'!M28+'LE Plan'!M28+'MER Plan'!M28+'NDN Plan'!M28+'SALT Plan'!M28+'SDN Plan'!M28+'SST Plan'!M28+'WH Plan'!M28+'FH Plan'!M28</f>
        <v/>
      </c>
      <c r="N28" s="22">
        <f>'ABA Plan'!N28+'BK Plan'!N28+'BW Plan'!N28+'CED Plan'!N28+'HAB Plan'!N28+'HB Plan'!N28+'OD Plan'!N28+'HDN Plan'!N28+'KIN Plan'!N28+'LE Plan'!N28+'MER Plan'!N28+'NDN Plan'!N28+'SALT Plan'!N28+'SDN Plan'!N28+'SST Plan'!N28+'WH Plan'!N28+'FH Plan'!N28</f>
        <v/>
      </c>
      <c r="O28" s="22">
        <f>'ABA Plan'!O28+'BK Plan'!O28+'BW Plan'!O28+'CED Plan'!O28+'HAB Plan'!O28+'HB Plan'!O28+'OD Plan'!O28+'HDN Plan'!O28+'KIN Plan'!O28+'LE Plan'!O28+'MER Plan'!O28+'NDN Plan'!O28+'SALT Plan'!O28+'SDN Plan'!O28+'SST Plan'!O28+'WH Plan'!O28+'FH Plan'!O28</f>
        <v/>
      </c>
      <c r="P28" s="22">
        <f>'ABA Plan'!P28+'BK Plan'!P28+'BW Plan'!P28+'CED Plan'!P28+'HAB Plan'!P28+'HB Plan'!P28+'OD Plan'!P28+'HDN Plan'!P28+'KIN Plan'!P28+'LE Plan'!P28+'MER Plan'!P28+'NDN Plan'!P28+'SALT Plan'!P28+'SDN Plan'!P28+'SST Plan'!P28+'WH Plan'!P28+'FH Plan'!P28</f>
        <v/>
      </c>
      <c r="Q28" s="22">
        <f>'ABA Plan'!Q28+'BK Plan'!Q28+'BW Plan'!Q28+'CED Plan'!Q28+'HAB Plan'!Q28+'HB Plan'!Q28+'OD Plan'!Q28+'HDN Plan'!Q28+'KIN Plan'!Q28+'LE Plan'!Q28+'MER Plan'!Q28+'NDN Plan'!Q28+'SALT Plan'!Q28+'SDN Plan'!Q28+'SST Plan'!Q28+'WH Plan'!Q28+'FH Plan'!Q28</f>
        <v/>
      </c>
      <c r="R28" s="22">
        <f>'ABA Plan'!R28+'BK Plan'!R28+'BW Plan'!R28+'CED Plan'!R28+'HAB Plan'!R28+'HB Plan'!R28+'OD Plan'!R28+'HDN Plan'!R28+'KIN Plan'!R28+'LE Plan'!R28+'MER Plan'!R28+'NDN Plan'!R28+'SALT Plan'!R28+'SDN Plan'!R28+'SST Plan'!R28+'WH Plan'!R28+'FH Plan'!R28</f>
        <v/>
      </c>
      <c r="S28" s="22">
        <f>'ABA Plan'!S28+'BK Plan'!S28+'BW Plan'!S28+'CED Plan'!S28+'HAB Plan'!S28+'HB Plan'!S28+'OD Plan'!S28+'HDN Plan'!S28+'KIN Plan'!S28+'LE Plan'!S28+'MER Plan'!S28+'NDN Plan'!S28+'SALT Plan'!S28+'SDN Plan'!S28+'SST Plan'!S28+'WH Plan'!S28+'FH Plan'!S28</f>
        <v/>
      </c>
      <c r="T28" s="22">
        <f>'ABA Plan'!T28+'BK Plan'!T28+'BW Plan'!T28+'CED Plan'!T28+'HAB Plan'!T28+'HB Plan'!T28+'OD Plan'!T28+'HDN Plan'!T28+'KIN Plan'!T28+'LE Plan'!T28+'MER Plan'!T28+'NDN Plan'!T28+'SALT Plan'!T28+'SDN Plan'!T28+'SST Plan'!T28+'WH Plan'!T28+'FH Plan'!T28</f>
        <v/>
      </c>
      <c r="U28" s="22">
        <f>'ABA Plan'!U28+'BK Plan'!U28+'BW Plan'!U28+'CED Plan'!U28+'HAB Plan'!U28+'HB Plan'!U28+'OD Plan'!U28+'HDN Plan'!U28+'KIN Plan'!U28+'LE Plan'!U28+'MER Plan'!U28+'NDN Plan'!U28+'SALT Plan'!U28+'SDN Plan'!U28+'SST Plan'!U28+'WH Plan'!U28+'FH Plan'!U28</f>
        <v/>
      </c>
      <c r="V28" s="22">
        <f>'ABA Plan'!V28+'BK Plan'!V28+'BW Plan'!V28+'CED Plan'!V28+'HAB Plan'!V28+'HB Plan'!V28+'OD Plan'!V28+'HDN Plan'!V28+'KIN Plan'!V28+'LE Plan'!V28+'MER Plan'!V28+'NDN Plan'!V28+'SALT Plan'!V28+'SDN Plan'!V28+'SST Plan'!V28+'WH Plan'!V28+'FH Plan'!V28</f>
        <v/>
      </c>
      <c r="W28" s="22">
        <f>'ABA Plan'!W28+'BK Plan'!W28+'BW Plan'!W28+'CED Plan'!W28+'HAB Plan'!W28+'HB Plan'!W28+'OD Plan'!W28+'HDN Plan'!W28+'KIN Plan'!W28+'LE Plan'!W28+'MER Plan'!W28+'NDN Plan'!W28+'SALT Plan'!W28+'SDN Plan'!W28+'SST Plan'!W28+'WH Plan'!W28+'FH Plan'!W28</f>
        <v/>
      </c>
      <c r="X28" s="22">
        <f>'ABA Plan'!X28+'BK Plan'!X28+'BW Plan'!X28+'CED Plan'!X28+'HAB Plan'!X28+'HB Plan'!X28+'OD Plan'!X28+'HDN Plan'!X28+'KIN Plan'!X28+'LE Plan'!X28+'MER Plan'!X28+'NDN Plan'!X28+'SALT Plan'!X28+'SDN Plan'!X28+'SST Plan'!X28+'WH Plan'!X28+'FH Plan'!X28</f>
        <v/>
      </c>
      <c r="Y28" s="22">
        <f>'ABA Plan'!Y28+'BK Plan'!Y28+'BW Plan'!Y28+'CED Plan'!Y28+'HAB Plan'!Y28+'HB Plan'!Y28+'OD Plan'!Y28+'HDN Plan'!Y28+'KIN Plan'!Y28+'LE Plan'!Y28+'MER Plan'!Y28+'NDN Plan'!Y28+'SALT Plan'!Y28+'SDN Plan'!Y28+'SST Plan'!Y28+'WH Plan'!Y28+'FH Plan'!Y28</f>
        <v/>
      </c>
      <c r="Z28" s="22">
        <f>'ABA Plan'!Z28+'BK Plan'!Z28+'BW Plan'!Z28+'CED Plan'!Z28+'HAB Plan'!Z28+'HB Plan'!Z28+'OD Plan'!Z28+'HDN Plan'!Z28+'KIN Plan'!Z28+'LE Plan'!Z28+'MER Plan'!Z28+'NDN Plan'!Z28+'SALT Plan'!Z28+'SDN Plan'!Z28+'SST Plan'!Z28+'WH Plan'!Z28+'FH Plan'!Z28</f>
        <v/>
      </c>
      <c r="AA28" s="22">
        <f>'ABA Plan'!AA28+'BK Plan'!AA28+'BW Plan'!AA28+'CED Plan'!AA28+'HAB Plan'!AA28+'HB Plan'!AA28+'OD Plan'!AA28+'HDN Plan'!AA28+'KIN Plan'!AA28+'LE Plan'!AA28+'MER Plan'!AA28+'NDN Plan'!AA28+'SALT Plan'!AA28+'SDN Plan'!AA28+'SST Plan'!AA28+'WH Plan'!AA28+'FH Plan'!AA28</f>
        <v/>
      </c>
      <c r="AB28" s="22">
        <f>'ABA Plan'!AB28+'BK Plan'!AB28+'BW Plan'!AB28+'CED Plan'!AB28+'HAB Plan'!AB28+'HB Plan'!AB28+'OD Plan'!AB28+'HDN Plan'!AB28+'KIN Plan'!AB28+'LE Plan'!AB28+'MER Plan'!AB28+'NDN Plan'!AB28+'SALT Plan'!AB28+'SDN Plan'!AB28+'SST Plan'!AB28+'WH Plan'!AB28+'FH Plan'!AB28</f>
        <v/>
      </c>
      <c r="AC28" s="22">
        <f>'ABA Plan'!AC28+'BK Plan'!AC28+'BW Plan'!AC28+'CED Plan'!AC28+'HAB Plan'!AC28+'HB Plan'!AC28+'OD Plan'!AC28+'HDN Plan'!AC28+'KIN Plan'!AC28+'LE Plan'!AC28+'MER Plan'!AC28+'NDN Plan'!AC28+'SALT Plan'!AC28+'SDN Plan'!AC28+'SST Plan'!AC28+'WH Plan'!AC28+'FH Plan'!AC28</f>
        <v/>
      </c>
      <c r="AD28" s="22">
        <f>'ABA Plan'!AD28+'BK Plan'!AD28+'BW Plan'!AD28+'CED Plan'!AD28+'HAB Plan'!AD28+'HB Plan'!AD28+'OD Plan'!AD28+'HDN Plan'!AD28+'KIN Plan'!AD28+'LE Plan'!AD28+'MER Plan'!AD28+'NDN Plan'!AD28+'SALT Plan'!AD28+'SDN Plan'!AD28+'SST Plan'!AD28+'WH Plan'!AD28+'FH Plan'!AD28</f>
        <v/>
      </c>
      <c r="AE28" s="22">
        <f>'ABA Plan'!AE28+'BK Plan'!AE28+'BW Plan'!AE28+'CED Plan'!AE28+'HAB Plan'!AE28+'HB Plan'!AE28+'OD Plan'!AE28+'HDN Plan'!AE28+'KIN Plan'!AE28+'LE Plan'!AE28+'MER Plan'!AE28+'NDN Plan'!AE28+'SALT Plan'!AE28+'SDN Plan'!AE28+'SST Plan'!AE28+'WH Plan'!AE28+'FH Plan'!AE28</f>
        <v/>
      </c>
      <c r="AF28" s="22">
        <f>'ABA Plan'!AF28+'BK Plan'!AF28+'BW Plan'!AF28+'CED Plan'!AF28+'HAB Plan'!AF28+'HB Plan'!AF28+'OD Plan'!AF28+'HDN Plan'!AF28+'KIN Plan'!AF28+'LE Plan'!AF28+'MER Plan'!AF28+'NDN Plan'!AF28+'SALT Plan'!AF28+'SDN Plan'!AF28+'SST Plan'!AF28+'WH Plan'!AF28+'FH Plan'!AF28</f>
        <v/>
      </c>
      <c r="AG28" s="22">
        <f>'ABA Plan'!AG28+'BK Plan'!AG28+'BW Plan'!AG28+'CED Plan'!AG28+'HAB Plan'!AG28+'HB Plan'!AG28+'OD Plan'!AG28+'HDN Plan'!AG28+'KIN Plan'!AG28+'LE Plan'!AG28+'MER Plan'!AG28+'NDN Plan'!AG28+'SALT Plan'!AG28+'SDN Plan'!AG28+'SST Plan'!AG28+'WH Plan'!AG28+'FH Plan'!AG28</f>
        <v/>
      </c>
      <c r="AH28" s="22">
        <f>'ABA Plan'!AH28+'BK Plan'!AH28+'BW Plan'!AH28+'CED Plan'!AH28+'HAB Plan'!AH28+'HB Plan'!AH28+'OD Plan'!AH28+'HDN Plan'!AH28+'KIN Plan'!AH28+'LE Plan'!AH28+'MER Plan'!AH28+'NDN Plan'!AH28+'SALT Plan'!AH28+'SDN Plan'!AH28+'SST Plan'!AH28+'WH Plan'!AH28+'FH Plan'!AH28</f>
        <v/>
      </c>
      <c r="AI28" s="22">
        <f>'ABA Plan'!AI28+'BK Plan'!AI28+'BW Plan'!AI28+'CED Plan'!AI28+'HAB Plan'!AI28+'HB Plan'!AI28+'OD Plan'!AI28+'HDN Plan'!AI28+'KIN Plan'!AI28+'LE Plan'!AI28+'MER Plan'!AI28+'NDN Plan'!AI28+'SALT Plan'!AI28+'SDN Plan'!AI28+'SST Plan'!AI28+'WH Plan'!AI28+'FH Plan'!AI28</f>
        <v/>
      </c>
      <c r="AJ28" s="22">
        <f>'ABA Plan'!AJ28+'BK Plan'!AJ28+'BW Plan'!AJ28+'CED Plan'!AJ28+'HAB Plan'!AJ28+'HB Plan'!AJ28+'OD Plan'!AJ28+'HDN Plan'!AJ28+'KIN Plan'!AJ28+'LE Plan'!AJ28+'MER Plan'!AJ28+'NDN Plan'!AJ28+'SALT Plan'!AJ28+'SDN Plan'!AJ28+'SST Plan'!AJ28+'WH Plan'!AJ28+'FH Plan'!AJ28</f>
        <v/>
      </c>
      <c r="AK28" s="11">
        <f>IF(N28&lt;&gt;0,(AB28-N28)/ABS(N28),0)</f>
        <v/>
      </c>
      <c r="AL28" s="11">
        <f>IF(AB28&lt;&gt;0,(AJ28-AB28)/ABS(AB28),0)</f>
        <v/>
      </c>
    </row>
    <row r="29" ht="13" customHeight="1">
      <c r="A29" s="21" t="inlineStr">
        <is>
          <t xml:space="preserve">    Nursery Consumables</t>
        </is>
      </c>
      <c r="B29" s="22">
        <f>'ABA Plan'!B29+'BK Plan'!B29+'BW Plan'!B29+'CED Plan'!B29+'HAB Plan'!B29+'HB Plan'!B29+'OD Plan'!B29+'HDN Plan'!B29+'KIN Plan'!B29+'LE Plan'!B29+'MER Plan'!B29+'NDN Plan'!B29+'SALT Plan'!B29+'SDN Plan'!B29+'SST Plan'!B29+'WH Plan'!B29+'FH Plan'!B29</f>
        <v/>
      </c>
      <c r="C29" s="22">
        <f>'ABA Plan'!C29+'BK Plan'!C29+'BW Plan'!C29+'CED Plan'!C29+'HAB Plan'!C29+'HB Plan'!C29+'OD Plan'!C29+'HDN Plan'!C29+'KIN Plan'!C29+'LE Plan'!C29+'MER Plan'!C29+'NDN Plan'!C29+'SALT Plan'!C29+'SDN Plan'!C29+'SST Plan'!C29+'WH Plan'!C29+'FH Plan'!C29</f>
        <v/>
      </c>
      <c r="D29" s="22">
        <f>'ABA Plan'!D29+'BK Plan'!D29+'BW Plan'!D29+'CED Plan'!D29+'HAB Plan'!D29+'HB Plan'!D29+'OD Plan'!D29+'HDN Plan'!D29+'KIN Plan'!D29+'LE Plan'!D29+'MER Plan'!D29+'NDN Plan'!D29+'SALT Plan'!D29+'SDN Plan'!D29+'SST Plan'!D29+'WH Plan'!D29+'FH Plan'!D29</f>
        <v/>
      </c>
      <c r="E29" s="22">
        <f>'ABA Plan'!E29+'BK Plan'!E29+'BW Plan'!E29+'CED Plan'!E29+'HAB Plan'!E29+'HB Plan'!E29+'OD Plan'!E29+'HDN Plan'!E29+'KIN Plan'!E29+'LE Plan'!E29+'MER Plan'!E29+'NDN Plan'!E29+'SALT Plan'!E29+'SDN Plan'!E29+'SST Plan'!E29+'WH Plan'!E29+'FH Plan'!E29</f>
        <v/>
      </c>
      <c r="F29" s="22">
        <f>'ABA Plan'!F29+'BK Plan'!F29+'BW Plan'!F29+'CED Plan'!F29+'HAB Plan'!F29+'HB Plan'!F29+'OD Plan'!F29+'HDN Plan'!F29+'KIN Plan'!F29+'LE Plan'!F29+'MER Plan'!F29+'NDN Plan'!F29+'SALT Plan'!F29+'SDN Plan'!F29+'SST Plan'!F29+'WH Plan'!F29+'FH Plan'!F29</f>
        <v/>
      </c>
      <c r="G29" s="22">
        <f>'ABA Plan'!G29+'BK Plan'!G29+'BW Plan'!G29+'CED Plan'!G29+'HAB Plan'!G29+'HB Plan'!G29+'OD Plan'!G29+'HDN Plan'!G29+'KIN Plan'!G29+'LE Plan'!G29+'MER Plan'!G29+'NDN Plan'!G29+'SALT Plan'!G29+'SDN Plan'!G29+'SST Plan'!G29+'WH Plan'!G29+'FH Plan'!G29</f>
        <v/>
      </c>
      <c r="H29" s="22">
        <f>'ABA Plan'!H29+'BK Plan'!H29+'BW Plan'!H29+'CED Plan'!H29+'HAB Plan'!H29+'HB Plan'!H29+'OD Plan'!H29+'HDN Plan'!H29+'KIN Plan'!H29+'LE Plan'!H29+'MER Plan'!H29+'NDN Plan'!H29+'SALT Plan'!H29+'SDN Plan'!H29+'SST Plan'!H29+'WH Plan'!H29+'FH Plan'!H29</f>
        <v/>
      </c>
      <c r="I29" s="22">
        <f>'ABA Plan'!I29+'BK Plan'!I29+'BW Plan'!I29+'CED Plan'!I29+'HAB Plan'!I29+'HB Plan'!I29+'OD Plan'!I29+'HDN Plan'!I29+'KIN Plan'!I29+'LE Plan'!I29+'MER Plan'!I29+'NDN Plan'!I29+'SALT Plan'!I29+'SDN Plan'!I29+'SST Plan'!I29+'WH Plan'!I29+'FH Plan'!I29</f>
        <v/>
      </c>
      <c r="J29" s="22">
        <f>'ABA Plan'!J29+'BK Plan'!J29+'BW Plan'!J29+'CED Plan'!J29+'HAB Plan'!J29+'HB Plan'!J29+'OD Plan'!J29+'HDN Plan'!J29+'KIN Plan'!J29+'LE Plan'!J29+'MER Plan'!J29+'NDN Plan'!J29+'SALT Plan'!J29+'SDN Plan'!J29+'SST Plan'!J29+'WH Plan'!J29+'FH Plan'!J29</f>
        <v/>
      </c>
      <c r="K29" s="22">
        <f>'ABA Plan'!K29+'BK Plan'!K29+'BW Plan'!K29+'CED Plan'!K29+'HAB Plan'!K29+'HB Plan'!K29+'OD Plan'!K29+'HDN Plan'!K29+'KIN Plan'!K29+'LE Plan'!K29+'MER Plan'!K29+'NDN Plan'!K29+'SALT Plan'!K29+'SDN Plan'!K29+'SST Plan'!K29+'WH Plan'!K29+'FH Plan'!K29</f>
        <v/>
      </c>
      <c r="L29" s="22">
        <f>'ABA Plan'!L29+'BK Plan'!L29+'BW Plan'!L29+'CED Plan'!L29+'HAB Plan'!L29+'HB Plan'!L29+'OD Plan'!L29+'HDN Plan'!L29+'KIN Plan'!L29+'LE Plan'!L29+'MER Plan'!L29+'NDN Plan'!L29+'SALT Plan'!L29+'SDN Plan'!L29+'SST Plan'!L29+'WH Plan'!L29+'FH Plan'!L29</f>
        <v/>
      </c>
      <c r="M29" s="22">
        <f>'ABA Plan'!M29+'BK Plan'!M29+'BW Plan'!M29+'CED Plan'!M29+'HAB Plan'!M29+'HB Plan'!M29+'OD Plan'!M29+'HDN Plan'!M29+'KIN Plan'!M29+'LE Plan'!M29+'MER Plan'!M29+'NDN Plan'!M29+'SALT Plan'!M29+'SDN Plan'!M29+'SST Plan'!M29+'WH Plan'!M29+'FH Plan'!M29</f>
        <v/>
      </c>
      <c r="N29" s="22">
        <f>'ABA Plan'!N29+'BK Plan'!N29+'BW Plan'!N29+'CED Plan'!N29+'HAB Plan'!N29+'HB Plan'!N29+'OD Plan'!N29+'HDN Plan'!N29+'KIN Plan'!N29+'LE Plan'!N29+'MER Plan'!N29+'NDN Plan'!N29+'SALT Plan'!N29+'SDN Plan'!N29+'SST Plan'!N29+'WH Plan'!N29+'FH Plan'!N29</f>
        <v/>
      </c>
      <c r="O29" s="22">
        <f>'ABA Plan'!O29+'BK Plan'!O29+'BW Plan'!O29+'CED Plan'!O29+'HAB Plan'!O29+'HB Plan'!O29+'OD Plan'!O29+'HDN Plan'!O29+'KIN Plan'!O29+'LE Plan'!O29+'MER Plan'!O29+'NDN Plan'!O29+'SALT Plan'!O29+'SDN Plan'!O29+'SST Plan'!O29+'WH Plan'!O29+'FH Plan'!O29</f>
        <v/>
      </c>
      <c r="P29" s="22">
        <f>'ABA Plan'!P29+'BK Plan'!P29+'BW Plan'!P29+'CED Plan'!P29+'HAB Plan'!P29+'HB Plan'!P29+'OD Plan'!P29+'HDN Plan'!P29+'KIN Plan'!P29+'LE Plan'!P29+'MER Plan'!P29+'NDN Plan'!P29+'SALT Plan'!P29+'SDN Plan'!P29+'SST Plan'!P29+'WH Plan'!P29+'FH Plan'!P29</f>
        <v/>
      </c>
      <c r="Q29" s="22">
        <f>'ABA Plan'!Q29+'BK Plan'!Q29+'BW Plan'!Q29+'CED Plan'!Q29+'HAB Plan'!Q29+'HB Plan'!Q29+'OD Plan'!Q29+'HDN Plan'!Q29+'KIN Plan'!Q29+'LE Plan'!Q29+'MER Plan'!Q29+'NDN Plan'!Q29+'SALT Plan'!Q29+'SDN Plan'!Q29+'SST Plan'!Q29+'WH Plan'!Q29+'FH Plan'!Q29</f>
        <v/>
      </c>
      <c r="R29" s="22">
        <f>'ABA Plan'!R29+'BK Plan'!R29+'BW Plan'!R29+'CED Plan'!R29+'HAB Plan'!R29+'HB Plan'!R29+'OD Plan'!R29+'HDN Plan'!R29+'KIN Plan'!R29+'LE Plan'!R29+'MER Plan'!R29+'NDN Plan'!R29+'SALT Plan'!R29+'SDN Plan'!R29+'SST Plan'!R29+'WH Plan'!R29+'FH Plan'!R29</f>
        <v/>
      </c>
      <c r="S29" s="22">
        <f>'ABA Plan'!S29+'BK Plan'!S29+'BW Plan'!S29+'CED Plan'!S29+'HAB Plan'!S29+'HB Plan'!S29+'OD Plan'!S29+'HDN Plan'!S29+'KIN Plan'!S29+'LE Plan'!S29+'MER Plan'!S29+'NDN Plan'!S29+'SALT Plan'!S29+'SDN Plan'!S29+'SST Plan'!S29+'WH Plan'!S29+'FH Plan'!S29</f>
        <v/>
      </c>
      <c r="T29" s="22">
        <f>'ABA Plan'!T29+'BK Plan'!T29+'BW Plan'!T29+'CED Plan'!T29+'HAB Plan'!T29+'HB Plan'!T29+'OD Plan'!T29+'HDN Plan'!T29+'KIN Plan'!T29+'LE Plan'!T29+'MER Plan'!T29+'NDN Plan'!T29+'SALT Plan'!T29+'SDN Plan'!T29+'SST Plan'!T29+'WH Plan'!T29+'FH Plan'!T29</f>
        <v/>
      </c>
      <c r="U29" s="22">
        <f>'ABA Plan'!U29+'BK Plan'!U29+'BW Plan'!U29+'CED Plan'!U29+'HAB Plan'!U29+'HB Plan'!U29+'OD Plan'!U29+'HDN Plan'!U29+'KIN Plan'!U29+'LE Plan'!U29+'MER Plan'!U29+'NDN Plan'!U29+'SALT Plan'!U29+'SDN Plan'!U29+'SST Plan'!U29+'WH Plan'!U29+'FH Plan'!U29</f>
        <v/>
      </c>
      <c r="V29" s="22">
        <f>'ABA Plan'!V29+'BK Plan'!V29+'BW Plan'!V29+'CED Plan'!V29+'HAB Plan'!V29+'HB Plan'!V29+'OD Plan'!V29+'HDN Plan'!V29+'KIN Plan'!V29+'LE Plan'!V29+'MER Plan'!V29+'NDN Plan'!V29+'SALT Plan'!V29+'SDN Plan'!V29+'SST Plan'!V29+'WH Plan'!V29+'FH Plan'!V29</f>
        <v/>
      </c>
      <c r="W29" s="22">
        <f>'ABA Plan'!W29+'BK Plan'!W29+'BW Plan'!W29+'CED Plan'!W29+'HAB Plan'!W29+'HB Plan'!W29+'OD Plan'!W29+'HDN Plan'!W29+'KIN Plan'!W29+'LE Plan'!W29+'MER Plan'!W29+'NDN Plan'!W29+'SALT Plan'!W29+'SDN Plan'!W29+'SST Plan'!W29+'WH Plan'!W29+'FH Plan'!W29</f>
        <v/>
      </c>
      <c r="X29" s="22">
        <f>'ABA Plan'!X29+'BK Plan'!X29+'BW Plan'!X29+'CED Plan'!X29+'HAB Plan'!X29+'HB Plan'!X29+'OD Plan'!X29+'HDN Plan'!X29+'KIN Plan'!X29+'LE Plan'!X29+'MER Plan'!X29+'NDN Plan'!X29+'SALT Plan'!X29+'SDN Plan'!X29+'SST Plan'!X29+'WH Plan'!X29+'FH Plan'!X29</f>
        <v/>
      </c>
      <c r="Y29" s="22">
        <f>'ABA Plan'!Y29+'BK Plan'!Y29+'BW Plan'!Y29+'CED Plan'!Y29+'HAB Plan'!Y29+'HB Plan'!Y29+'OD Plan'!Y29+'HDN Plan'!Y29+'KIN Plan'!Y29+'LE Plan'!Y29+'MER Plan'!Y29+'NDN Plan'!Y29+'SALT Plan'!Y29+'SDN Plan'!Y29+'SST Plan'!Y29+'WH Plan'!Y29+'FH Plan'!Y29</f>
        <v/>
      </c>
      <c r="Z29" s="22">
        <f>'ABA Plan'!Z29+'BK Plan'!Z29+'BW Plan'!Z29+'CED Plan'!Z29+'HAB Plan'!Z29+'HB Plan'!Z29+'OD Plan'!Z29+'HDN Plan'!Z29+'KIN Plan'!Z29+'LE Plan'!Z29+'MER Plan'!Z29+'NDN Plan'!Z29+'SALT Plan'!Z29+'SDN Plan'!Z29+'SST Plan'!Z29+'WH Plan'!Z29+'FH Plan'!Z29</f>
        <v/>
      </c>
      <c r="AA29" s="22">
        <f>'ABA Plan'!AA29+'BK Plan'!AA29+'BW Plan'!AA29+'CED Plan'!AA29+'HAB Plan'!AA29+'HB Plan'!AA29+'OD Plan'!AA29+'HDN Plan'!AA29+'KIN Plan'!AA29+'LE Plan'!AA29+'MER Plan'!AA29+'NDN Plan'!AA29+'SALT Plan'!AA29+'SDN Plan'!AA29+'SST Plan'!AA29+'WH Plan'!AA29+'FH Plan'!AA29</f>
        <v/>
      </c>
      <c r="AB29" s="22">
        <f>'ABA Plan'!AB29+'BK Plan'!AB29+'BW Plan'!AB29+'CED Plan'!AB29+'HAB Plan'!AB29+'HB Plan'!AB29+'OD Plan'!AB29+'HDN Plan'!AB29+'KIN Plan'!AB29+'LE Plan'!AB29+'MER Plan'!AB29+'NDN Plan'!AB29+'SALT Plan'!AB29+'SDN Plan'!AB29+'SST Plan'!AB29+'WH Plan'!AB29+'FH Plan'!AB29</f>
        <v/>
      </c>
      <c r="AC29" s="22">
        <f>'ABA Plan'!AC29+'BK Plan'!AC29+'BW Plan'!AC29+'CED Plan'!AC29+'HAB Plan'!AC29+'HB Plan'!AC29+'OD Plan'!AC29+'HDN Plan'!AC29+'KIN Plan'!AC29+'LE Plan'!AC29+'MER Plan'!AC29+'NDN Plan'!AC29+'SALT Plan'!AC29+'SDN Plan'!AC29+'SST Plan'!AC29+'WH Plan'!AC29+'FH Plan'!AC29</f>
        <v/>
      </c>
      <c r="AD29" s="22">
        <f>'ABA Plan'!AD29+'BK Plan'!AD29+'BW Plan'!AD29+'CED Plan'!AD29+'HAB Plan'!AD29+'HB Plan'!AD29+'OD Plan'!AD29+'HDN Plan'!AD29+'KIN Plan'!AD29+'LE Plan'!AD29+'MER Plan'!AD29+'NDN Plan'!AD29+'SALT Plan'!AD29+'SDN Plan'!AD29+'SST Plan'!AD29+'WH Plan'!AD29+'FH Plan'!AD29</f>
        <v/>
      </c>
      <c r="AE29" s="22">
        <f>'ABA Plan'!AE29+'BK Plan'!AE29+'BW Plan'!AE29+'CED Plan'!AE29+'HAB Plan'!AE29+'HB Plan'!AE29+'OD Plan'!AE29+'HDN Plan'!AE29+'KIN Plan'!AE29+'LE Plan'!AE29+'MER Plan'!AE29+'NDN Plan'!AE29+'SALT Plan'!AE29+'SDN Plan'!AE29+'SST Plan'!AE29+'WH Plan'!AE29+'FH Plan'!AE29</f>
        <v/>
      </c>
      <c r="AF29" s="22">
        <f>'ABA Plan'!AF29+'BK Plan'!AF29+'BW Plan'!AF29+'CED Plan'!AF29+'HAB Plan'!AF29+'HB Plan'!AF29+'OD Plan'!AF29+'HDN Plan'!AF29+'KIN Plan'!AF29+'LE Plan'!AF29+'MER Plan'!AF29+'NDN Plan'!AF29+'SALT Plan'!AF29+'SDN Plan'!AF29+'SST Plan'!AF29+'WH Plan'!AF29+'FH Plan'!AF29</f>
        <v/>
      </c>
      <c r="AG29" s="22">
        <f>'ABA Plan'!AG29+'BK Plan'!AG29+'BW Plan'!AG29+'CED Plan'!AG29+'HAB Plan'!AG29+'HB Plan'!AG29+'OD Plan'!AG29+'HDN Plan'!AG29+'KIN Plan'!AG29+'LE Plan'!AG29+'MER Plan'!AG29+'NDN Plan'!AG29+'SALT Plan'!AG29+'SDN Plan'!AG29+'SST Plan'!AG29+'WH Plan'!AG29+'FH Plan'!AG29</f>
        <v/>
      </c>
      <c r="AH29" s="22">
        <f>'ABA Plan'!AH29+'BK Plan'!AH29+'BW Plan'!AH29+'CED Plan'!AH29+'HAB Plan'!AH29+'HB Plan'!AH29+'OD Plan'!AH29+'HDN Plan'!AH29+'KIN Plan'!AH29+'LE Plan'!AH29+'MER Plan'!AH29+'NDN Plan'!AH29+'SALT Plan'!AH29+'SDN Plan'!AH29+'SST Plan'!AH29+'WH Plan'!AH29+'FH Plan'!AH29</f>
        <v/>
      </c>
      <c r="AI29" s="22">
        <f>'ABA Plan'!AI29+'BK Plan'!AI29+'BW Plan'!AI29+'CED Plan'!AI29+'HAB Plan'!AI29+'HB Plan'!AI29+'OD Plan'!AI29+'HDN Plan'!AI29+'KIN Plan'!AI29+'LE Plan'!AI29+'MER Plan'!AI29+'NDN Plan'!AI29+'SALT Plan'!AI29+'SDN Plan'!AI29+'SST Plan'!AI29+'WH Plan'!AI29+'FH Plan'!AI29</f>
        <v/>
      </c>
      <c r="AJ29" s="22">
        <f>'ABA Plan'!AJ29+'BK Plan'!AJ29+'BW Plan'!AJ29+'CED Plan'!AJ29+'HAB Plan'!AJ29+'HB Plan'!AJ29+'OD Plan'!AJ29+'HDN Plan'!AJ29+'KIN Plan'!AJ29+'LE Plan'!AJ29+'MER Plan'!AJ29+'NDN Plan'!AJ29+'SALT Plan'!AJ29+'SDN Plan'!AJ29+'SST Plan'!AJ29+'WH Plan'!AJ29+'FH Plan'!AJ29</f>
        <v/>
      </c>
      <c r="AK29" s="11">
        <f>IF(N29&lt;&gt;0,(AB29-N29)/ABS(N29),0)</f>
        <v/>
      </c>
      <c r="AL29" s="11">
        <f>IF(AB29&lt;&gt;0,(AJ29-AB29)/ABS(AB29),0)</f>
        <v/>
      </c>
    </row>
    <row r="30" ht="13" customHeight="1">
      <c r="A30" s="23" t="inlineStr">
        <is>
          <t>Total Childcare Costs</t>
        </is>
      </c>
      <c r="B30" s="24">
        <f>'ABA Plan'!B30+'BK Plan'!B30+'BW Plan'!B30+'CED Plan'!B30+'HAB Plan'!B30+'HB Plan'!B30+'OD Plan'!B30+'HDN Plan'!B30+'KIN Plan'!B30+'LE Plan'!B30+'MER Plan'!B30+'NDN Plan'!B30+'SALT Plan'!B30+'SDN Plan'!B30+'SST Plan'!B30+'WH Plan'!B30+'FH Plan'!B30</f>
        <v/>
      </c>
      <c r="C30" s="24">
        <f>'ABA Plan'!C30+'BK Plan'!C30+'BW Plan'!C30+'CED Plan'!C30+'HAB Plan'!C30+'HB Plan'!C30+'OD Plan'!C30+'HDN Plan'!C30+'KIN Plan'!C30+'LE Plan'!C30+'MER Plan'!C30+'NDN Plan'!C30+'SALT Plan'!C30+'SDN Plan'!C30+'SST Plan'!C30+'WH Plan'!C30+'FH Plan'!C30</f>
        <v/>
      </c>
      <c r="D30" s="24">
        <f>'ABA Plan'!D30+'BK Plan'!D30+'BW Plan'!D30+'CED Plan'!D30+'HAB Plan'!D30+'HB Plan'!D30+'OD Plan'!D30+'HDN Plan'!D30+'KIN Plan'!D30+'LE Plan'!D30+'MER Plan'!D30+'NDN Plan'!D30+'SALT Plan'!D30+'SDN Plan'!D30+'SST Plan'!D30+'WH Plan'!D30+'FH Plan'!D30</f>
        <v/>
      </c>
      <c r="E30" s="24">
        <f>'ABA Plan'!E30+'BK Plan'!E30+'BW Plan'!E30+'CED Plan'!E30+'HAB Plan'!E30+'HB Plan'!E30+'OD Plan'!E30+'HDN Plan'!E30+'KIN Plan'!E30+'LE Plan'!E30+'MER Plan'!E30+'NDN Plan'!E30+'SALT Plan'!E30+'SDN Plan'!E30+'SST Plan'!E30+'WH Plan'!E30+'FH Plan'!E30</f>
        <v/>
      </c>
      <c r="F30" s="24">
        <f>'ABA Plan'!F30+'BK Plan'!F30+'BW Plan'!F30+'CED Plan'!F30+'HAB Plan'!F30+'HB Plan'!F30+'OD Plan'!F30+'HDN Plan'!F30+'KIN Plan'!F30+'LE Plan'!F30+'MER Plan'!F30+'NDN Plan'!F30+'SALT Plan'!F30+'SDN Plan'!F30+'SST Plan'!F30+'WH Plan'!F30+'FH Plan'!F30</f>
        <v/>
      </c>
      <c r="G30" s="24">
        <f>'ABA Plan'!G30+'BK Plan'!G30+'BW Plan'!G30+'CED Plan'!G30+'HAB Plan'!G30+'HB Plan'!G30+'OD Plan'!G30+'HDN Plan'!G30+'KIN Plan'!G30+'LE Plan'!G30+'MER Plan'!G30+'NDN Plan'!G30+'SALT Plan'!G30+'SDN Plan'!G30+'SST Plan'!G30+'WH Plan'!G30+'FH Plan'!G30</f>
        <v/>
      </c>
      <c r="H30" s="24">
        <f>'ABA Plan'!H30+'BK Plan'!H30+'BW Plan'!H30+'CED Plan'!H30+'HAB Plan'!H30+'HB Plan'!H30+'OD Plan'!H30+'HDN Plan'!H30+'KIN Plan'!H30+'LE Plan'!H30+'MER Plan'!H30+'NDN Plan'!H30+'SALT Plan'!H30+'SDN Plan'!H30+'SST Plan'!H30+'WH Plan'!H30+'FH Plan'!H30</f>
        <v/>
      </c>
      <c r="I30" s="24">
        <f>'ABA Plan'!I30+'BK Plan'!I30+'BW Plan'!I30+'CED Plan'!I30+'HAB Plan'!I30+'HB Plan'!I30+'OD Plan'!I30+'HDN Plan'!I30+'KIN Plan'!I30+'LE Plan'!I30+'MER Plan'!I30+'NDN Plan'!I30+'SALT Plan'!I30+'SDN Plan'!I30+'SST Plan'!I30+'WH Plan'!I30+'FH Plan'!I30</f>
        <v/>
      </c>
      <c r="J30" s="24">
        <f>'ABA Plan'!J30+'BK Plan'!J30+'BW Plan'!J30+'CED Plan'!J30+'HAB Plan'!J30+'HB Plan'!J30+'OD Plan'!J30+'HDN Plan'!J30+'KIN Plan'!J30+'LE Plan'!J30+'MER Plan'!J30+'NDN Plan'!J30+'SALT Plan'!J30+'SDN Plan'!J30+'SST Plan'!J30+'WH Plan'!J30+'FH Plan'!J30</f>
        <v/>
      </c>
      <c r="K30" s="24">
        <f>'ABA Plan'!K30+'BK Plan'!K30+'BW Plan'!K30+'CED Plan'!K30+'HAB Plan'!K30+'HB Plan'!K30+'OD Plan'!K30+'HDN Plan'!K30+'KIN Plan'!K30+'LE Plan'!K30+'MER Plan'!K30+'NDN Plan'!K30+'SALT Plan'!K30+'SDN Plan'!K30+'SST Plan'!K30+'WH Plan'!K30+'FH Plan'!K30</f>
        <v/>
      </c>
      <c r="L30" s="24">
        <f>'ABA Plan'!L30+'BK Plan'!L30+'BW Plan'!L30+'CED Plan'!L30+'HAB Plan'!L30+'HB Plan'!L30+'OD Plan'!L30+'HDN Plan'!L30+'KIN Plan'!L30+'LE Plan'!L30+'MER Plan'!L30+'NDN Plan'!L30+'SALT Plan'!L30+'SDN Plan'!L30+'SST Plan'!L30+'WH Plan'!L30+'FH Plan'!L30</f>
        <v/>
      </c>
      <c r="M30" s="24">
        <f>'ABA Plan'!M30+'BK Plan'!M30+'BW Plan'!M30+'CED Plan'!M30+'HAB Plan'!M30+'HB Plan'!M30+'OD Plan'!M30+'HDN Plan'!M30+'KIN Plan'!M30+'LE Plan'!M30+'MER Plan'!M30+'NDN Plan'!M30+'SALT Plan'!M30+'SDN Plan'!M30+'SST Plan'!M30+'WH Plan'!M30+'FH Plan'!M30</f>
        <v/>
      </c>
      <c r="N30" s="24">
        <f>'ABA Plan'!N30+'BK Plan'!N30+'BW Plan'!N30+'CED Plan'!N30+'HAB Plan'!N30+'HB Plan'!N30+'OD Plan'!N30+'HDN Plan'!N30+'KIN Plan'!N30+'LE Plan'!N30+'MER Plan'!N30+'NDN Plan'!N30+'SALT Plan'!N30+'SDN Plan'!N30+'SST Plan'!N30+'WH Plan'!N30+'FH Plan'!N30</f>
        <v/>
      </c>
      <c r="O30" s="24">
        <f>'ABA Plan'!O30+'BK Plan'!O30+'BW Plan'!O30+'CED Plan'!O30+'HAB Plan'!O30+'HB Plan'!O30+'OD Plan'!O30+'HDN Plan'!O30+'KIN Plan'!O30+'LE Plan'!O30+'MER Plan'!O30+'NDN Plan'!O30+'SALT Plan'!O30+'SDN Plan'!O30+'SST Plan'!O30+'WH Plan'!O30+'FH Plan'!O30</f>
        <v/>
      </c>
      <c r="P30" s="24">
        <f>'ABA Plan'!P30+'BK Plan'!P30+'BW Plan'!P30+'CED Plan'!P30+'HAB Plan'!P30+'HB Plan'!P30+'OD Plan'!P30+'HDN Plan'!P30+'KIN Plan'!P30+'LE Plan'!P30+'MER Plan'!P30+'NDN Plan'!P30+'SALT Plan'!P30+'SDN Plan'!P30+'SST Plan'!P30+'WH Plan'!P30+'FH Plan'!P30</f>
        <v/>
      </c>
      <c r="Q30" s="24">
        <f>'ABA Plan'!Q30+'BK Plan'!Q30+'BW Plan'!Q30+'CED Plan'!Q30+'HAB Plan'!Q30+'HB Plan'!Q30+'OD Plan'!Q30+'HDN Plan'!Q30+'KIN Plan'!Q30+'LE Plan'!Q30+'MER Plan'!Q30+'NDN Plan'!Q30+'SALT Plan'!Q30+'SDN Plan'!Q30+'SST Plan'!Q30+'WH Plan'!Q30+'FH Plan'!Q30</f>
        <v/>
      </c>
      <c r="R30" s="24">
        <f>'ABA Plan'!R30+'BK Plan'!R30+'BW Plan'!R30+'CED Plan'!R30+'HAB Plan'!R30+'HB Plan'!R30+'OD Plan'!R30+'HDN Plan'!R30+'KIN Plan'!R30+'LE Plan'!R30+'MER Plan'!R30+'NDN Plan'!R30+'SALT Plan'!R30+'SDN Plan'!R30+'SST Plan'!R30+'WH Plan'!R30+'FH Plan'!R30</f>
        <v/>
      </c>
      <c r="S30" s="24">
        <f>'ABA Plan'!S30+'BK Plan'!S30+'BW Plan'!S30+'CED Plan'!S30+'HAB Plan'!S30+'HB Plan'!S30+'OD Plan'!S30+'HDN Plan'!S30+'KIN Plan'!S30+'LE Plan'!S30+'MER Plan'!S30+'NDN Plan'!S30+'SALT Plan'!S30+'SDN Plan'!S30+'SST Plan'!S30+'WH Plan'!S30+'FH Plan'!S30</f>
        <v/>
      </c>
      <c r="T30" s="24">
        <f>'ABA Plan'!T30+'BK Plan'!T30+'BW Plan'!T30+'CED Plan'!T30+'HAB Plan'!T30+'HB Plan'!T30+'OD Plan'!T30+'HDN Plan'!T30+'KIN Plan'!T30+'LE Plan'!T30+'MER Plan'!T30+'NDN Plan'!T30+'SALT Plan'!T30+'SDN Plan'!T30+'SST Plan'!T30+'WH Plan'!T30+'FH Plan'!T30</f>
        <v/>
      </c>
      <c r="U30" s="24">
        <f>'ABA Plan'!U30+'BK Plan'!U30+'BW Plan'!U30+'CED Plan'!U30+'HAB Plan'!U30+'HB Plan'!U30+'OD Plan'!U30+'HDN Plan'!U30+'KIN Plan'!U30+'LE Plan'!U30+'MER Plan'!U30+'NDN Plan'!U30+'SALT Plan'!U30+'SDN Plan'!U30+'SST Plan'!U30+'WH Plan'!U30+'FH Plan'!U30</f>
        <v/>
      </c>
      <c r="V30" s="24">
        <f>'ABA Plan'!V30+'BK Plan'!V30+'BW Plan'!V30+'CED Plan'!V30+'HAB Plan'!V30+'HB Plan'!V30+'OD Plan'!V30+'HDN Plan'!V30+'KIN Plan'!V30+'LE Plan'!V30+'MER Plan'!V30+'NDN Plan'!V30+'SALT Plan'!V30+'SDN Plan'!V30+'SST Plan'!V30+'WH Plan'!V30+'FH Plan'!V30</f>
        <v/>
      </c>
      <c r="W30" s="24">
        <f>'ABA Plan'!W30+'BK Plan'!W30+'BW Plan'!W30+'CED Plan'!W30+'HAB Plan'!W30+'HB Plan'!W30+'OD Plan'!W30+'HDN Plan'!W30+'KIN Plan'!W30+'LE Plan'!W30+'MER Plan'!W30+'NDN Plan'!W30+'SALT Plan'!W30+'SDN Plan'!W30+'SST Plan'!W30+'WH Plan'!W30+'FH Plan'!W30</f>
        <v/>
      </c>
      <c r="X30" s="24">
        <f>'ABA Plan'!X30+'BK Plan'!X30+'BW Plan'!X30+'CED Plan'!X30+'HAB Plan'!X30+'HB Plan'!X30+'OD Plan'!X30+'HDN Plan'!X30+'KIN Plan'!X30+'LE Plan'!X30+'MER Plan'!X30+'NDN Plan'!X30+'SALT Plan'!X30+'SDN Plan'!X30+'SST Plan'!X30+'WH Plan'!X30+'FH Plan'!X30</f>
        <v/>
      </c>
      <c r="Y30" s="24">
        <f>'ABA Plan'!Y30+'BK Plan'!Y30+'BW Plan'!Y30+'CED Plan'!Y30+'HAB Plan'!Y30+'HB Plan'!Y30+'OD Plan'!Y30+'HDN Plan'!Y30+'KIN Plan'!Y30+'LE Plan'!Y30+'MER Plan'!Y30+'NDN Plan'!Y30+'SALT Plan'!Y30+'SDN Plan'!Y30+'SST Plan'!Y30+'WH Plan'!Y30+'FH Plan'!Y30</f>
        <v/>
      </c>
      <c r="Z30" s="24">
        <f>'ABA Plan'!Z30+'BK Plan'!Z30+'BW Plan'!Z30+'CED Plan'!Z30+'HAB Plan'!Z30+'HB Plan'!Z30+'OD Plan'!Z30+'HDN Plan'!Z30+'KIN Plan'!Z30+'LE Plan'!Z30+'MER Plan'!Z30+'NDN Plan'!Z30+'SALT Plan'!Z30+'SDN Plan'!Z30+'SST Plan'!Z30+'WH Plan'!Z30+'FH Plan'!Z30</f>
        <v/>
      </c>
      <c r="AA30" s="24">
        <f>'ABA Plan'!AA30+'BK Plan'!AA30+'BW Plan'!AA30+'CED Plan'!AA30+'HAB Plan'!AA30+'HB Plan'!AA30+'OD Plan'!AA30+'HDN Plan'!AA30+'KIN Plan'!AA30+'LE Plan'!AA30+'MER Plan'!AA30+'NDN Plan'!AA30+'SALT Plan'!AA30+'SDN Plan'!AA30+'SST Plan'!AA30+'WH Plan'!AA30+'FH Plan'!AA30</f>
        <v/>
      </c>
      <c r="AB30" s="24">
        <f>'ABA Plan'!AB30+'BK Plan'!AB30+'BW Plan'!AB30+'CED Plan'!AB30+'HAB Plan'!AB30+'HB Plan'!AB30+'OD Plan'!AB30+'HDN Plan'!AB30+'KIN Plan'!AB30+'LE Plan'!AB30+'MER Plan'!AB30+'NDN Plan'!AB30+'SALT Plan'!AB30+'SDN Plan'!AB30+'SST Plan'!AB30+'WH Plan'!AB30+'FH Plan'!AB30</f>
        <v/>
      </c>
      <c r="AC30" s="24">
        <f>'ABA Plan'!AC30+'BK Plan'!AC30+'BW Plan'!AC30+'CED Plan'!AC30+'HAB Plan'!AC30+'HB Plan'!AC30+'OD Plan'!AC30+'HDN Plan'!AC30+'KIN Plan'!AC30+'LE Plan'!AC30+'MER Plan'!AC30+'NDN Plan'!AC30+'SALT Plan'!AC30+'SDN Plan'!AC30+'SST Plan'!AC30+'WH Plan'!AC30+'FH Plan'!AC30</f>
        <v/>
      </c>
      <c r="AD30" s="24">
        <f>'ABA Plan'!AD30+'BK Plan'!AD30+'BW Plan'!AD30+'CED Plan'!AD30+'HAB Plan'!AD30+'HB Plan'!AD30+'OD Plan'!AD30+'HDN Plan'!AD30+'KIN Plan'!AD30+'LE Plan'!AD30+'MER Plan'!AD30+'NDN Plan'!AD30+'SALT Plan'!AD30+'SDN Plan'!AD30+'SST Plan'!AD30+'WH Plan'!AD30+'FH Plan'!AD30</f>
        <v/>
      </c>
      <c r="AE30" s="24">
        <f>'ABA Plan'!AE30+'BK Plan'!AE30+'BW Plan'!AE30+'CED Plan'!AE30+'HAB Plan'!AE30+'HB Plan'!AE30+'OD Plan'!AE30+'HDN Plan'!AE30+'KIN Plan'!AE30+'LE Plan'!AE30+'MER Plan'!AE30+'NDN Plan'!AE30+'SALT Plan'!AE30+'SDN Plan'!AE30+'SST Plan'!AE30+'WH Plan'!AE30+'FH Plan'!AE30</f>
        <v/>
      </c>
      <c r="AF30" s="24">
        <f>'ABA Plan'!AF30+'BK Plan'!AF30+'BW Plan'!AF30+'CED Plan'!AF30+'HAB Plan'!AF30+'HB Plan'!AF30+'OD Plan'!AF30+'HDN Plan'!AF30+'KIN Plan'!AF30+'LE Plan'!AF30+'MER Plan'!AF30+'NDN Plan'!AF30+'SALT Plan'!AF30+'SDN Plan'!AF30+'SST Plan'!AF30+'WH Plan'!AF30+'FH Plan'!AF30</f>
        <v/>
      </c>
      <c r="AG30" s="24">
        <f>'ABA Plan'!AG30+'BK Plan'!AG30+'BW Plan'!AG30+'CED Plan'!AG30+'HAB Plan'!AG30+'HB Plan'!AG30+'OD Plan'!AG30+'HDN Plan'!AG30+'KIN Plan'!AG30+'LE Plan'!AG30+'MER Plan'!AG30+'NDN Plan'!AG30+'SALT Plan'!AG30+'SDN Plan'!AG30+'SST Plan'!AG30+'WH Plan'!AG30+'FH Plan'!AG30</f>
        <v/>
      </c>
      <c r="AH30" s="24">
        <f>'ABA Plan'!AH30+'BK Plan'!AH30+'BW Plan'!AH30+'CED Plan'!AH30+'HAB Plan'!AH30+'HB Plan'!AH30+'OD Plan'!AH30+'HDN Plan'!AH30+'KIN Plan'!AH30+'LE Plan'!AH30+'MER Plan'!AH30+'NDN Plan'!AH30+'SALT Plan'!AH30+'SDN Plan'!AH30+'SST Plan'!AH30+'WH Plan'!AH30+'FH Plan'!AH30</f>
        <v/>
      </c>
      <c r="AI30" s="24">
        <f>'ABA Plan'!AI30+'BK Plan'!AI30+'BW Plan'!AI30+'CED Plan'!AI30+'HAB Plan'!AI30+'HB Plan'!AI30+'OD Plan'!AI30+'HDN Plan'!AI30+'KIN Plan'!AI30+'LE Plan'!AI30+'MER Plan'!AI30+'NDN Plan'!AI30+'SALT Plan'!AI30+'SDN Plan'!AI30+'SST Plan'!AI30+'WH Plan'!AI30+'FH Plan'!AI30</f>
        <v/>
      </c>
      <c r="AJ30" s="24">
        <f>'ABA Plan'!AJ30+'BK Plan'!AJ30+'BW Plan'!AJ30+'CED Plan'!AJ30+'HAB Plan'!AJ30+'HB Plan'!AJ30+'OD Plan'!AJ30+'HDN Plan'!AJ30+'KIN Plan'!AJ30+'LE Plan'!AJ30+'MER Plan'!AJ30+'NDN Plan'!AJ30+'SALT Plan'!AJ30+'SDN Plan'!AJ30+'SST Plan'!AJ30+'WH Plan'!AJ30+'FH Plan'!AJ30</f>
        <v/>
      </c>
      <c r="AK30" s="11">
        <f>IF(N30&lt;&gt;0,(AB30-N30)/ABS(N30),0)</f>
        <v/>
      </c>
      <c r="AL30" s="11">
        <f>IF(AB30&lt;&gt;0,(AJ30-AB30)/ABS(AB30),0)</f>
        <v/>
      </c>
    </row>
    <row r="31" ht="5" customHeight="1"/>
    <row r="32" ht="13" customHeight="1">
      <c r="A32" s="14" t="inlineStr">
        <is>
          <t>Premises &amp; Admin</t>
        </is>
      </c>
    </row>
    <row r="33" ht="13" customHeight="1">
      <c r="A33" s="25" t="inlineStr">
        <is>
          <t xml:space="preserve">    Rent</t>
        </is>
      </c>
      <c r="B33" s="26">
        <f>'ABA Plan'!B33+'BK Plan'!B33+'BW Plan'!B33+'CED Plan'!B33+'HAB Plan'!B33+'HB Plan'!B33+'OD Plan'!B33+'HDN Plan'!B33+'KIN Plan'!B33+'LE Plan'!B33+'MER Plan'!B33+'NDN Plan'!B33+'SALT Plan'!B33+'SDN Plan'!B33+'SST Plan'!B33+'WH Plan'!B33+'FH Plan'!B33</f>
        <v/>
      </c>
      <c r="C33" s="26">
        <f>'ABA Plan'!C33+'BK Plan'!C33+'BW Plan'!C33+'CED Plan'!C33+'HAB Plan'!C33+'HB Plan'!C33+'OD Plan'!C33+'HDN Plan'!C33+'KIN Plan'!C33+'LE Plan'!C33+'MER Plan'!C33+'NDN Plan'!C33+'SALT Plan'!C33+'SDN Plan'!C33+'SST Plan'!C33+'WH Plan'!C33+'FH Plan'!C33</f>
        <v/>
      </c>
      <c r="D33" s="26">
        <f>'ABA Plan'!D33+'BK Plan'!D33+'BW Plan'!D33+'CED Plan'!D33+'HAB Plan'!D33+'HB Plan'!D33+'OD Plan'!D33+'HDN Plan'!D33+'KIN Plan'!D33+'LE Plan'!D33+'MER Plan'!D33+'NDN Plan'!D33+'SALT Plan'!D33+'SDN Plan'!D33+'SST Plan'!D33+'WH Plan'!D33+'FH Plan'!D33</f>
        <v/>
      </c>
      <c r="E33" s="26">
        <f>'ABA Plan'!E33+'BK Plan'!E33+'BW Plan'!E33+'CED Plan'!E33+'HAB Plan'!E33+'HB Plan'!E33+'OD Plan'!E33+'HDN Plan'!E33+'KIN Plan'!E33+'LE Plan'!E33+'MER Plan'!E33+'NDN Plan'!E33+'SALT Plan'!E33+'SDN Plan'!E33+'SST Plan'!E33+'WH Plan'!E33+'FH Plan'!E33</f>
        <v/>
      </c>
      <c r="F33" s="26">
        <f>'ABA Plan'!F33+'BK Plan'!F33+'BW Plan'!F33+'CED Plan'!F33+'HAB Plan'!F33+'HB Plan'!F33+'OD Plan'!F33+'HDN Plan'!F33+'KIN Plan'!F33+'LE Plan'!F33+'MER Plan'!F33+'NDN Plan'!F33+'SALT Plan'!F33+'SDN Plan'!F33+'SST Plan'!F33+'WH Plan'!F33+'FH Plan'!F33</f>
        <v/>
      </c>
      <c r="G33" s="26">
        <f>'ABA Plan'!G33+'BK Plan'!G33+'BW Plan'!G33+'CED Plan'!G33+'HAB Plan'!G33+'HB Plan'!G33+'OD Plan'!G33+'HDN Plan'!G33+'KIN Plan'!G33+'LE Plan'!G33+'MER Plan'!G33+'NDN Plan'!G33+'SALT Plan'!G33+'SDN Plan'!G33+'SST Plan'!G33+'WH Plan'!G33+'FH Plan'!G33</f>
        <v/>
      </c>
      <c r="H33" s="26">
        <f>'ABA Plan'!H33+'BK Plan'!H33+'BW Plan'!H33+'CED Plan'!H33+'HAB Plan'!H33+'HB Plan'!H33+'OD Plan'!H33+'HDN Plan'!H33+'KIN Plan'!H33+'LE Plan'!H33+'MER Plan'!H33+'NDN Plan'!H33+'SALT Plan'!H33+'SDN Plan'!H33+'SST Plan'!H33+'WH Plan'!H33+'FH Plan'!H33</f>
        <v/>
      </c>
      <c r="I33" s="26">
        <f>'ABA Plan'!I33+'BK Plan'!I33+'BW Plan'!I33+'CED Plan'!I33+'HAB Plan'!I33+'HB Plan'!I33+'OD Plan'!I33+'HDN Plan'!I33+'KIN Plan'!I33+'LE Plan'!I33+'MER Plan'!I33+'NDN Plan'!I33+'SALT Plan'!I33+'SDN Plan'!I33+'SST Plan'!I33+'WH Plan'!I33+'FH Plan'!I33</f>
        <v/>
      </c>
      <c r="J33" s="26">
        <f>'ABA Plan'!J33+'BK Plan'!J33+'BW Plan'!J33+'CED Plan'!J33+'HAB Plan'!J33+'HB Plan'!J33+'OD Plan'!J33+'HDN Plan'!J33+'KIN Plan'!J33+'LE Plan'!J33+'MER Plan'!J33+'NDN Plan'!J33+'SALT Plan'!J33+'SDN Plan'!J33+'SST Plan'!J33+'WH Plan'!J33+'FH Plan'!J33</f>
        <v/>
      </c>
      <c r="K33" s="26">
        <f>'ABA Plan'!K33+'BK Plan'!K33+'BW Plan'!K33+'CED Plan'!K33+'HAB Plan'!K33+'HB Plan'!K33+'OD Plan'!K33+'HDN Plan'!K33+'KIN Plan'!K33+'LE Plan'!K33+'MER Plan'!K33+'NDN Plan'!K33+'SALT Plan'!K33+'SDN Plan'!K33+'SST Plan'!K33+'WH Plan'!K33+'FH Plan'!K33</f>
        <v/>
      </c>
      <c r="L33" s="26">
        <f>'ABA Plan'!L33+'BK Plan'!L33+'BW Plan'!L33+'CED Plan'!L33+'HAB Plan'!L33+'HB Plan'!L33+'OD Plan'!L33+'HDN Plan'!L33+'KIN Plan'!L33+'LE Plan'!L33+'MER Plan'!L33+'NDN Plan'!L33+'SALT Plan'!L33+'SDN Plan'!L33+'SST Plan'!L33+'WH Plan'!L33+'FH Plan'!L33</f>
        <v/>
      </c>
      <c r="M33" s="26">
        <f>'ABA Plan'!M33+'BK Plan'!M33+'BW Plan'!M33+'CED Plan'!M33+'HAB Plan'!M33+'HB Plan'!M33+'OD Plan'!M33+'HDN Plan'!M33+'KIN Plan'!M33+'LE Plan'!M33+'MER Plan'!M33+'NDN Plan'!M33+'SALT Plan'!M33+'SDN Plan'!M33+'SST Plan'!M33+'WH Plan'!M33+'FH Plan'!M33</f>
        <v/>
      </c>
      <c r="N33" s="26">
        <f>'ABA Plan'!N33+'BK Plan'!N33+'BW Plan'!N33+'CED Plan'!N33+'HAB Plan'!N33+'HB Plan'!N33+'OD Plan'!N33+'HDN Plan'!N33+'KIN Plan'!N33+'LE Plan'!N33+'MER Plan'!N33+'NDN Plan'!N33+'SALT Plan'!N33+'SDN Plan'!N33+'SST Plan'!N33+'WH Plan'!N33+'FH Plan'!N33</f>
        <v/>
      </c>
      <c r="O33" s="26">
        <f>'ABA Plan'!O33+'BK Plan'!O33+'BW Plan'!O33+'CED Plan'!O33+'HAB Plan'!O33+'HB Plan'!O33+'OD Plan'!O33+'HDN Plan'!O33+'KIN Plan'!O33+'LE Plan'!O33+'MER Plan'!O33+'NDN Plan'!O33+'SALT Plan'!O33+'SDN Plan'!O33+'SST Plan'!O33+'WH Plan'!O33+'FH Plan'!O33</f>
        <v/>
      </c>
      <c r="P33" s="26">
        <f>'ABA Plan'!P33+'BK Plan'!P33+'BW Plan'!P33+'CED Plan'!P33+'HAB Plan'!P33+'HB Plan'!P33+'OD Plan'!P33+'HDN Plan'!P33+'KIN Plan'!P33+'LE Plan'!P33+'MER Plan'!P33+'NDN Plan'!P33+'SALT Plan'!P33+'SDN Plan'!P33+'SST Plan'!P33+'WH Plan'!P33+'FH Plan'!P33</f>
        <v/>
      </c>
      <c r="Q33" s="26">
        <f>'ABA Plan'!Q33+'BK Plan'!Q33+'BW Plan'!Q33+'CED Plan'!Q33+'HAB Plan'!Q33+'HB Plan'!Q33+'OD Plan'!Q33+'HDN Plan'!Q33+'KIN Plan'!Q33+'LE Plan'!Q33+'MER Plan'!Q33+'NDN Plan'!Q33+'SALT Plan'!Q33+'SDN Plan'!Q33+'SST Plan'!Q33+'WH Plan'!Q33+'FH Plan'!Q33</f>
        <v/>
      </c>
      <c r="R33" s="26">
        <f>'ABA Plan'!R33+'BK Plan'!R33+'BW Plan'!R33+'CED Plan'!R33+'HAB Plan'!R33+'HB Plan'!R33+'OD Plan'!R33+'HDN Plan'!R33+'KIN Plan'!R33+'LE Plan'!R33+'MER Plan'!R33+'NDN Plan'!R33+'SALT Plan'!R33+'SDN Plan'!R33+'SST Plan'!R33+'WH Plan'!R33+'FH Plan'!R33</f>
        <v/>
      </c>
      <c r="S33" s="26">
        <f>'ABA Plan'!S33+'BK Plan'!S33+'BW Plan'!S33+'CED Plan'!S33+'HAB Plan'!S33+'HB Plan'!S33+'OD Plan'!S33+'HDN Plan'!S33+'KIN Plan'!S33+'LE Plan'!S33+'MER Plan'!S33+'NDN Plan'!S33+'SALT Plan'!S33+'SDN Plan'!S33+'SST Plan'!S33+'WH Plan'!S33+'FH Plan'!S33</f>
        <v/>
      </c>
      <c r="T33" s="26">
        <f>'ABA Plan'!T33+'BK Plan'!T33+'BW Plan'!T33+'CED Plan'!T33+'HAB Plan'!T33+'HB Plan'!T33+'OD Plan'!T33+'HDN Plan'!T33+'KIN Plan'!T33+'LE Plan'!T33+'MER Plan'!T33+'NDN Plan'!T33+'SALT Plan'!T33+'SDN Plan'!T33+'SST Plan'!T33+'WH Plan'!T33+'FH Plan'!T33</f>
        <v/>
      </c>
      <c r="U33" s="26">
        <f>'ABA Plan'!U33+'BK Plan'!U33+'BW Plan'!U33+'CED Plan'!U33+'HAB Plan'!U33+'HB Plan'!U33+'OD Plan'!U33+'HDN Plan'!U33+'KIN Plan'!U33+'LE Plan'!U33+'MER Plan'!U33+'NDN Plan'!U33+'SALT Plan'!U33+'SDN Plan'!U33+'SST Plan'!U33+'WH Plan'!U33+'FH Plan'!U33</f>
        <v/>
      </c>
      <c r="V33" s="26">
        <f>'ABA Plan'!V33+'BK Plan'!V33+'BW Plan'!V33+'CED Plan'!V33+'HAB Plan'!V33+'HB Plan'!V33+'OD Plan'!V33+'HDN Plan'!V33+'KIN Plan'!V33+'LE Plan'!V33+'MER Plan'!V33+'NDN Plan'!V33+'SALT Plan'!V33+'SDN Plan'!V33+'SST Plan'!V33+'WH Plan'!V33+'FH Plan'!V33</f>
        <v/>
      </c>
      <c r="W33" s="26">
        <f>'ABA Plan'!W33+'BK Plan'!W33+'BW Plan'!W33+'CED Plan'!W33+'HAB Plan'!W33+'HB Plan'!W33+'OD Plan'!W33+'HDN Plan'!W33+'KIN Plan'!W33+'LE Plan'!W33+'MER Plan'!W33+'NDN Plan'!W33+'SALT Plan'!W33+'SDN Plan'!W33+'SST Plan'!W33+'WH Plan'!W33+'FH Plan'!W33</f>
        <v/>
      </c>
      <c r="X33" s="26">
        <f>'ABA Plan'!X33+'BK Plan'!X33+'BW Plan'!X33+'CED Plan'!X33+'HAB Plan'!X33+'HB Plan'!X33+'OD Plan'!X33+'HDN Plan'!X33+'KIN Plan'!X33+'LE Plan'!X33+'MER Plan'!X33+'NDN Plan'!X33+'SALT Plan'!X33+'SDN Plan'!X33+'SST Plan'!X33+'WH Plan'!X33+'FH Plan'!X33</f>
        <v/>
      </c>
      <c r="Y33" s="26">
        <f>'ABA Plan'!Y33+'BK Plan'!Y33+'BW Plan'!Y33+'CED Plan'!Y33+'HAB Plan'!Y33+'HB Plan'!Y33+'OD Plan'!Y33+'HDN Plan'!Y33+'KIN Plan'!Y33+'LE Plan'!Y33+'MER Plan'!Y33+'NDN Plan'!Y33+'SALT Plan'!Y33+'SDN Plan'!Y33+'SST Plan'!Y33+'WH Plan'!Y33+'FH Plan'!Y33</f>
        <v/>
      </c>
      <c r="Z33" s="26">
        <f>'ABA Plan'!Z33+'BK Plan'!Z33+'BW Plan'!Z33+'CED Plan'!Z33+'HAB Plan'!Z33+'HB Plan'!Z33+'OD Plan'!Z33+'HDN Plan'!Z33+'KIN Plan'!Z33+'LE Plan'!Z33+'MER Plan'!Z33+'NDN Plan'!Z33+'SALT Plan'!Z33+'SDN Plan'!Z33+'SST Plan'!Z33+'WH Plan'!Z33+'FH Plan'!Z33</f>
        <v/>
      </c>
      <c r="AA33" s="26">
        <f>'ABA Plan'!AA33+'BK Plan'!AA33+'BW Plan'!AA33+'CED Plan'!AA33+'HAB Plan'!AA33+'HB Plan'!AA33+'OD Plan'!AA33+'HDN Plan'!AA33+'KIN Plan'!AA33+'LE Plan'!AA33+'MER Plan'!AA33+'NDN Plan'!AA33+'SALT Plan'!AA33+'SDN Plan'!AA33+'SST Plan'!AA33+'WH Plan'!AA33+'FH Plan'!AA33</f>
        <v/>
      </c>
      <c r="AB33" s="26">
        <f>'ABA Plan'!AB33+'BK Plan'!AB33+'BW Plan'!AB33+'CED Plan'!AB33+'HAB Plan'!AB33+'HB Plan'!AB33+'OD Plan'!AB33+'HDN Plan'!AB33+'KIN Plan'!AB33+'LE Plan'!AB33+'MER Plan'!AB33+'NDN Plan'!AB33+'SALT Plan'!AB33+'SDN Plan'!AB33+'SST Plan'!AB33+'WH Plan'!AB33+'FH Plan'!AB33</f>
        <v/>
      </c>
      <c r="AC33" s="26">
        <f>'ABA Plan'!AC33+'BK Plan'!AC33+'BW Plan'!AC33+'CED Plan'!AC33+'HAB Plan'!AC33+'HB Plan'!AC33+'OD Plan'!AC33+'HDN Plan'!AC33+'KIN Plan'!AC33+'LE Plan'!AC33+'MER Plan'!AC33+'NDN Plan'!AC33+'SALT Plan'!AC33+'SDN Plan'!AC33+'SST Plan'!AC33+'WH Plan'!AC33+'FH Plan'!AC33</f>
        <v/>
      </c>
      <c r="AD33" s="26">
        <f>'ABA Plan'!AD33+'BK Plan'!AD33+'BW Plan'!AD33+'CED Plan'!AD33+'HAB Plan'!AD33+'HB Plan'!AD33+'OD Plan'!AD33+'HDN Plan'!AD33+'KIN Plan'!AD33+'LE Plan'!AD33+'MER Plan'!AD33+'NDN Plan'!AD33+'SALT Plan'!AD33+'SDN Plan'!AD33+'SST Plan'!AD33+'WH Plan'!AD33+'FH Plan'!AD33</f>
        <v/>
      </c>
      <c r="AE33" s="26">
        <f>'ABA Plan'!AE33+'BK Plan'!AE33+'BW Plan'!AE33+'CED Plan'!AE33+'HAB Plan'!AE33+'HB Plan'!AE33+'OD Plan'!AE33+'HDN Plan'!AE33+'KIN Plan'!AE33+'LE Plan'!AE33+'MER Plan'!AE33+'NDN Plan'!AE33+'SALT Plan'!AE33+'SDN Plan'!AE33+'SST Plan'!AE33+'WH Plan'!AE33+'FH Plan'!AE33</f>
        <v/>
      </c>
      <c r="AF33" s="26">
        <f>'ABA Plan'!AF33+'BK Plan'!AF33+'BW Plan'!AF33+'CED Plan'!AF33+'HAB Plan'!AF33+'HB Plan'!AF33+'OD Plan'!AF33+'HDN Plan'!AF33+'KIN Plan'!AF33+'LE Plan'!AF33+'MER Plan'!AF33+'NDN Plan'!AF33+'SALT Plan'!AF33+'SDN Plan'!AF33+'SST Plan'!AF33+'WH Plan'!AF33+'FH Plan'!AF33</f>
        <v/>
      </c>
      <c r="AG33" s="26">
        <f>'ABA Plan'!AG33+'BK Plan'!AG33+'BW Plan'!AG33+'CED Plan'!AG33+'HAB Plan'!AG33+'HB Plan'!AG33+'OD Plan'!AG33+'HDN Plan'!AG33+'KIN Plan'!AG33+'LE Plan'!AG33+'MER Plan'!AG33+'NDN Plan'!AG33+'SALT Plan'!AG33+'SDN Plan'!AG33+'SST Plan'!AG33+'WH Plan'!AG33+'FH Plan'!AG33</f>
        <v/>
      </c>
      <c r="AH33" s="26">
        <f>'ABA Plan'!AH33+'BK Plan'!AH33+'BW Plan'!AH33+'CED Plan'!AH33+'HAB Plan'!AH33+'HB Plan'!AH33+'OD Plan'!AH33+'HDN Plan'!AH33+'KIN Plan'!AH33+'LE Plan'!AH33+'MER Plan'!AH33+'NDN Plan'!AH33+'SALT Plan'!AH33+'SDN Plan'!AH33+'SST Plan'!AH33+'WH Plan'!AH33+'FH Plan'!AH33</f>
        <v/>
      </c>
      <c r="AI33" s="26">
        <f>'ABA Plan'!AI33+'BK Plan'!AI33+'BW Plan'!AI33+'CED Plan'!AI33+'HAB Plan'!AI33+'HB Plan'!AI33+'OD Plan'!AI33+'HDN Plan'!AI33+'KIN Plan'!AI33+'LE Plan'!AI33+'MER Plan'!AI33+'NDN Plan'!AI33+'SALT Plan'!AI33+'SDN Plan'!AI33+'SST Plan'!AI33+'WH Plan'!AI33+'FH Plan'!AI33</f>
        <v/>
      </c>
      <c r="AJ33" s="26">
        <f>'ABA Plan'!AJ33+'BK Plan'!AJ33+'BW Plan'!AJ33+'CED Plan'!AJ33+'HAB Plan'!AJ33+'HB Plan'!AJ33+'OD Plan'!AJ33+'HDN Plan'!AJ33+'KIN Plan'!AJ33+'LE Plan'!AJ33+'MER Plan'!AJ33+'NDN Plan'!AJ33+'SALT Plan'!AJ33+'SDN Plan'!AJ33+'SST Plan'!AJ33+'WH Plan'!AJ33+'FH Plan'!AJ33</f>
        <v/>
      </c>
      <c r="AK33" s="11">
        <f>IF(N33&lt;&gt;0,(AB33-N33)/ABS(N33),0)</f>
        <v/>
      </c>
      <c r="AL33" s="11">
        <f>IF(AB33&lt;&gt;0,(AJ33-AB33)/ABS(AB33),0)</f>
        <v/>
      </c>
    </row>
    <row r="34" ht="13" customHeight="1">
      <c r="A34" s="25" t="inlineStr">
        <is>
          <t xml:space="preserve">    Business Rates</t>
        </is>
      </c>
      <c r="B34" s="26">
        <f>'ABA Plan'!B34+'BK Plan'!B34+'BW Plan'!B34+'CED Plan'!B34+'HAB Plan'!B34+'HB Plan'!B34+'OD Plan'!B34+'HDN Plan'!B34+'KIN Plan'!B34+'LE Plan'!B34+'MER Plan'!B34+'NDN Plan'!B34+'SALT Plan'!B34+'SDN Plan'!B34+'SST Plan'!B34+'WH Plan'!B34+'FH Plan'!B34</f>
        <v/>
      </c>
      <c r="C34" s="26">
        <f>'ABA Plan'!C34+'BK Plan'!C34+'BW Plan'!C34+'CED Plan'!C34+'HAB Plan'!C34+'HB Plan'!C34+'OD Plan'!C34+'HDN Plan'!C34+'KIN Plan'!C34+'LE Plan'!C34+'MER Plan'!C34+'NDN Plan'!C34+'SALT Plan'!C34+'SDN Plan'!C34+'SST Plan'!C34+'WH Plan'!C34+'FH Plan'!C34</f>
        <v/>
      </c>
      <c r="D34" s="26">
        <f>'ABA Plan'!D34+'BK Plan'!D34+'BW Plan'!D34+'CED Plan'!D34+'HAB Plan'!D34+'HB Plan'!D34+'OD Plan'!D34+'HDN Plan'!D34+'KIN Plan'!D34+'LE Plan'!D34+'MER Plan'!D34+'NDN Plan'!D34+'SALT Plan'!D34+'SDN Plan'!D34+'SST Plan'!D34+'WH Plan'!D34+'FH Plan'!D34</f>
        <v/>
      </c>
      <c r="E34" s="26">
        <f>'ABA Plan'!E34+'BK Plan'!E34+'BW Plan'!E34+'CED Plan'!E34+'HAB Plan'!E34+'HB Plan'!E34+'OD Plan'!E34+'HDN Plan'!E34+'KIN Plan'!E34+'LE Plan'!E34+'MER Plan'!E34+'NDN Plan'!E34+'SALT Plan'!E34+'SDN Plan'!E34+'SST Plan'!E34+'WH Plan'!E34+'FH Plan'!E34</f>
        <v/>
      </c>
      <c r="F34" s="26">
        <f>'ABA Plan'!F34+'BK Plan'!F34+'BW Plan'!F34+'CED Plan'!F34+'HAB Plan'!F34+'HB Plan'!F34+'OD Plan'!F34+'HDN Plan'!F34+'KIN Plan'!F34+'LE Plan'!F34+'MER Plan'!F34+'NDN Plan'!F34+'SALT Plan'!F34+'SDN Plan'!F34+'SST Plan'!F34+'WH Plan'!F34+'FH Plan'!F34</f>
        <v/>
      </c>
      <c r="G34" s="26">
        <f>'ABA Plan'!G34+'BK Plan'!G34+'BW Plan'!G34+'CED Plan'!G34+'HAB Plan'!G34+'HB Plan'!G34+'OD Plan'!G34+'HDN Plan'!G34+'KIN Plan'!G34+'LE Plan'!G34+'MER Plan'!G34+'NDN Plan'!G34+'SALT Plan'!G34+'SDN Plan'!G34+'SST Plan'!G34+'WH Plan'!G34+'FH Plan'!G34</f>
        <v/>
      </c>
      <c r="H34" s="26">
        <f>'ABA Plan'!H34+'BK Plan'!H34+'BW Plan'!H34+'CED Plan'!H34+'HAB Plan'!H34+'HB Plan'!H34+'OD Plan'!H34+'HDN Plan'!H34+'KIN Plan'!H34+'LE Plan'!H34+'MER Plan'!H34+'NDN Plan'!H34+'SALT Plan'!H34+'SDN Plan'!H34+'SST Plan'!H34+'WH Plan'!H34+'FH Plan'!H34</f>
        <v/>
      </c>
      <c r="I34" s="26">
        <f>'ABA Plan'!I34+'BK Plan'!I34+'BW Plan'!I34+'CED Plan'!I34+'HAB Plan'!I34+'HB Plan'!I34+'OD Plan'!I34+'HDN Plan'!I34+'KIN Plan'!I34+'LE Plan'!I34+'MER Plan'!I34+'NDN Plan'!I34+'SALT Plan'!I34+'SDN Plan'!I34+'SST Plan'!I34+'WH Plan'!I34+'FH Plan'!I34</f>
        <v/>
      </c>
      <c r="J34" s="26">
        <f>'ABA Plan'!J34+'BK Plan'!J34+'BW Plan'!J34+'CED Plan'!J34+'HAB Plan'!J34+'HB Plan'!J34+'OD Plan'!J34+'HDN Plan'!J34+'KIN Plan'!J34+'LE Plan'!J34+'MER Plan'!J34+'NDN Plan'!J34+'SALT Plan'!J34+'SDN Plan'!J34+'SST Plan'!J34+'WH Plan'!J34+'FH Plan'!J34</f>
        <v/>
      </c>
      <c r="K34" s="26">
        <f>'ABA Plan'!K34+'BK Plan'!K34+'BW Plan'!K34+'CED Plan'!K34+'HAB Plan'!K34+'HB Plan'!K34+'OD Plan'!K34+'HDN Plan'!K34+'KIN Plan'!K34+'LE Plan'!K34+'MER Plan'!K34+'NDN Plan'!K34+'SALT Plan'!K34+'SDN Plan'!K34+'SST Plan'!K34+'WH Plan'!K34+'FH Plan'!K34</f>
        <v/>
      </c>
      <c r="L34" s="26">
        <f>'ABA Plan'!L34+'BK Plan'!L34+'BW Plan'!L34+'CED Plan'!L34+'HAB Plan'!L34+'HB Plan'!L34+'OD Plan'!L34+'HDN Plan'!L34+'KIN Plan'!L34+'LE Plan'!L34+'MER Plan'!L34+'NDN Plan'!L34+'SALT Plan'!L34+'SDN Plan'!L34+'SST Plan'!L34+'WH Plan'!L34+'FH Plan'!L34</f>
        <v/>
      </c>
      <c r="M34" s="26">
        <f>'ABA Plan'!M34+'BK Plan'!M34+'BW Plan'!M34+'CED Plan'!M34+'HAB Plan'!M34+'HB Plan'!M34+'OD Plan'!M34+'HDN Plan'!M34+'KIN Plan'!M34+'LE Plan'!M34+'MER Plan'!M34+'NDN Plan'!M34+'SALT Plan'!M34+'SDN Plan'!M34+'SST Plan'!M34+'WH Plan'!M34+'FH Plan'!M34</f>
        <v/>
      </c>
      <c r="N34" s="26">
        <f>'ABA Plan'!N34+'BK Plan'!N34+'BW Plan'!N34+'CED Plan'!N34+'HAB Plan'!N34+'HB Plan'!N34+'OD Plan'!N34+'HDN Plan'!N34+'KIN Plan'!N34+'LE Plan'!N34+'MER Plan'!N34+'NDN Plan'!N34+'SALT Plan'!N34+'SDN Plan'!N34+'SST Plan'!N34+'WH Plan'!N34+'FH Plan'!N34</f>
        <v/>
      </c>
      <c r="O34" s="26">
        <f>'ABA Plan'!O34+'BK Plan'!O34+'BW Plan'!O34+'CED Plan'!O34+'HAB Plan'!O34+'HB Plan'!O34+'OD Plan'!O34+'HDN Plan'!O34+'KIN Plan'!O34+'LE Plan'!O34+'MER Plan'!O34+'NDN Plan'!O34+'SALT Plan'!O34+'SDN Plan'!O34+'SST Plan'!O34+'WH Plan'!O34+'FH Plan'!O34</f>
        <v/>
      </c>
      <c r="P34" s="26">
        <f>'ABA Plan'!P34+'BK Plan'!P34+'BW Plan'!P34+'CED Plan'!P34+'HAB Plan'!P34+'HB Plan'!P34+'OD Plan'!P34+'HDN Plan'!P34+'KIN Plan'!P34+'LE Plan'!P34+'MER Plan'!P34+'NDN Plan'!P34+'SALT Plan'!P34+'SDN Plan'!P34+'SST Plan'!P34+'WH Plan'!P34+'FH Plan'!P34</f>
        <v/>
      </c>
      <c r="Q34" s="26">
        <f>'ABA Plan'!Q34+'BK Plan'!Q34+'BW Plan'!Q34+'CED Plan'!Q34+'HAB Plan'!Q34+'HB Plan'!Q34+'OD Plan'!Q34+'HDN Plan'!Q34+'KIN Plan'!Q34+'LE Plan'!Q34+'MER Plan'!Q34+'NDN Plan'!Q34+'SALT Plan'!Q34+'SDN Plan'!Q34+'SST Plan'!Q34+'WH Plan'!Q34+'FH Plan'!Q34</f>
        <v/>
      </c>
      <c r="R34" s="26">
        <f>'ABA Plan'!R34+'BK Plan'!R34+'BW Plan'!R34+'CED Plan'!R34+'HAB Plan'!R34+'HB Plan'!R34+'OD Plan'!R34+'HDN Plan'!R34+'KIN Plan'!R34+'LE Plan'!R34+'MER Plan'!R34+'NDN Plan'!R34+'SALT Plan'!R34+'SDN Plan'!R34+'SST Plan'!R34+'WH Plan'!R34+'FH Plan'!R34</f>
        <v/>
      </c>
      <c r="S34" s="26">
        <f>'ABA Plan'!S34+'BK Plan'!S34+'BW Plan'!S34+'CED Plan'!S34+'HAB Plan'!S34+'HB Plan'!S34+'OD Plan'!S34+'HDN Plan'!S34+'KIN Plan'!S34+'LE Plan'!S34+'MER Plan'!S34+'NDN Plan'!S34+'SALT Plan'!S34+'SDN Plan'!S34+'SST Plan'!S34+'WH Plan'!S34+'FH Plan'!S34</f>
        <v/>
      </c>
      <c r="T34" s="26">
        <f>'ABA Plan'!T34+'BK Plan'!T34+'BW Plan'!T34+'CED Plan'!T34+'HAB Plan'!T34+'HB Plan'!T34+'OD Plan'!T34+'HDN Plan'!T34+'KIN Plan'!T34+'LE Plan'!T34+'MER Plan'!T34+'NDN Plan'!T34+'SALT Plan'!T34+'SDN Plan'!T34+'SST Plan'!T34+'WH Plan'!T34+'FH Plan'!T34</f>
        <v/>
      </c>
      <c r="U34" s="26">
        <f>'ABA Plan'!U34+'BK Plan'!U34+'BW Plan'!U34+'CED Plan'!U34+'HAB Plan'!U34+'HB Plan'!U34+'OD Plan'!U34+'HDN Plan'!U34+'KIN Plan'!U34+'LE Plan'!U34+'MER Plan'!U34+'NDN Plan'!U34+'SALT Plan'!U34+'SDN Plan'!U34+'SST Plan'!U34+'WH Plan'!U34+'FH Plan'!U34</f>
        <v/>
      </c>
      <c r="V34" s="26">
        <f>'ABA Plan'!V34+'BK Plan'!V34+'BW Plan'!V34+'CED Plan'!V34+'HAB Plan'!V34+'HB Plan'!V34+'OD Plan'!V34+'HDN Plan'!V34+'KIN Plan'!V34+'LE Plan'!V34+'MER Plan'!V34+'NDN Plan'!V34+'SALT Plan'!V34+'SDN Plan'!V34+'SST Plan'!V34+'WH Plan'!V34+'FH Plan'!V34</f>
        <v/>
      </c>
      <c r="W34" s="26">
        <f>'ABA Plan'!W34+'BK Plan'!W34+'BW Plan'!W34+'CED Plan'!W34+'HAB Plan'!W34+'HB Plan'!W34+'OD Plan'!W34+'HDN Plan'!W34+'KIN Plan'!W34+'LE Plan'!W34+'MER Plan'!W34+'NDN Plan'!W34+'SALT Plan'!W34+'SDN Plan'!W34+'SST Plan'!W34+'WH Plan'!W34+'FH Plan'!W34</f>
        <v/>
      </c>
      <c r="X34" s="26">
        <f>'ABA Plan'!X34+'BK Plan'!X34+'BW Plan'!X34+'CED Plan'!X34+'HAB Plan'!X34+'HB Plan'!X34+'OD Plan'!X34+'HDN Plan'!X34+'KIN Plan'!X34+'LE Plan'!X34+'MER Plan'!X34+'NDN Plan'!X34+'SALT Plan'!X34+'SDN Plan'!X34+'SST Plan'!X34+'WH Plan'!X34+'FH Plan'!X34</f>
        <v/>
      </c>
      <c r="Y34" s="26">
        <f>'ABA Plan'!Y34+'BK Plan'!Y34+'BW Plan'!Y34+'CED Plan'!Y34+'HAB Plan'!Y34+'HB Plan'!Y34+'OD Plan'!Y34+'HDN Plan'!Y34+'KIN Plan'!Y34+'LE Plan'!Y34+'MER Plan'!Y34+'NDN Plan'!Y34+'SALT Plan'!Y34+'SDN Plan'!Y34+'SST Plan'!Y34+'WH Plan'!Y34+'FH Plan'!Y34</f>
        <v/>
      </c>
      <c r="Z34" s="26">
        <f>'ABA Plan'!Z34+'BK Plan'!Z34+'BW Plan'!Z34+'CED Plan'!Z34+'HAB Plan'!Z34+'HB Plan'!Z34+'OD Plan'!Z34+'HDN Plan'!Z34+'KIN Plan'!Z34+'LE Plan'!Z34+'MER Plan'!Z34+'NDN Plan'!Z34+'SALT Plan'!Z34+'SDN Plan'!Z34+'SST Plan'!Z34+'WH Plan'!Z34+'FH Plan'!Z34</f>
        <v/>
      </c>
      <c r="AA34" s="26">
        <f>'ABA Plan'!AA34+'BK Plan'!AA34+'BW Plan'!AA34+'CED Plan'!AA34+'HAB Plan'!AA34+'HB Plan'!AA34+'OD Plan'!AA34+'HDN Plan'!AA34+'KIN Plan'!AA34+'LE Plan'!AA34+'MER Plan'!AA34+'NDN Plan'!AA34+'SALT Plan'!AA34+'SDN Plan'!AA34+'SST Plan'!AA34+'WH Plan'!AA34+'FH Plan'!AA34</f>
        <v/>
      </c>
      <c r="AB34" s="26">
        <f>'ABA Plan'!AB34+'BK Plan'!AB34+'BW Plan'!AB34+'CED Plan'!AB34+'HAB Plan'!AB34+'HB Plan'!AB34+'OD Plan'!AB34+'HDN Plan'!AB34+'KIN Plan'!AB34+'LE Plan'!AB34+'MER Plan'!AB34+'NDN Plan'!AB34+'SALT Plan'!AB34+'SDN Plan'!AB34+'SST Plan'!AB34+'WH Plan'!AB34+'FH Plan'!AB34</f>
        <v/>
      </c>
      <c r="AC34" s="26">
        <f>'ABA Plan'!AC34+'BK Plan'!AC34+'BW Plan'!AC34+'CED Plan'!AC34+'HAB Plan'!AC34+'HB Plan'!AC34+'OD Plan'!AC34+'HDN Plan'!AC34+'KIN Plan'!AC34+'LE Plan'!AC34+'MER Plan'!AC34+'NDN Plan'!AC34+'SALT Plan'!AC34+'SDN Plan'!AC34+'SST Plan'!AC34+'WH Plan'!AC34+'FH Plan'!AC34</f>
        <v/>
      </c>
      <c r="AD34" s="26">
        <f>'ABA Plan'!AD34+'BK Plan'!AD34+'BW Plan'!AD34+'CED Plan'!AD34+'HAB Plan'!AD34+'HB Plan'!AD34+'OD Plan'!AD34+'HDN Plan'!AD34+'KIN Plan'!AD34+'LE Plan'!AD34+'MER Plan'!AD34+'NDN Plan'!AD34+'SALT Plan'!AD34+'SDN Plan'!AD34+'SST Plan'!AD34+'WH Plan'!AD34+'FH Plan'!AD34</f>
        <v/>
      </c>
      <c r="AE34" s="26">
        <f>'ABA Plan'!AE34+'BK Plan'!AE34+'BW Plan'!AE34+'CED Plan'!AE34+'HAB Plan'!AE34+'HB Plan'!AE34+'OD Plan'!AE34+'HDN Plan'!AE34+'KIN Plan'!AE34+'LE Plan'!AE34+'MER Plan'!AE34+'NDN Plan'!AE34+'SALT Plan'!AE34+'SDN Plan'!AE34+'SST Plan'!AE34+'WH Plan'!AE34+'FH Plan'!AE34</f>
        <v/>
      </c>
      <c r="AF34" s="26">
        <f>'ABA Plan'!AF34+'BK Plan'!AF34+'BW Plan'!AF34+'CED Plan'!AF34+'HAB Plan'!AF34+'HB Plan'!AF34+'OD Plan'!AF34+'HDN Plan'!AF34+'KIN Plan'!AF34+'LE Plan'!AF34+'MER Plan'!AF34+'NDN Plan'!AF34+'SALT Plan'!AF34+'SDN Plan'!AF34+'SST Plan'!AF34+'WH Plan'!AF34+'FH Plan'!AF34</f>
        <v/>
      </c>
      <c r="AG34" s="26">
        <f>'ABA Plan'!AG34+'BK Plan'!AG34+'BW Plan'!AG34+'CED Plan'!AG34+'HAB Plan'!AG34+'HB Plan'!AG34+'OD Plan'!AG34+'HDN Plan'!AG34+'KIN Plan'!AG34+'LE Plan'!AG34+'MER Plan'!AG34+'NDN Plan'!AG34+'SALT Plan'!AG34+'SDN Plan'!AG34+'SST Plan'!AG34+'WH Plan'!AG34+'FH Plan'!AG34</f>
        <v/>
      </c>
      <c r="AH34" s="26">
        <f>'ABA Plan'!AH34+'BK Plan'!AH34+'BW Plan'!AH34+'CED Plan'!AH34+'HAB Plan'!AH34+'HB Plan'!AH34+'OD Plan'!AH34+'HDN Plan'!AH34+'KIN Plan'!AH34+'LE Plan'!AH34+'MER Plan'!AH34+'NDN Plan'!AH34+'SALT Plan'!AH34+'SDN Plan'!AH34+'SST Plan'!AH34+'WH Plan'!AH34+'FH Plan'!AH34</f>
        <v/>
      </c>
      <c r="AI34" s="26">
        <f>'ABA Plan'!AI34+'BK Plan'!AI34+'BW Plan'!AI34+'CED Plan'!AI34+'HAB Plan'!AI34+'HB Plan'!AI34+'OD Plan'!AI34+'HDN Plan'!AI34+'KIN Plan'!AI34+'LE Plan'!AI34+'MER Plan'!AI34+'NDN Plan'!AI34+'SALT Plan'!AI34+'SDN Plan'!AI34+'SST Plan'!AI34+'WH Plan'!AI34+'FH Plan'!AI34</f>
        <v/>
      </c>
      <c r="AJ34" s="26">
        <f>'ABA Plan'!AJ34+'BK Plan'!AJ34+'BW Plan'!AJ34+'CED Plan'!AJ34+'HAB Plan'!AJ34+'HB Plan'!AJ34+'OD Plan'!AJ34+'HDN Plan'!AJ34+'KIN Plan'!AJ34+'LE Plan'!AJ34+'MER Plan'!AJ34+'NDN Plan'!AJ34+'SALT Plan'!AJ34+'SDN Plan'!AJ34+'SST Plan'!AJ34+'WH Plan'!AJ34+'FH Plan'!AJ34</f>
        <v/>
      </c>
      <c r="AK34" s="11">
        <f>IF(N34&lt;&gt;0,(AB34-N34)/ABS(N34),0)</f>
        <v/>
      </c>
      <c r="AL34" s="11">
        <f>IF(AB34&lt;&gt;0,(AJ34-AB34)/ABS(AB34),0)</f>
        <v/>
      </c>
    </row>
    <row r="35" ht="13" customHeight="1">
      <c r="A35" s="25" t="inlineStr">
        <is>
          <t xml:space="preserve">    Utilities</t>
        </is>
      </c>
      <c r="B35" s="26">
        <f>'ABA Plan'!B35+'BK Plan'!B35+'BW Plan'!B35+'CED Plan'!B35+'HAB Plan'!B35+'HB Plan'!B35+'OD Plan'!B35+'HDN Plan'!B35+'KIN Plan'!B35+'LE Plan'!B35+'MER Plan'!B35+'NDN Plan'!B35+'SALT Plan'!B35+'SDN Plan'!B35+'SST Plan'!B35+'WH Plan'!B35+'FH Plan'!B35</f>
        <v/>
      </c>
      <c r="C35" s="26">
        <f>'ABA Plan'!C35+'BK Plan'!C35+'BW Plan'!C35+'CED Plan'!C35+'HAB Plan'!C35+'HB Plan'!C35+'OD Plan'!C35+'HDN Plan'!C35+'KIN Plan'!C35+'LE Plan'!C35+'MER Plan'!C35+'NDN Plan'!C35+'SALT Plan'!C35+'SDN Plan'!C35+'SST Plan'!C35+'WH Plan'!C35+'FH Plan'!C35</f>
        <v/>
      </c>
      <c r="D35" s="26">
        <f>'ABA Plan'!D35+'BK Plan'!D35+'BW Plan'!D35+'CED Plan'!D35+'HAB Plan'!D35+'HB Plan'!D35+'OD Plan'!D35+'HDN Plan'!D35+'KIN Plan'!D35+'LE Plan'!D35+'MER Plan'!D35+'NDN Plan'!D35+'SALT Plan'!D35+'SDN Plan'!D35+'SST Plan'!D35+'WH Plan'!D35+'FH Plan'!D35</f>
        <v/>
      </c>
      <c r="E35" s="26">
        <f>'ABA Plan'!E35+'BK Plan'!E35+'BW Plan'!E35+'CED Plan'!E35+'HAB Plan'!E35+'HB Plan'!E35+'OD Plan'!E35+'HDN Plan'!E35+'KIN Plan'!E35+'LE Plan'!E35+'MER Plan'!E35+'NDN Plan'!E35+'SALT Plan'!E35+'SDN Plan'!E35+'SST Plan'!E35+'WH Plan'!E35+'FH Plan'!E35</f>
        <v/>
      </c>
      <c r="F35" s="26">
        <f>'ABA Plan'!F35+'BK Plan'!F35+'BW Plan'!F35+'CED Plan'!F35+'HAB Plan'!F35+'HB Plan'!F35+'OD Plan'!F35+'HDN Plan'!F35+'KIN Plan'!F35+'LE Plan'!F35+'MER Plan'!F35+'NDN Plan'!F35+'SALT Plan'!F35+'SDN Plan'!F35+'SST Plan'!F35+'WH Plan'!F35+'FH Plan'!F35</f>
        <v/>
      </c>
      <c r="G35" s="26">
        <f>'ABA Plan'!G35+'BK Plan'!G35+'BW Plan'!G35+'CED Plan'!G35+'HAB Plan'!G35+'HB Plan'!G35+'OD Plan'!G35+'HDN Plan'!G35+'KIN Plan'!G35+'LE Plan'!G35+'MER Plan'!G35+'NDN Plan'!G35+'SALT Plan'!G35+'SDN Plan'!G35+'SST Plan'!G35+'WH Plan'!G35+'FH Plan'!G35</f>
        <v/>
      </c>
      <c r="H35" s="26">
        <f>'ABA Plan'!H35+'BK Plan'!H35+'BW Plan'!H35+'CED Plan'!H35+'HAB Plan'!H35+'HB Plan'!H35+'OD Plan'!H35+'HDN Plan'!H35+'KIN Plan'!H35+'LE Plan'!H35+'MER Plan'!H35+'NDN Plan'!H35+'SALT Plan'!H35+'SDN Plan'!H35+'SST Plan'!H35+'WH Plan'!H35+'FH Plan'!H35</f>
        <v/>
      </c>
      <c r="I35" s="26">
        <f>'ABA Plan'!I35+'BK Plan'!I35+'BW Plan'!I35+'CED Plan'!I35+'HAB Plan'!I35+'HB Plan'!I35+'OD Plan'!I35+'HDN Plan'!I35+'KIN Plan'!I35+'LE Plan'!I35+'MER Plan'!I35+'NDN Plan'!I35+'SALT Plan'!I35+'SDN Plan'!I35+'SST Plan'!I35+'WH Plan'!I35+'FH Plan'!I35</f>
        <v/>
      </c>
      <c r="J35" s="26">
        <f>'ABA Plan'!J35+'BK Plan'!J35+'BW Plan'!J35+'CED Plan'!J35+'HAB Plan'!J35+'HB Plan'!J35+'OD Plan'!J35+'HDN Plan'!J35+'KIN Plan'!J35+'LE Plan'!J35+'MER Plan'!J35+'NDN Plan'!J35+'SALT Plan'!J35+'SDN Plan'!J35+'SST Plan'!J35+'WH Plan'!J35+'FH Plan'!J35</f>
        <v/>
      </c>
      <c r="K35" s="26">
        <f>'ABA Plan'!K35+'BK Plan'!K35+'BW Plan'!K35+'CED Plan'!K35+'HAB Plan'!K35+'HB Plan'!K35+'OD Plan'!K35+'HDN Plan'!K35+'KIN Plan'!K35+'LE Plan'!K35+'MER Plan'!K35+'NDN Plan'!K35+'SALT Plan'!K35+'SDN Plan'!K35+'SST Plan'!K35+'WH Plan'!K35+'FH Plan'!K35</f>
        <v/>
      </c>
      <c r="L35" s="26">
        <f>'ABA Plan'!L35+'BK Plan'!L35+'BW Plan'!L35+'CED Plan'!L35+'HAB Plan'!L35+'HB Plan'!L35+'OD Plan'!L35+'HDN Plan'!L35+'KIN Plan'!L35+'LE Plan'!L35+'MER Plan'!L35+'NDN Plan'!L35+'SALT Plan'!L35+'SDN Plan'!L35+'SST Plan'!L35+'WH Plan'!L35+'FH Plan'!L35</f>
        <v/>
      </c>
      <c r="M35" s="26">
        <f>'ABA Plan'!M35+'BK Plan'!M35+'BW Plan'!M35+'CED Plan'!M35+'HAB Plan'!M35+'HB Plan'!M35+'OD Plan'!M35+'HDN Plan'!M35+'KIN Plan'!M35+'LE Plan'!M35+'MER Plan'!M35+'NDN Plan'!M35+'SALT Plan'!M35+'SDN Plan'!M35+'SST Plan'!M35+'WH Plan'!M35+'FH Plan'!M35</f>
        <v/>
      </c>
      <c r="N35" s="26">
        <f>'ABA Plan'!N35+'BK Plan'!N35+'BW Plan'!N35+'CED Plan'!N35+'HAB Plan'!N35+'HB Plan'!N35+'OD Plan'!N35+'HDN Plan'!N35+'KIN Plan'!N35+'LE Plan'!N35+'MER Plan'!N35+'NDN Plan'!N35+'SALT Plan'!N35+'SDN Plan'!N35+'SST Plan'!N35+'WH Plan'!N35+'FH Plan'!N35</f>
        <v/>
      </c>
      <c r="O35" s="26">
        <f>'ABA Plan'!O35+'BK Plan'!O35+'BW Plan'!O35+'CED Plan'!O35+'HAB Plan'!O35+'HB Plan'!O35+'OD Plan'!O35+'HDN Plan'!O35+'KIN Plan'!O35+'LE Plan'!O35+'MER Plan'!O35+'NDN Plan'!O35+'SALT Plan'!O35+'SDN Plan'!O35+'SST Plan'!O35+'WH Plan'!O35+'FH Plan'!O35</f>
        <v/>
      </c>
      <c r="P35" s="26">
        <f>'ABA Plan'!P35+'BK Plan'!P35+'BW Plan'!P35+'CED Plan'!P35+'HAB Plan'!P35+'HB Plan'!P35+'OD Plan'!P35+'HDN Plan'!P35+'KIN Plan'!P35+'LE Plan'!P35+'MER Plan'!P35+'NDN Plan'!P35+'SALT Plan'!P35+'SDN Plan'!P35+'SST Plan'!P35+'WH Plan'!P35+'FH Plan'!P35</f>
        <v/>
      </c>
      <c r="Q35" s="26">
        <f>'ABA Plan'!Q35+'BK Plan'!Q35+'BW Plan'!Q35+'CED Plan'!Q35+'HAB Plan'!Q35+'HB Plan'!Q35+'OD Plan'!Q35+'HDN Plan'!Q35+'KIN Plan'!Q35+'LE Plan'!Q35+'MER Plan'!Q35+'NDN Plan'!Q35+'SALT Plan'!Q35+'SDN Plan'!Q35+'SST Plan'!Q35+'WH Plan'!Q35+'FH Plan'!Q35</f>
        <v/>
      </c>
      <c r="R35" s="26">
        <f>'ABA Plan'!R35+'BK Plan'!R35+'BW Plan'!R35+'CED Plan'!R35+'HAB Plan'!R35+'HB Plan'!R35+'OD Plan'!R35+'HDN Plan'!R35+'KIN Plan'!R35+'LE Plan'!R35+'MER Plan'!R35+'NDN Plan'!R35+'SALT Plan'!R35+'SDN Plan'!R35+'SST Plan'!R35+'WH Plan'!R35+'FH Plan'!R35</f>
        <v/>
      </c>
      <c r="S35" s="26">
        <f>'ABA Plan'!S35+'BK Plan'!S35+'BW Plan'!S35+'CED Plan'!S35+'HAB Plan'!S35+'HB Plan'!S35+'OD Plan'!S35+'HDN Plan'!S35+'KIN Plan'!S35+'LE Plan'!S35+'MER Plan'!S35+'NDN Plan'!S35+'SALT Plan'!S35+'SDN Plan'!S35+'SST Plan'!S35+'WH Plan'!S35+'FH Plan'!S35</f>
        <v/>
      </c>
      <c r="T35" s="26">
        <f>'ABA Plan'!T35+'BK Plan'!T35+'BW Plan'!T35+'CED Plan'!T35+'HAB Plan'!T35+'HB Plan'!T35+'OD Plan'!T35+'HDN Plan'!T35+'KIN Plan'!T35+'LE Plan'!T35+'MER Plan'!T35+'NDN Plan'!T35+'SALT Plan'!T35+'SDN Plan'!T35+'SST Plan'!T35+'WH Plan'!T35+'FH Plan'!T35</f>
        <v/>
      </c>
      <c r="U35" s="26">
        <f>'ABA Plan'!U35+'BK Plan'!U35+'BW Plan'!U35+'CED Plan'!U35+'HAB Plan'!U35+'HB Plan'!U35+'OD Plan'!U35+'HDN Plan'!U35+'KIN Plan'!U35+'LE Plan'!U35+'MER Plan'!U35+'NDN Plan'!U35+'SALT Plan'!U35+'SDN Plan'!U35+'SST Plan'!U35+'WH Plan'!U35+'FH Plan'!U35</f>
        <v/>
      </c>
      <c r="V35" s="26">
        <f>'ABA Plan'!V35+'BK Plan'!V35+'BW Plan'!V35+'CED Plan'!V35+'HAB Plan'!V35+'HB Plan'!V35+'OD Plan'!V35+'HDN Plan'!V35+'KIN Plan'!V35+'LE Plan'!V35+'MER Plan'!V35+'NDN Plan'!V35+'SALT Plan'!V35+'SDN Plan'!V35+'SST Plan'!V35+'WH Plan'!V35+'FH Plan'!V35</f>
        <v/>
      </c>
      <c r="W35" s="26">
        <f>'ABA Plan'!W35+'BK Plan'!W35+'BW Plan'!W35+'CED Plan'!W35+'HAB Plan'!W35+'HB Plan'!W35+'OD Plan'!W35+'HDN Plan'!W35+'KIN Plan'!W35+'LE Plan'!W35+'MER Plan'!W35+'NDN Plan'!W35+'SALT Plan'!W35+'SDN Plan'!W35+'SST Plan'!W35+'WH Plan'!W35+'FH Plan'!W35</f>
        <v/>
      </c>
      <c r="X35" s="26">
        <f>'ABA Plan'!X35+'BK Plan'!X35+'BW Plan'!X35+'CED Plan'!X35+'HAB Plan'!X35+'HB Plan'!X35+'OD Plan'!X35+'HDN Plan'!X35+'KIN Plan'!X35+'LE Plan'!X35+'MER Plan'!X35+'NDN Plan'!X35+'SALT Plan'!X35+'SDN Plan'!X35+'SST Plan'!X35+'WH Plan'!X35+'FH Plan'!X35</f>
        <v/>
      </c>
      <c r="Y35" s="26">
        <f>'ABA Plan'!Y35+'BK Plan'!Y35+'BW Plan'!Y35+'CED Plan'!Y35+'HAB Plan'!Y35+'HB Plan'!Y35+'OD Plan'!Y35+'HDN Plan'!Y35+'KIN Plan'!Y35+'LE Plan'!Y35+'MER Plan'!Y35+'NDN Plan'!Y35+'SALT Plan'!Y35+'SDN Plan'!Y35+'SST Plan'!Y35+'WH Plan'!Y35+'FH Plan'!Y35</f>
        <v/>
      </c>
      <c r="Z35" s="26">
        <f>'ABA Plan'!Z35+'BK Plan'!Z35+'BW Plan'!Z35+'CED Plan'!Z35+'HAB Plan'!Z35+'HB Plan'!Z35+'OD Plan'!Z35+'HDN Plan'!Z35+'KIN Plan'!Z35+'LE Plan'!Z35+'MER Plan'!Z35+'NDN Plan'!Z35+'SALT Plan'!Z35+'SDN Plan'!Z35+'SST Plan'!Z35+'WH Plan'!Z35+'FH Plan'!Z35</f>
        <v/>
      </c>
      <c r="AA35" s="26">
        <f>'ABA Plan'!AA35+'BK Plan'!AA35+'BW Plan'!AA35+'CED Plan'!AA35+'HAB Plan'!AA35+'HB Plan'!AA35+'OD Plan'!AA35+'HDN Plan'!AA35+'KIN Plan'!AA35+'LE Plan'!AA35+'MER Plan'!AA35+'NDN Plan'!AA35+'SALT Plan'!AA35+'SDN Plan'!AA35+'SST Plan'!AA35+'WH Plan'!AA35+'FH Plan'!AA35</f>
        <v/>
      </c>
      <c r="AB35" s="26">
        <f>'ABA Plan'!AB35+'BK Plan'!AB35+'BW Plan'!AB35+'CED Plan'!AB35+'HAB Plan'!AB35+'HB Plan'!AB35+'OD Plan'!AB35+'HDN Plan'!AB35+'KIN Plan'!AB35+'LE Plan'!AB35+'MER Plan'!AB35+'NDN Plan'!AB35+'SALT Plan'!AB35+'SDN Plan'!AB35+'SST Plan'!AB35+'WH Plan'!AB35+'FH Plan'!AB35</f>
        <v/>
      </c>
      <c r="AC35" s="26">
        <f>'ABA Plan'!AC35+'BK Plan'!AC35+'BW Plan'!AC35+'CED Plan'!AC35+'HAB Plan'!AC35+'HB Plan'!AC35+'OD Plan'!AC35+'HDN Plan'!AC35+'KIN Plan'!AC35+'LE Plan'!AC35+'MER Plan'!AC35+'NDN Plan'!AC35+'SALT Plan'!AC35+'SDN Plan'!AC35+'SST Plan'!AC35+'WH Plan'!AC35+'FH Plan'!AC35</f>
        <v/>
      </c>
      <c r="AD35" s="26">
        <f>'ABA Plan'!AD35+'BK Plan'!AD35+'BW Plan'!AD35+'CED Plan'!AD35+'HAB Plan'!AD35+'HB Plan'!AD35+'OD Plan'!AD35+'HDN Plan'!AD35+'KIN Plan'!AD35+'LE Plan'!AD35+'MER Plan'!AD35+'NDN Plan'!AD35+'SALT Plan'!AD35+'SDN Plan'!AD35+'SST Plan'!AD35+'WH Plan'!AD35+'FH Plan'!AD35</f>
        <v/>
      </c>
      <c r="AE35" s="26">
        <f>'ABA Plan'!AE35+'BK Plan'!AE35+'BW Plan'!AE35+'CED Plan'!AE35+'HAB Plan'!AE35+'HB Plan'!AE35+'OD Plan'!AE35+'HDN Plan'!AE35+'KIN Plan'!AE35+'LE Plan'!AE35+'MER Plan'!AE35+'NDN Plan'!AE35+'SALT Plan'!AE35+'SDN Plan'!AE35+'SST Plan'!AE35+'WH Plan'!AE35+'FH Plan'!AE35</f>
        <v/>
      </c>
      <c r="AF35" s="26">
        <f>'ABA Plan'!AF35+'BK Plan'!AF35+'BW Plan'!AF35+'CED Plan'!AF35+'HAB Plan'!AF35+'HB Plan'!AF35+'OD Plan'!AF35+'HDN Plan'!AF35+'KIN Plan'!AF35+'LE Plan'!AF35+'MER Plan'!AF35+'NDN Plan'!AF35+'SALT Plan'!AF35+'SDN Plan'!AF35+'SST Plan'!AF35+'WH Plan'!AF35+'FH Plan'!AF35</f>
        <v/>
      </c>
      <c r="AG35" s="26">
        <f>'ABA Plan'!AG35+'BK Plan'!AG35+'BW Plan'!AG35+'CED Plan'!AG35+'HAB Plan'!AG35+'HB Plan'!AG35+'OD Plan'!AG35+'HDN Plan'!AG35+'KIN Plan'!AG35+'LE Plan'!AG35+'MER Plan'!AG35+'NDN Plan'!AG35+'SALT Plan'!AG35+'SDN Plan'!AG35+'SST Plan'!AG35+'WH Plan'!AG35+'FH Plan'!AG35</f>
        <v/>
      </c>
      <c r="AH35" s="26">
        <f>'ABA Plan'!AH35+'BK Plan'!AH35+'BW Plan'!AH35+'CED Plan'!AH35+'HAB Plan'!AH35+'HB Plan'!AH35+'OD Plan'!AH35+'HDN Plan'!AH35+'KIN Plan'!AH35+'LE Plan'!AH35+'MER Plan'!AH35+'NDN Plan'!AH35+'SALT Plan'!AH35+'SDN Plan'!AH35+'SST Plan'!AH35+'WH Plan'!AH35+'FH Plan'!AH35</f>
        <v/>
      </c>
      <c r="AI35" s="26">
        <f>'ABA Plan'!AI35+'BK Plan'!AI35+'BW Plan'!AI35+'CED Plan'!AI35+'HAB Plan'!AI35+'HB Plan'!AI35+'OD Plan'!AI35+'HDN Plan'!AI35+'KIN Plan'!AI35+'LE Plan'!AI35+'MER Plan'!AI35+'NDN Plan'!AI35+'SALT Plan'!AI35+'SDN Plan'!AI35+'SST Plan'!AI35+'WH Plan'!AI35+'FH Plan'!AI35</f>
        <v/>
      </c>
      <c r="AJ35" s="26">
        <f>'ABA Plan'!AJ35+'BK Plan'!AJ35+'BW Plan'!AJ35+'CED Plan'!AJ35+'HAB Plan'!AJ35+'HB Plan'!AJ35+'OD Plan'!AJ35+'HDN Plan'!AJ35+'KIN Plan'!AJ35+'LE Plan'!AJ35+'MER Plan'!AJ35+'NDN Plan'!AJ35+'SALT Plan'!AJ35+'SDN Plan'!AJ35+'SST Plan'!AJ35+'WH Plan'!AJ35+'FH Plan'!AJ35</f>
        <v/>
      </c>
      <c r="AK35" s="11">
        <f>IF(N35&lt;&gt;0,(AB35-N35)/ABS(N35),0)</f>
        <v/>
      </c>
      <c r="AL35" s="11">
        <f>IF(AB35&lt;&gt;0,(AJ35-AB35)/ABS(AB35),0)</f>
        <v/>
      </c>
    </row>
    <row r="36" ht="13" customHeight="1">
      <c r="A36" s="25" t="inlineStr">
        <is>
          <t xml:space="preserve">    Repairs &amp; Maintenance</t>
        </is>
      </c>
      <c r="B36" s="26">
        <f>'ABA Plan'!B36+'BK Plan'!B36+'BW Plan'!B36+'CED Plan'!B36+'HAB Plan'!B36+'HB Plan'!B36+'OD Plan'!B36+'HDN Plan'!B36+'KIN Plan'!B36+'LE Plan'!B36+'MER Plan'!B36+'NDN Plan'!B36+'SALT Plan'!B36+'SDN Plan'!B36+'SST Plan'!B36+'WH Plan'!B36+'FH Plan'!B36</f>
        <v/>
      </c>
      <c r="C36" s="26">
        <f>'ABA Plan'!C36+'BK Plan'!C36+'BW Plan'!C36+'CED Plan'!C36+'HAB Plan'!C36+'HB Plan'!C36+'OD Plan'!C36+'HDN Plan'!C36+'KIN Plan'!C36+'LE Plan'!C36+'MER Plan'!C36+'NDN Plan'!C36+'SALT Plan'!C36+'SDN Plan'!C36+'SST Plan'!C36+'WH Plan'!C36+'FH Plan'!C36</f>
        <v/>
      </c>
      <c r="D36" s="26">
        <f>'ABA Plan'!D36+'BK Plan'!D36+'BW Plan'!D36+'CED Plan'!D36+'HAB Plan'!D36+'HB Plan'!D36+'OD Plan'!D36+'HDN Plan'!D36+'KIN Plan'!D36+'LE Plan'!D36+'MER Plan'!D36+'NDN Plan'!D36+'SALT Plan'!D36+'SDN Plan'!D36+'SST Plan'!D36+'WH Plan'!D36+'FH Plan'!D36</f>
        <v/>
      </c>
      <c r="E36" s="26">
        <f>'ABA Plan'!E36+'BK Plan'!E36+'BW Plan'!E36+'CED Plan'!E36+'HAB Plan'!E36+'HB Plan'!E36+'OD Plan'!E36+'HDN Plan'!E36+'KIN Plan'!E36+'LE Plan'!E36+'MER Plan'!E36+'NDN Plan'!E36+'SALT Plan'!E36+'SDN Plan'!E36+'SST Plan'!E36+'WH Plan'!E36+'FH Plan'!E36</f>
        <v/>
      </c>
      <c r="F36" s="26">
        <f>'ABA Plan'!F36+'BK Plan'!F36+'BW Plan'!F36+'CED Plan'!F36+'HAB Plan'!F36+'HB Plan'!F36+'OD Plan'!F36+'HDN Plan'!F36+'KIN Plan'!F36+'LE Plan'!F36+'MER Plan'!F36+'NDN Plan'!F36+'SALT Plan'!F36+'SDN Plan'!F36+'SST Plan'!F36+'WH Plan'!F36+'FH Plan'!F36</f>
        <v/>
      </c>
      <c r="G36" s="26">
        <f>'ABA Plan'!G36+'BK Plan'!G36+'BW Plan'!G36+'CED Plan'!G36+'HAB Plan'!G36+'HB Plan'!G36+'OD Plan'!G36+'HDN Plan'!G36+'KIN Plan'!G36+'LE Plan'!G36+'MER Plan'!G36+'NDN Plan'!G36+'SALT Plan'!G36+'SDN Plan'!G36+'SST Plan'!G36+'WH Plan'!G36+'FH Plan'!G36</f>
        <v/>
      </c>
      <c r="H36" s="26">
        <f>'ABA Plan'!H36+'BK Plan'!H36+'BW Plan'!H36+'CED Plan'!H36+'HAB Plan'!H36+'HB Plan'!H36+'OD Plan'!H36+'HDN Plan'!H36+'KIN Plan'!H36+'LE Plan'!H36+'MER Plan'!H36+'NDN Plan'!H36+'SALT Plan'!H36+'SDN Plan'!H36+'SST Plan'!H36+'WH Plan'!H36+'FH Plan'!H36</f>
        <v/>
      </c>
      <c r="I36" s="26">
        <f>'ABA Plan'!I36+'BK Plan'!I36+'BW Plan'!I36+'CED Plan'!I36+'HAB Plan'!I36+'HB Plan'!I36+'OD Plan'!I36+'HDN Plan'!I36+'KIN Plan'!I36+'LE Plan'!I36+'MER Plan'!I36+'NDN Plan'!I36+'SALT Plan'!I36+'SDN Plan'!I36+'SST Plan'!I36+'WH Plan'!I36+'FH Plan'!I36</f>
        <v/>
      </c>
      <c r="J36" s="26">
        <f>'ABA Plan'!J36+'BK Plan'!J36+'BW Plan'!J36+'CED Plan'!J36+'HAB Plan'!J36+'HB Plan'!J36+'OD Plan'!J36+'HDN Plan'!J36+'KIN Plan'!J36+'LE Plan'!J36+'MER Plan'!J36+'NDN Plan'!J36+'SALT Plan'!J36+'SDN Plan'!J36+'SST Plan'!J36+'WH Plan'!J36+'FH Plan'!J36</f>
        <v/>
      </c>
      <c r="K36" s="26">
        <f>'ABA Plan'!K36+'BK Plan'!K36+'BW Plan'!K36+'CED Plan'!K36+'HAB Plan'!K36+'HB Plan'!K36+'OD Plan'!K36+'HDN Plan'!K36+'KIN Plan'!K36+'LE Plan'!K36+'MER Plan'!K36+'NDN Plan'!K36+'SALT Plan'!K36+'SDN Plan'!K36+'SST Plan'!K36+'WH Plan'!K36+'FH Plan'!K36</f>
        <v/>
      </c>
      <c r="L36" s="26">
        <f>'ABA Plan'!L36+'BK Plan'!L36+'BW Plan'!L36+'CED Plan'!L36+'HAB Plan'!L36+'HB Plan'!L36+'OD Plan'!L36+'HDN Plan'!L36+'KIN Plan'!L36+'LE Plan'!L36+'MER Plan'!L36+'NDN Plan'!L36+'SALT Plan'!L36+'SDN Plan'!L36+'SST Plan'!L36+'WH Plan'!L36+'FH Plan'!L36</f>
        <v/>
      </c>
      <c r="M36" s="26">
        <f>'ABA Plan'!M36+'BK Plan'!M36+'BW Plan'!M36+'CED Plan'!M36+'HAB Plan'!M36+'HB Plan'!M36+'OD Plan'!M36+'HDN Plan'!M36+'KIN Plan'!M36+'LE Plan'!M36+'MER Plan'!M36+'NDN Plan'!M36+'SALT Plan'!M36+'SDN Plan'!M36+'SST Plan'!M36+'WH Plan'!M36+'FH Plan'!M36</f>
        <v/>
      </c>
      <c r="N36" s="26">
        <f>'ABA Plan'!N36+'BK Plan'!N36+'BW Plan'!N36+'CED Plan'!N36+'HAB Plan'!N36+'HB Plan'!N36+'OD Plan'!N36+'HDN Plan'!N36+'KIN Plan'!N36+'LE Plan'!N36+'MER Plan'!N36+'NDN Plan'!N36+'SALT Plan'!N36+'SDN Plan'!N36+'SST Plan'!N36+'WH Plan'!N36+'FH Plan'!N36</f>
        <v/>
      </c>
      <c r="O36" s="26">
        <f>'ABA Plan'!O36+'BK Plan'!O36+'BW Plan'!O36+'CED Plan'!O36+'HAB Plan'!O36+'HB Plan'!O36+'OD Plan'!O36+'HDN Plan'!O36+'KIN Plan'!O36+'LE Plan'!O36+'MER Plan'!O36+'NDN Plan'!O36+'SALT Plan'!O36+'SDN Plan'!O36+'SST Plan'!O36+'WH Plan'!O36+'FH Plan'!O36</f>
        <v/>
      </c>
      <c r="P36" s="26">
        <f>'ABA Plan'!P36+'BK Plan'!P36+'BW Plan'!P36+'CED Plan'!P36+'HAB Plan'!P36+'HB Plan'!P36+'OD Plan'!P36+'HDN Plan'!P36+'KIN Plan'!P36+'LE Plan'!P36+'MER Plan'!P36+'NDN Plan'!P36+'SALT Plan'!P36+'SDN Plan'!P36+'SST Plan'!P36+'WH Plan'!P36+'FH Plan'!P36</f>
        <v/>
      </c>
      <c r="Q36" s="26">
        <f>'ABA Plan'!Q36+'BK Plan'!Q36+'BW Plan'!Q36+'CED Plan'!Q36+'HAB Plan'!Q36+'HB Plan'!Q36+'OD Plan'!Q36+'HDN Plan'!Q36+'KIN Plan'!Q36+'LE Plan'!Q36+'MER Plan'!Q36+'NDN Plan'!Q36+'SALT Plan'!Q36+'SDN Plan'!Q36+'SST Plan'!Q36+'WH Plan'!Q36+'FH Plan'!Q36</f>
        <v/>
      </c>
      <c r="R36" s="26">
        <f>'ABA Plan'!R36+'BK Plan'!R36+'BW Plan'!R36+'CED Plan'!R36+'HAB Plan'!R36+'HB Plan'!R36+'OD Plan'!R36+'HDN Plan'!R36+'KIN Plan'!R36+'LE Plan'!R36+'MER Plan'!R36+'NDN Plan'!R36+'SALT Plan'!R36+'SDN Plan'!R36+'SST Plan'!R36+'WH Plan'!R36+'FH Plan'!R36</f>
        <v/>
      </c>
      <c r="S36" s="26">
        <f>'ABA Plan'!S36+'BK Plan'!S36+'BW Plan'!S36+'CED Plan'!S36+'HAB Plan'!S36+'HB Plan'!S36+'OD Plan'!S36+'HDN Plan'!S36+'KIN Plan'!S36+'LE Plan'!S36+'MER Plan'!S36+'NDN Plan'!S36+'SALT Plan'!S36+'SDN Plan'!S36+'SST Plan'!S36+'WH Plan'!S36+'FH Plan'!S36</f>
        <v/>
      </c>
      <c r="T36" s="26">
        <f>'ABA Plan'!T36+'BK Plan'!T36+'BW Plan'!T36+'CED Plan'!T36+'HAB Plan'!T36+'HB Plan'!T36+'OD Plan'!T36+'HDN Plan'!T36+'KIN Plan'!T36+'LE Plan'!T36+'MER Plan'!T36+'NDN Plan'!T36+'SALT Plan'!T36+'SDN Plan'!T36+'SST Plan'!T36+'WH Plan'!T36+'FH Plan'!T36</f>
        <v/>
      </c>
      <c r="U36" s="26">
        <f>'ABA Plan'!U36+'BK Plan'!U36+'BW Plan'!U36+'CED Plan'!U36+'HAB Plan'!U36+'HB Plan'!U36+'OD Plan'!U36+'HDN Plan'!U36+'KIN Plan'!U36+'LE Plan'!U36+'MER Plan'!U36+'NDN Plan'!U36+'SALT Plan'!U36+'SDN Plan'!U36+'SST Plan'!U36+'WH Plan'!U36+'FH Plan'!U36</f>
        <v/>
      </c>
      <c r="V36" s="26">
        <f>'ABA Plan'!V36+'BK Plan'!V36+'BW Plan'!V36+'CED Plan'!V36+'HAB Plan'!V36+'HB Plan'!V36+'OD Plan'!V36+'HDN Plan'!V36+'KIN Plan'!V36+'LE Plan'!V36+'MER Plan'!V36+'NDN Plan'!V36+'SALT Plan'!V36+'SDN Plan'!V36+'SST Plan'!V36+'WH Plan'!V36+'FH Plan'!V36</f>
        <v/>
      </c>
      <c r="W36" s="26">
        <f>'ABA Plan'!W36+'BK Plan'!W36+'BW Plan'!W36+'CED Plan'!W36+'HAB Plan'!W36+'HB Plan'!W36+'OD Plan'!W36+'HDN Plan'!W36+'KIN Plan'!W36+'LE Plan'!W36+'MER Plan'!W36+'NDN Plan'!W36+'SALT Plan'!W36+'SDN Plan'!W36+'SST Plan'!W36+'WH Plan'!W36+'FH Plan'!W36</f>
        <v/>
      </c>
      <c r="X36" s="26">
        <f>'ABA Plan'!X36+'BK Plan'!X36+'BW Plan'!X36+'CED Plan'!X36+'HAB Plan'!X36+'HB Plan'!X36+'OD Plan'!X36+'HDN Plan'!X36+'KIN Plan'!X36+'LE Plan'!X36+'MER Plan'!X36+'NDN Plan'!X36+'SALT Plan'!X36+'SDN Plan'!X36+'SST Plan'!X36+'WH Plan'!X36+'FH Plan'!X36</f>
        <v/>
      </c>
      <c r="Y36" s="26">
        <f>'ABA Plan'!Y36+'BK Plan'!Y36+'BW Plan'!Y36+'CED Plan'!Y36+'HAB Plan'!Y36+'HB Plan'!Y36+'OD Plan'!Y36+'HDN Plan'!Y36+'KIN Plan'!Y36+'LE Plan'!Y36+'MER Plan'!Y36+'NDN Plan'!Y36+'SALT Plan'!Y36+'SDN Plan'!Y36+'SST Plan'!Y36+'WH Plan'!Y36+'FH Plan'!Y36</f>
        <v/>
      </c>
      <c r="Z36" s="26">
        <f>'ABA Plan'!Z36+'BK Plan'!Z36+'BW Plan'!Z36+'CED Plan'!Z36+'HAB Plan'!Z36+'HB Plan'!Z36+'OD Plan'!Z36+'HDN Plan'!Z36+'KIN Plan'!Z36+'LE Plan'!Z36+'MER Plan'!Z36+'NDN Plan'!Z36+'SALT Plan'!Z36+'SDN Plan'!Z36+'SST Plan'!Z36+'WH Plan'!Z36+'FH Plan'!Z36</f>
        <v/>
      </c>
      <c r="AA36" s="26">
        <f>'ABA Plan'!AA36+'BK Plan'!AA36+'BW Plan'!AA36+'CED Plan'!AA36+'HAB Plan'!AA36+'HB Plan'!AA36+'OD Plan'!AA36+'HDN Plan'!AA36+'KIN Plan'!AA36+'LE Plan'!AA36+'MER Plan'!AA36+'NDN Plan'!AA36+'SALT Plan'!AA36+'SDN Plan'!AA36+'SST Plan'!AA36+'WH Plan'!AA36+'FH Plan'!AA36</f>
        <v/>
      </c>
      <c r="AB36" s="26">
        <f>'ABA Plan'!AB36+'BK Plan'!AB36+'BW Plan'!AB36+'CED Plan'!AB36+'HAB Plan'!AB36+'HB Plan'!AB36+'OD Plan'!AB36+'HDN Plan'!AB36+'KIN Plan'!AB36+'LE Plan'!AB36+'MER Plan'!AB36+'NDN Plan'!AB36+'SALT Plan'!AB36+'SDN Plan'!AB36+'SST Plan'!AB36+'WH Plan'!AB36+'FH Plan'!AB36</f>
        <v/>
      </c>
      <c r="AC36" s="26">
        <f>'ABA Plan'!AC36+'BK Plan'!AC36+'BW Plan'!AC36+'CED Plan'!AC36+'HAB Plan'!AC36+'HB Plan'!AC36+'OD Plan'!AC36+'HDN Plan'!AC36+'KIN Plan'!AC36+'LE Plan'!AC36+'MER Plan'!AC36+'NDN Plan'!AC36+'SALT Plan'!AC36+'SDN Plan'!AC36+'SST Plan'!AC36+'WH Plan'!AC36+'FH Plan'!AC36</f>
        <v/>
      </c>
      <c r="AD36" s="26">
        <f>'ABA Plan'!AD36+'BK Plan'!AD36+'BW Plan'!AD36+'CED Plan'!AD36+'HAB Plan'!AD36+'HB Plan'!AD36+'OD Plan'!AD36+'HDN Plan'!AD36+'KIN Plan'!AD36+'LE Plan'!AD36+'MER Plan'!AD36+'NDN Plan'!AD36+'SALT Plan'!AD36+'SDN Plan'!AD36+'SST Plan'!AD36+'WH Plan'!AD36+'FH Plan'!AD36</f>
        <v/>
      </c>
      <c r="AE36" s="26">
        <f>'ABA Plan'!AE36+'BK Plan'!AE36+'BW Plan'!AE36+'CED Plan'!AE36+'HAB Plan'!AE36+'HB Plan'!AE36+'OD Plan'!AE36+'HDN Plan'!AE36+'KIN Plan'!AE36+'LE Plan'!AE36+'MER Plan'!AE36+'NDN Plan'!AE36+'SALT Plan'!AE36+'SDN Plan'!AE36+'SST Plan'!AE36+'WH Plan'!AE36+'FH Plan'!AE36</f>
        <v/>
      </c>
      <c r="AF36" s="26">
        <f>'ABA Plan'!AF36+'BK Plan'!AF36+'BW Plan'!AF36+'CED Plan'!AF36+'HAB Plan'!AF36+'HB Plan'!AF36+'OD Plan'!AF36+'HDN Plan'!AF36+'KIN Plan'!AF36+'LE Plan'!AF36+'MER Plan'!AF36+'NDN Plan'!AF36+'SALT Plan'!AF36+'SDN Plan'!AF36+'SST Plan'!AF36+'WH Plan'!AF36+'FH Plan'!AF36</f>
        <v/>
      </c>
      <c r="AG36" s="26">
        <f>'ABA Plan'!AG36+'BK Plan'!AG36+'BW Plan'!AG36+'CED Plan'!AG36+'HAB Plan'!AG36+'HB Plan'!AG36+'OD Plan'!AG36+'HDN Plan'!AG36+'KIN Plan'!AG36+'LE Plan'!AG36+'MER Plan'!AG36+'NDN Plan'!AG36+'SALT Plan'!AG36+'SDN Plan'!AG36+'SST Plan'!AG36+'WH Plan'!AG36+'FH Plan'!AG36</f>
        <v/>
      </c>
      <c r="AH36" s="26">
        <f>'ABA Plan'!AH36+'BK Plan'!AH36+'BW Plan'!AH36+'CED Plan'!AH36+'HAB Plan'!AH36+'HB Plan'!AH36+'OD Plan'!AH36+'HDN Plan'!AH36+'KIN Plan'!AH36+'LE Plan'!AH36+'MER Plan'!AH36+'NDN Plan'!AH36+'SALT Plan'!AH36+'SDN Plan'!AH36+'SST Plan'!AH36+'WH Plan'!AH36+'FH Plan'!AH36</f>
        <v/>
      </c>
      <c r="AI36" s="26">
        <f>'ABA Plan'!AI36+'BK Plan'!AI36+'BW Plan'!AI36+'CED Plan'!AI36+'HAB Plan'!AI36+'HB Plan'!AI36+'OD Plan'!AI36+'HDN Plan'!AI36+'KIN Plan'!AI36+'LE Plan'!AI36+'MER Plan'!AI36+'NDN Plan'!AI36+'SALT Plan'!AI36+'SDN Plan'!AI36+'SST Plan'!AI36+'WH Plan'!AI36+'FH Plan'!AI36</f>
        <v/>
      </c>
      <c r="AJ36" s="26">
        <f>'ABA Plan'!AJ36+'BK Plan'!AJ36+'BW Plan'!AJ36+'CED Plan'!AJ36+'HAB Plan'!AJ36+'HB Plan'!AJ36+'OD Plan'!AJ36+'HDN Plan'!AJ36+'KIN Plan'!AJ36+'LE Plan'!AJ36+'MER Plan'!AJ36+'NDN Plan'!AJ36+'SALT Plan'!AJ36+'SDN Plan'!AJ36+'SST Plan'!AJ36+'WH Plan'!AJ36+'FH Plan'!AJ36</f>
        <v/>
      </c>
      <c r="AK36" s="11">
        <f>IF(N36&lt;&gt;0,(AB36-N36)/ABS(N36),0)</f>
        <v/>
      </c>
      <c r="AL36" s="11">
        <f>IF(AB36&lt;&gt;0,(AJ36-AB36)/ABS(AB36),0)</f>
        <v/>
      </c>
    </row>
    <row r="37" ht="13" customHeight="1">
      <c r="A37" s="25" t="inlineStr">
        <is>
          <t xml:space="preserve">    Cleaning</t>
        </is>
      </c>
      <c r="B37" s="26">
        <f>'ABA Plan'!B37+'BK Plan'!B37+'BW Plan'!B37+'CED Plan'!B37+'HAB Plan'!B37+'HB Plan'!B37+'OD Plan'!B37+'HDN Plan'!B37+'KIN Plan'!B37+'LE Plan'!B37+'MER Plan'!B37+'NDN Plan'!B37+'SALT Plan'!B37+'SDN Plan'!B37+'SST Plan'!B37+'WH Plan'!B37+'FH Plan'!B37</f>
        <v/>
      </c>
      <c r="C37" s="26">
        <f>'ABA Plan'!C37+'BK Plan'!C37+'BW Plan'!C37+'CED Plan'!C37+'HAB Plan'!C37+'HB Plan'!C37+'OD Plan'!C37+'HDN Plan'!C37+'KIN Plan'!C37+'LE Plan'!C37+'MER Plan'!C37+'NDN Plan'!C37+'SALT Plan'!C37+'SDN Plan'!C37+'SST Plan'!C37+'WH Plan'!C37+'FH Plan'!C37</f>
        <v/>
      </c>
      <c r="D37" s="26">
        <f>'ABA Plan'!D37+'BK Plan'!D37+'BW Plan'!D37+'CED Plan'!D37+'HAB Plan'!D37+'HB Plan'!D37+'OD Plan'!D37+'HDN Plan'!D37+'KIN Plan'!D37+'LE Plan'!D37+'MER Plan'!D37+'NDN Plan'!D37+'SALT Plan'!D37+'SDN Plan'!D37+'SST Plan'!D37+'WH Plan'!D37+'FH Plan'!D37</f>
        <v/>
      </c>
      <c r="E37" s="26">
        <f>'ABA Plan'!E37+'BK Plan'!E37+'BW Plan'!E37+'CED Plan'!E37+'HAB Plan'!E37+'HB Plan'!E37+'OD Plan'!E37+'HDN Plan'!E37+'KIN Plan'!E37+'LE Plan'!E37+'MER Plan'!E37+'NDN Plan'!E37+'SALT Plan'!E37+'SDN Plan'!E37+'SST Plan'!E37+'WH Plan'!E37+'FH Plan'!E37</f>
        <v/>
      </c>
      <c r="F37" s="26">
        <f>'ABA Plan'!F37+'BK Plan'!F37+'BW Plan'!F37+'CED Plan'!F37+'HAB Plan'!F37+'HB Plan'!F37+'OD Plan'!F37+'HDN Plan'!F37+'KIN Plan'!F37+'LE Plan'!F37+'MER Plan'!F37+'NDN Plan'!F37+'SALT Plan'!F37+'SDN Plan'!F37+'SST Plan'!F37+'WH Plan'!F37+'FH Plan'!F37</f>
        <v/>
      </c>
      <c r="G37" s="26">
        <f>'ABA Plan'!G37+'BK Plan'!G37+'BW Plan'!G37+'CED Plan'!G37+'HAB Plan'!G37+'HB Plan'!G37+'OD Plan'!G37+'HDN Plan'!G37+'KIN Plan'!G37+'LE Plan'!G37+'MER Plan'!G37+'NDN Plan'!G37+'SALT Plan'!G37+'SDN Plan'!G37+'SST Plan'!G37+'WH Plan'!G37+'FH Plan'!G37</f>
        <v/>
      </c>
      <c r="H37" s="26">
        <f>'ABA Plan'!H37+'BK Plan'!H37+'BW Plan'!H37+'CED Plan'!H37+'HAB Plan'!H37+'HB Plan'!H37+'OD Plan'!H37+'HDN Plan'!H37+'KIN Plan'!H37+'LE Plan'!H37+'MER Plan'!H37+'NDN Plan'!H37+'SALT Plan'!H37+'SDN Plan'!H37+'SST Plan'!H37+'WH Plan'!H37+'FH Plan'!H37</f>
        <v/>
      </c>
      <c r="I37" s="26">
        <f>'ABA Plan'!I37+'BK Plan'!I37+'BW Plan'!I37+'CED Plan'!I37+'HAB Plan'!I37+'HB Plan'!I37+'OD Plan'!I37+'HDN Plan'!I37+'KIN Plan'!I37+'LE Plan'!I37+'MER Plan'!I37+'NDN Plan'!I37+'SALT Plan'!I37+'SDN Plan'!I37+'SST Plan'!I37+'WH Plan'!I37+'FH Plan'!I37</f>
        <v/>
      </c>
      <c r="J37" s="26">
        <f>'ABA Plan'!J37+'BK Plan'!J37+'BW Plan'!J37+'CED Plan'!J37+'HAB Plan'!J37+'HB Plan'!J37+'OD Plan'!J37+'HDN Plan'!J37+'KIN Plan'!J37+'LE Plan'!J37+'MER Plan'!J37+'NDN Plan'!J37+'SALT Plan'!J37+'SDN Plan'!J37+'SST Plan'!J37+'WH Plan'!J37+'FH Plan'!J37</f>
        <v/>
      </c>
      <c r="K37" s="26">
        <f>'ABA Plan'!K37+'BK Plan'!K37+'BW Plan'!K37+'CED Plan'!K37+'HAB Plan'!K37+'HB Plan'!K37+'OD Plan'!K37+'HDN Plan'!K37+'KIN Plan'!K37+'LE Plan'!K37+'MER Plan'!K37+'NDN Plan'!K37+'SALT Plan'!K37+'SDN Plan'!K37+'SST Plan'!K37+'WH Plan'!K37+'FH Plan'!K37</f>
        <v/>
      </c>
      <c r="L37" s="26">
        <f>'ABA Plan'!L37+'BK Plan'!L37+'BW Plan'!L37+'CED Plan'!L37+'HAB Plan'!L37+'HB Plan'!L37+'OD Plan'!L37+'HDN Plan'!L37+'KIN Plan'!L37+'LE Plan'!L37+'MER Plan'!L37+'NDN Plan'!L37+'SALT Plan'!L37+'SDN Plan'!L37+'SST Plan'!L37+'WH Plan'!L37+'FH Plan'!L37</f>
        <v/>
      </c>
      <c r="M37" s="26">
        <f>'ABA Plan'!M37+'BK Plan'!M37+'BW Plan'!M37+'CED Plan'!M37+'HAB Plan'!M37+'HB Plan'!M37+'OD Plan'!M37+'HDN Plan'!M37+'KIN Plan'!M37+'LE Plan'!M37+'MER Plan'!M37+'NDN Plan'!M37+'SALT Plan'!M37+'SDN Plan'!M37+'SST Plan'!M37+'WH Plan'!M37+'FH Plan'!M37</f>
        <v/>
      </c>
      <c r="N37" s="26">
        <f>'ABA Plan'!N37+'BK Plan'!N37+'BW Plan'!N37+'CED Plan'!N37+'HAB Plan'!N37+'HB Plan'!N37+'OD Plan'!N37+'HDN Plan'!N37+'KIN Plan'!N37+'LE Plan'!N37+'MER Plan'!N37+'NDN Plan'!N37+'SALT Plan'!N37+'SDN Plan'!N37+'SST Plan'!N37+'WH Plan'!N37+'FH Plan'!N37</f>
        <v/>
      </c>
      <c r="O37" s="26">
        <f>'ABA Plan'!O37+'BK Plan'!O37+'BW Plan'!O37+'CED Plan'!O37+'HAB Plan'!O37+'HB Plan'!O37+'OD Plan'!O37+'HDN Plan'!O37+'KIN Plan'!O37+'LE Plan'!O37+'MER Plan'!O37+'NDN Plan'!O37+'SALT Plan'!O37+'SDN Plan'!O37+'SST Plan'!O37+'WH Plan'!O37+'FH Plan'!O37</f>
        <v/>
      </c>
      <c r="P37" s="26">
        <f>'ABA Plan'!P37+'BK Plan'!P37+'BW Plan'!P37+'CED Plan'!P37+'HAB Plan'!P37+'HB Plan'!P37+'OD Plan'!P37+'HDN Plan'!P37+'KIN Plan'!P37+'LE Plan'!P37+'MER Plan'!P37+'NDN Plan'!P37+'SALT Plan'!P37+'SDN Plan'!P37+'SST Plan'!P37+'WH Plan'!P37+'FH Plan'!P37</f>
        <v/>
      </c>
      <c r="Q37" s="26">
        <f>'ABA Plan'!Q37+'BK Plan'!Q37+'BW Plan'!Q37+'CED Plan'!Q37+'HAB Plan'!Q37+'HB Plan'!Q37+'OD Plan'!Q37+'HDN Plan'!Q37+'KIN Plan'!Q37+'LE Plan'!Q37+'MER Plan'!Q37+'NDN Plan'!Q37+'SALT Plan'!Q37+'SDN Plan'!Q37+'SST Plan'!Q37+'WH Plan'!Q37+'FH Plan'!Q37</f>
        <v/>
      </c>
      <c r="R37" s="26">
        <f>'ABA Plan'!R37+'BK Plan'!R37+'BW Plan'!R37+'CED Plan'!R37+'HAB Plan'!R37+'HB Plan'!R37+'OD Plan'!R37+'HDN Plan'!R37+'KIN Plan'!R37+'LE Plan'!R37+'MER Plan'!R37+'NDN Plan'!R37+'SALT Plan'!R37+'SDN Plan'!R37+'SST Plan'!R37+'WH Plan'!R37+'FH Plan'!R37</f>
        <v/>
      </c>
      <c r="S37" s="26">
        <f>'ABA Plan'!S37+'BK Plan'!S37+'BW Plan'!S37+'CED Plan'!S37+'HAB Plan'!S37+'HB Plan'!S37+'OD Plan'!S37+'HDN Plan'!S37+'KIN Plan'!S37+'LE Plan'!S37+'MER Plan'!S37+'NDN Plan'!S37+'SALT Plan'!S37+'SDN Plan'!S37+'SST Plan'!S37+'WH Plan'!S37+'FH Plan'!S37</f>
        <v/>
      </c>
      <c r="T37" s="26">
        <f>'ABA Plan'!T37+'BK Plan'!T37+'BW Plan'!T37+'CED Plan'!T37+'HAB Plan'!T37+'HB Plan'!T37+'OD Plan'!T37+'HDN Plan'!T37+'KIN Plan'!T37+'LE Plan'!T37+'MER Plan'!T37+'NDN Plan'!T37+'SALT Plan'!T37+'SDN Plan'!T37+'SST Plan'!T37+'WH Plan'!T37+'FH Plan'!T37</f>
        <v/>
      </c>
      <c r="U37" s="26">
        <f>'ABA Plan'!U37+'BK Plan'!U37+'BW Plan'!U37+'CED Plan'!U37+'HAB Plan'!U37+'HB Plan'!U37+'OD Plan'!U37+'HDN Plan'!U37+'KIN Plan'!U37+'LE Plan'!U37+'MER Plan'!U37+'NDN Plan'!U37+'SALT Plan'!U37+'SDN Plan'!U37+'SST Plan'!U37+'WH Plan'!U37+'FH Plan'!U37</f>
        <v/>
      </c>
      <c r="V37" s="26">
        <f>'ABA Plan'!V37+'BK Plan'!V37+'BW Plan'!V37+'CED Plan'!V37+'HAB Plan'!V37+'HB Plan'!V37+'OD Plan'!V37+'HDN Plan'!V37+'KIN Plan'!V37+'LE Plan'!V37+'MER Plan'!V37+'NDN Plan'!V37+'SALT Plan'!V37+'SDN Plan'!V37+'SST Plan'!V37+'WH Plan'!V37+'FH Plan'!V37</f>
        <v/>
      </c>
      <c r="W37" s="26">
        <f>'ABA Plan'!W37+'BK Plan'!W37+'BW Plan'!W37+'CED Plan'!W37+'HAB Plan'!W37+'HB Plan'!W37+'OD Plan'!W37+'HDN Plan'!W37+'KIN Plan'!W37+'LE Plan'!W37+'MER Plan'!W37+'NDN Plan'!W37+'SALT Plan'!W37+'SDN Plan'!W37+'SST Plan'!W37+'WH Plan'!W37+'FH Plan'!W37</f>
        <v/>
      </c>
      <c r="X37" s="26">
        <f>'ABA Plan'!X37+'BK Plan'!X37+'BW Plan'!X37+'CED Plan'!X37+'HAB Plan'!X37+'HB Plan'!X37+'OD Plan'!X37+'HDN Plan'!X37+'KIN Plan'!X37+'LE Plan'!X37+'MER Plan'!X37+'NDN Plan'!X37+'SALT Plan'!X37+'SDN Plan'!X37+'SST Plan'!X37+'WH Plan'!X37+'FH Plan'!X37</f>
        <v/>
      </c>
      <c r="Y37" s="26">
        <f>'ABA Plan'!Y37+'BK Plan'!Y37+'BW Plan'!Y37+'CED Plan'!Y37+'HAB Plan'!Y37+'HB Plan'!Y37+'OD Plan'!Y37+'HDN Plan'!Y37+'KIN Plan'!Y37+'LE Plan'!Y37+'MER Plan'!Y37+'NDN Plan'!Y37+'SALT Plan'!Y37+'SDN Plan'!Y37+'SST Plan'!Y37+'WH Plan'!Y37+'FH Plan'!Y37</f>
        <v/>
      </c>
      <c r="Z37" s="26">
        <f>'ABA Plan'!Z37+'BK Plan'!Z37+'BW Plan'!Z37+'CED Plan'!Z37+'HAB Plan'!Z37+'HB Plan'!Z37+'OD Plan'!Z37+'HDN Plan'!Z37+'KIN Plan'!Z37+'LE Plan'!Z37+'MER Plan'!Z37+'NDN Plan'!Z37+'SALT Plan'!Z37+'SDN Plan'!Z37+'SST Plan'!Z37+'WH Plan'!Z37+'FH Plan'!Z37</f>
        <v/>
      </c>
      <c r="AA37" s="26">
        <f>'ABA Plan'!AA37+'BK Plan'!AA37+'BW Plan'!AA37+'CED Plan'!AA37+'HAB Plan'!AA37+'HB Plan'!AA37+'OD Plan'!AA37+'HDN Plan'!AA37+'KIN Plan'!AA37+'LE Plan'!AA37+'MER Plan'!AA37+'NDN Plan'!AA37+'SALT Plan'!AA37+'SDN Plan'!AA37+'SST Plan'!AA37+'WH Plan'!AA37+'FH Plan'!AA37</f>
        <v/>
      </c>
      <c r="AB37" s="26">
        <f>'ABA Plan'!AB37+'BK Plan'!AB37+'BW Plan'!AB37+'CED Plan'!AB37+'HAB Plan'!AB37+'HB Plan'!AB37+'OD Plan'!AB37+'HDN Plan'!AB37+'KIN Plan'!AB37+'LE Plan'!AB37+'MER Plan'!AB37+'NDN Plan'!AB37+'SALT Plan'!AB37+'SDN Plan'!AB37+'SST Plan'!AB37+'WH Plan'!AB37+'FH Plan'!AB37</f>
        <v/>
      </c>
      <c r="AC37" s="26">
        <f>'ABA Plan'!AC37+'BK Plan'!AC37+'BW Plan'!AC37+'CED Plan'!AC37+'HAB Plan'!AC37+'HB Plan'!AC37+'OD Plan'!AC37+'HDN Plan'!AC37+'KIN Plan'!AC37+'LE Plan'!AC37+'MER Plan'!AC37+'NDN Plan'!AC37+'SALT Plan'!AC37+'SDN Plan'!AC37+'SST Plan'!AC37+'WH Plan'!AC37+'FH Plan'!AC37</f>
        <v/>
      </c>
      <c r="AD37" s="26">
        <f>'ABA Plan'!AD37+'BK Plan'!AD37+'BW Plan'!AD37+'CED Plan'!AD37+'HAB Plan'!AD37+'HB Plan'!AD37+'OD Plan'!AD37+'HDN Plan'!AD37+'KIN Plan'!AD37+'LE Plan'!AD37+'MER Plan'!AD37+'NDN Plan'!AD37+'SALT Plan'!AD37+'SDN Plan'!AD37+'SST Plan'!AD37+'WH Plan'!AD37+'FH Plan'!AD37</f>
        <v/>
      </c>
      <c r="AE37" s="26">
        <f>'ABA Plan'!AE37+'BK Plan'!AE37+'BW Plan'!AE37+'CED Plan'!AE37+'HAB Plan'!AE37+'HB Plan'!AE37+'OD Plan'!AE37+'HDN Plan'!AE37+'KIN Plan'!AE37+'LE Plan'!AE37+'MER Plan'!AE37+'NDN Plan'!AE37+'SALT Plan'!AE37+'SDN Plan'!AE37+'SST Plan'!AE37+'WH Plan'!AE37+'FH Plan'!AE37</f>
        <v/>
      </c>
      <c r="AF37" s="26">
        <f>'ABA Plan'!AF37+'BK Plan'!AF37+'BW Plan'!AF37+'CED Plan'!AF37+'HAB Plan'!AF37+'HB Plan'!AF37+'OD Plan'!AF37+'HDN Plan'!AF37+'KIN Plan'!AF37+'LE Plan'!AF37+'MER Plan'!AF37+'NDN Plan'!AF37+'SALT Plan'!AF37+'SDN Plan'!AF37+'SST Plan'!AF37+'WH Plan'!AF37+'FH Plan'!AF37</f>
        <v/>
      </c>
      <c r="AG37" s="26">
        <f>'ABA Plan'!AG37+'BK Plan'!AG37+'BW Plan'!AG37+'CED Plan'!AG37+'HAB Plan'!AG37+'HB Plan'!AG37+'OD Plan'!AG37+'HDN Plan'!AG37+'KIN Plan'!AG37+'LE Plan'!AG37+'MER Plan'!AG37+'NDN Plan'!AG37+'SALT Plan'!AG37+'SDN Plan'!AG37+'SST Plan'!AG37+'WH Plan'!AG37+'FH Plan'!AG37</f>
        <v/>
      </c>
      <c r="AH37" s="26">
        <f>'ABA Plan'!AH37+'BK Plan'!AH37+'BW Plan'!AH37+'CED Plan'!AH37+'HAB Plan'!AH37+'HB Plan'!AH37+'OD Plan'!AH37+'HDN Plan'!AH37+'KIN Plan'!AH37+'LE Plan'!AH37+'MER Plan'!AH37+'NDN Plan'!AH37+'SALT Plan'!AH37+'SDN Plan'!AH37+'SST Plan'!AH37+'WH Plan'!AH37+'FH Plan'!AH37</f>
        <v/>
      </c>
      <c r="AI37" s="26">
        <f>'ABA Plan'!AI37+'BK Plan'!AI37+'BW Plan'!AI37+'CED Plan'!AI37+'HAB Plan'!AI37+'HB Plan'!AI37+'OD Plan'!AI37+'HDN Plan'!AI37+'KIN Plan'!AI37+'LE Plan'!AI37+'MER Plan'!AI37+'NDN Plan'!AI37+'SALT Plan'!AI37+'SDN Plan'!AI37+'SST Plan'!AI37+'WH Plan'!AI37+'FH Plan'!AI37</f>
        <v/>
      </c>
      <c r="AJ37" s="26">
        <f>'ABA Plan'!AJ37+'BK Plan'!AJ37+'BW Plan'!AJ37+'CED Plan'!AJ37+'HAB Plan'!AJ37+'HB Plan'!AJ37+'OD Plan'!AJ37+'HDN Plan'!AJ37+'KIN Plan'!AJ37+'LE Plan'!AJ37+'MER Plan'!AJ37+'NDN Plan'!AJ37+'SALT Plan'!AJ37+'SDN Plan'!AJ37+'SST Plan'!AJ37+'WH Plan'!AJ37+'FH Plan'!AJ37</f>
        <v/>
      </c>
      <c r="AK37" s="11">
        <f>IF(N37&lt;&gt;0,(AB37-N37)/ABS(N37),0)</f>
        <v/>
      </c>
      <c r="AL37" s="11">
        <f>IF(AB37&lt;&gt;0,(AJ37-AB37)/ABS(AB37),0)</f>
        <v/>
      </c>
    </row>
    <row r="38" ht="13" customHeight="1">
      <c r="A38" s="25" t="inlineStr">
        <is>
          <t xml:space="preserve">    Waste Disposal</t>
        </is>
      </c>
      <c r="B38" s="26">
        <f>'ABA Plan'!B38+'BK Plan'!B38+'BW Plan'!B38+'CED Plan'!B38+'HAB Plan'!B38+'HB Plan'!B38+'OD Plan'!B38+'HDN Plan'!B38+'KIN Plan'!B38+'LE Plan'!B38+'MER Plan'!B38+'NDN Plan'!B38+'SALT Plan'!B38+'SDN Plan'!B38+'SST Plan'!B38+'WH Plan'!B38+'FH Plan'!B38</f>
        <v/>
      </c>
      <c r="C38" s="26">
        <f>'ABA Plan'!C38+'BK Plan'!C38+'BW Plan'!C38+'CED Plan'!C38+'HAB Plan'!C38+'HB Plan'!C38+'OD Plan'!C38+'HDN Plan'!C38+'KIN Plan'!C38+'LE Plan'!C38+'MER Plan'!C38+'NDN Plan'!C38+'SALT Plan'!C38+'SDN Plan'!C38+'SST Plan'!C38+'WH Plan'!C38+'FH Plan'!C38</f>
        <v/>
      </c>
      <c r="D38" s="26">
        <f>'ABA Plan'!D38+'BK Plan'!D38+'BW Plan'!D38+'CED Plan'!D38+'HAB Plan'!D38+'HB Plan'!D38+'OD Plan'!D38+'HDN Plan'!D38+'KIN Plan'!D38+'LE Plan'!D38+'MER Plan'!D38+'NDN Plan'!D38+'SALT Plan'!D38+'SDN Plan'!D38+'SST Plan'!D38+'WH Plan'!D38+'FH Plan'!D38</f>
        <v/>
      </c>
      <c r="E38" s="26">
        <f>'ABA Plan'!E38+'BK Plan'!E38+'BW Plan'!E38+'CED Plan'!E38+'HAB Plan'!E38+'HB Plan'!E38+'OD Plan'!E38+'HDN Plan'!E38+'KIN Plan'!E38+'LE Plan'!E38+'MER Plan'!E38+'NDN Plan'!E38+'SALT Plan'!E38+'SDN Plan'!E38+'SST Plan'!E38+'WH Plan'!E38+'FH Plan'!E38</f>
        <v/>
      </c>
      <c r="F38" s="26">
        <f>'ABA Plan'!F38+'BK Plan'!F38+'BW Plan'!F38+'CED Plan'!F38+'HAB Plan'!F38+'HB Plan'!F38+'OD Plan'!F38+'HDN Plan'!F38+'KIN Plan'!F38+'LE Plan'!F38+'MER Plan'!F38+'NDN Plan'!F38+'SALT Plan'!F38+'SDN Plan'!F38+'SST Plan'!F38+'WH Plan'!F38+'FH Plan'!F38</f>
        <v/>
      </c>
      <c r="G38" s="26">
        <f>'ABA Plan'!G38+'BK Plan'!G38+'BW Plan'!G38+'CED Plan'!G38+'HAB Plan'!G38+'HB Plan'!G38+'OD Plan'!G38+'HDN Plan'!G38+'KIN Plan'!G38+'LE Plan'!G38+'MER Plan'!G38+'NDN Plan'!G38+'SALT Plan'!G38+'SDN Plan'!G38+'SST Plan'!G38+'WH Plan'!G38+'FH Plan'!G38</f>
        <v/>
      </c>
      <c r="H38" s="26">
        <f>'ABA Plan'!H38+'BK Plan'!H38+'BW Plan'!H38+'CED Plan'!H38+'HAB Plan'!H38+'HB Plan'!H38+'OD Plan'!H38+'HDN Plan'!H38+'KIN Plan'!H38+'LE Plan'!H38+'MER Plan'!H38+'NDN Plan'!H38+'SALT Plan'!H38+'SDN Plan'!H38+'SST Plan'!H38+'WH Plan'!H38+'FH Plan'!H38</f>
        <v/>
      </c>
      <c r="I38" s="26">
        <f>'ABA Plan'!I38+'BK Plan'!I38+'BW Plan'!I38+'CED Plan'!I38+'HAB Plan'!I38+'HB Plan'!I38+'OD Plan'!I38+'HDN Plan'!I38+'KIN Plan'!I38+'LE Plan'!I38+'MER Plan'!I38+'NDN Plan'!I38+'SALT Plan'!I38+'SDN Plan'!I38+'SST Plan'!I38+'WH Plan'!I38+'FH Plan'!I38</f>
        <v/>
      </c>
      <c r="J38" s="26">
        <f>'ABA Plan'!J38+'BK Plan'!J38+'BW Plan'!J38+'CED Plan'!J38+'HAB Plan'!J38+'HB Plan'!J38+'OD Plan'!J38+'HDN Plan'!J38+'KIN Plan'!J38+'LE Plan'!J38+'MER Plan'!J38+'NDN Plan'!J38+'SALT Plan'!J38+'SDN Plan'!J38+'SST Plan'!J38+'WH Plan'!J38+'FH Plan'!J38</f>
        <v/>
      </c>
      <c r="K38" s="26">
        <f>'ABA Plan'!K38+'BK Plan'!K38+'BW Plan'!K38+'CED Plan'!K38+'HAB Plan'!K38+'HB Plan'!K38+'OD Plan'!K38+'HDN Plan'!K38+'KIN Plan'!K38+'LE Plan'!K38+'MER Plan'!K38+'NDN Plan'!K38+'SALT Plan'!K38+'SDN Plan'!K38+'SST Plan'!K38+'WH Plan'!K38+'FH Plan'!K38</f>
        <v/>
      </c>
      <c r="L38" s="26">
        <f>'ABA Plan'!L38+'BK Plan'!L38+'BW Plan'!L38+'CED Plan'!L38+'HAB Plan'!L38+'HB Plan'!L38+'OD Plan'!L38+'HDN Plan'!L38+'KIN Plan'!L38+'LE Plan'!L38+'MER Plan'!L38+'NDN Plan'!L38+'SALT Plan'!L38+'SDN Plan'!L38+'SST Plan'!L38+'WH Plan'!L38+'FH Plan'!L38</f>
        <v/>
      </c>
      <c r="M38" s="26">
        <f>'ABA Plan'!M38+'BK Plan'!M38+'BW Plan'!M38+'CED Plan'!M38+'HAB Plan'!M38+'HB Plan'!M38+'OD Plan'!M38+'HDN Plan'!M38+'KIN Plan'!M38+'LE Plan'!M38+'MER Plan'!M38+'NDN Plan'!M38+'SALT Plan'!M38+'SDN Plan'!M38+'SST Plan'!M38+'WH Plan'!M38+'FH Plan'!M38</f>
        <v/>
      </c>
      <c r="N38" s="26">
        <f>'ABA Plan'!N38+'BK Plan'!N38+'BW Plan'!N38+'CED Plan'!N38+'HAB Plan'!N38+'HB Plan'!N38+'OD Plan'!N38+'HDN Plan'!N38+'KIN Plan'!N38+'LE Plan'!N38+'MER Plan'!N38+'NDN Plan'!N38+'SALT Plan'!N38+'SDN Plan'!N38+'SST Plan'!N38+'WH Plan'!N38+'FH Plan'!N38</f>
        <v/>
      </c>
      <c r="O38" s="26">
        <f>'ABA Plan'!O38+'BK Plan'!O38+'BW Plan'!O38+'CED Plan'!O38+'HAB Plan'!O38+'HB Plan'!O38+'OD Plan'!O38+'HDN Plan'!O38+'KIN Plan'!O38+'LE Plan'!O38+'MER Plan'!O38+'NDN Plan'!O38+'SALT Plan'!O38+'SDN Plan'!O38+'SST Plan'!O38+'WH Plan'!O38+'FH Plan'!O38</f>
        <v/>
      </c>
      <c r="P38" s="26">
        <f>'ABA Plan'!P38+'BK Plan'!P38+'BW Plan'!P38+'CED Plan'!P38+'HAB Plan'!P38+'HB Plan'!P38+'OD Plan'!P38+'HDN Plan'!P38+'KIN Plan'!P38+'LE Plan'!P38+'MER Plan'!P38+'NDN Plan'!P38+'SALT Plan'!P38+'SDN Plan'!P38+'SST Plan'!P38+'WH Plan'!P38+'FH Plan'!P38</f>
        <v/>
      </c>
      <c r="Q38" s="26">
        <f>'ABA Plan'!Q38+'BK Plan'!Q38+'BW Plan'!Q38+'CED Plan'!Q38+'HAB Plan'!Q38+'HB Plan'!Q38+'OD Plan'!Q38+'HDN Plan'!Q38+'KIN Plan'!Q38+'LE Plan'!Q38+'MER Plan'!Q38+'NDN Plan'!Q38+'SALT Plan'!Q38+'SDN Plan'!Q38+'SST Plan'!Q38+'WH Plan'!Q38+'FH Plan'!Q38</f>
        <v/>
      </c>
      <c r="R38" s="26">
        <f>'ABA Plan'!R38+'BK Plan'!R38+'BW Plan'!R38+'CED Plan'!R38+'HAB Plan'!R38+'HB Plan'!R38+'OD Plan'!R38+'HDN Plan'!R38+'KIN Plan'!R38+'LE Plan'!R38+'MER Plan'!R38+'NDN Plan'!R38+'SALT Plan'!R38+'SDN Plan'!R38+'SST Plan'!R38+'WH Plan'!R38+'FH Plan'!R38</f>
        <v/>
      </c>
      <c r="S38" s="26">
        <f>'ABA Plan'!S38+'BK Plan'!S38+'BW Plan'!S38+'CED Plan'!S38+'HAB Plan'!S38+'HB Plan'!S38+'OD Plan'!S38+'HDN Plan'!S38+'KIN Plan'!S38+'LE Plan'!S38+'MER Plan'!S38+'NDN Plan'!S38+'SALT Plan'!S38+'SDN Plan'!S38+'SST Plan'!S38+'WH Plan'!S38+'FH Plan'!S38</f>
        <v/>
      </c>
      <c r="T38" s="26">
        <f>'ABA Plan'!T38+'BK Plan'!T38+'BW Plan'!T38+'CED Plan'!T38+'HAB Plan'!T38+'HB Plan'!T38+'OD Plan'!T38+'HDN Plan'!T38+'KIN Plan'!T38+'LE Plan'!T38+'MER Plan'!T38+'NDN Plan'!T38+'SALT Plan'!T38+'SDN Plan'!T38+'SST Plan'!T38+'WH Plan'!T38+'FH Plan'!T38</f>
        <v/>
      </c>
      <c r="U38" s="26">
        <f>'ABA Plan'!U38+'BK Plan'!U38+'BW Plan'!U38+'CED Plan'!U38+'HAB Plan'!U38+'HB Plan'!U38+'OD Plan'!U38+'HDN Plan'!U38+'KIN Plan'!U38+'LE Plan'!U38+'MER Plan'!U38+'NDN Plan'!U38+'SALT Plan'!U38+'SDN Plan'!U38+'SST Plan'!U38+'WH Plan'!U38+'FH Plan'!U38</f>
        <v/>
      </c>
      <c r="V38" s="26">
        <f>'ABA Plan'!V38+'BK Plan'!V38+'BW Plan'!V38+'CED Plan'!V38+'HAB Plan'!V38+'HB Plan'!V38+'OD Plan'!V38+'HDN Plan'!V38+'KIN Plan'!V38+'LE Plan'!V38+'MER Plan'!V38+'NDN Plan'!V38+'SALT Plan'!V38+'SDN Plan'!V38+'SST Plan'!V38+'WH Plan'!V38+'FH Plan'!V38</f>
        <v/>
      </c>
      <c r="W38" s="26">
        <f>'ABA Plan'!W38+'BK Plan'!W38+'BW Plan'!W38+'CED Plan'!W38+'HAB Plan'!W38+'HB Plan'!W38+'OD Plan'!W38+'HDN Plan'!W38+'KIN Plan'!W38+'LE Plan'!W38+'MER Plan'!W38+'NDN Plan'!W38+'SALT Plan'!W38+'SDN Plan'!W38+'SST Plan'!W38+'WH Plan'!W38+'FH Plan'!W38</f>
        <v/>
      </c>
      <c r="X38" s="26">
        <f>'ABA Plan'!X38+'BK Plan'!X38+'BW Plan'!X38+'CED Plan'!X38+'HAB Plan'!X38+'HB Plan'!X38+'OD Plan'!X38+'HDN Plan'!X38+'KIN Plan'!X38+'LE Plan'!X38+'MER Plan'!X38+'NDN Plan'!X38+'SALT Plan'!X38+'SDN Plan'!X38+'SST Plan'!X38+'WH Plan'!X38+'FH Plan'!X38</f>
        <v/>
      </c>
      <c r="Y38" s="26">
        <f>'ABA Plan'!Y38+'BK Plan'!Y38+'BW Plan'!Y38+'CED Plan'!Y38+'HAB Plan'!Y38+'HB Plan'!Y38+'OD Plan'!Y38+'HDN Plan'!Y38+'KIN Plan'!Y38+'LE Plan'!Y38+'MER Plan'!Y38+'NDN Plan'!Y38+'SALT Plan'!Y38+'SDN Plan'!Y38+'SST Plan'!Y38+'WH Plan'!Y38+'FH Plan'!Y38</f>
        <v/>
      </c>
      <c r="Z38" s="26">
        <f>'ABA Plan'!Z38+'BK Plan'!Z38+'BW Plan'!Z38+'CED Plan'!Z38+'HAB Plan'!Z38+'HB Plan'!Z38+'OD Plan'!Z38+'HDN Plan'!Z38+'KIN Plan'!Z38+'LE Plan'!Z38+'MER Plan'!Z38+'NDN Plan'!Z38+'SALT Plan'!Z38+'SDN Plan'!Z38+'SST Plan'!Z38+'WH Plan'!Z38+'FH Plan'!Z38</f>
        <v/>
      </c>
      <c r="AA38" s="26">
        <f>'ABA Plan'!AA38+'BK Plan'!AA38+'BW Plan'!AA38+'CED Plan'!AA38+'HAB Plan'!AA38+'HB Plan'!AA38+'OD Plan'!AA38+'HDN Plan'!AA38+'KIN Plan'!AA38+'LE Plan'!AA38+'MER Plan'!AA38+'NDN Plan'!AA38+'SALT Plan'!AA38+'SDN Plan'!AA38+'SST Plan'!AA38+'WH Plan'!AA38+'FH Plan'!AA38</f>
        <v/>
      </c>
      <c r="AB38" s="26">
        <f>'ABA Plan'!AB38+'BK Plan'!AB38+'BW Plan'!AB38+'CED Plan'!AB38+'HAB Plan'!AB38+'HB Plan'!AB38+'OD Plan'!AB38+'HDN Plan'!AB38+'KIN Plan'!AB38+'LE Plan'!AB38+'MER Plan'!AB38+'NDN Plan'!AB38+'SALT Plan'!AB38+'SDN Plan'!AB38+'SST Plan'!AB38+'WH Plan'!AB38+'FH Plan'!AB38</f>
        <v/>
      </c>
      <c r="AC38" s="26">
        <f>'ABA Plan'!AC38+'BK Plan'!AC38+'BW Plan'!AC38+'CED Plan'!AC38+'HAB Plan'!AC38+'HB Plan'!AC38+'OD Plan'!AC38+'HDN Plan'!AC38+'KIN Plan'!AC38+'LE Plan'!AC38+'MER Plan'!AC38+'NDN Plan'!AC38+'SALT Plan'!AC38+'SDN Plan'!AC38+'SST Plan'!AC38+'WH Plan'!AC38+'FH Plan'!AC38</f>
        <v/>
      </c>
      <c r="AD38" s="26">
        <f>'ABA Plan'!AD38+'BK Plan'!AD38+'BW Plan'!AD38+'CED Plan'!AD38+'HAB Plan'!AD38+'HB Plan'!AD38+'OD Plan'!AD38+'HDN Plan'!AD38+'KIN Plan'!AD38+'LE Plan'!AD38+'MER Plan'!AD38+'NDN Plan'!AD38+'SALT Plan'!AD38+'SDN Plan'!AD38+'SST Plan'!AD38+'WH Plan'!AD38+'FH Plan'!AD38</f>
        <v/>
      </c>
      <c r="AE38" s="26">
        <f>'ABA Plan'!AE38+'BK Plan'!AE38+'BW Plan'!AE38+'CED Plan'!AE38+'HAB Plan'!AE38+'HB Plan'!AE38+'OD Plan'!AE38+'HDN Plan'!AE38+'KIN Plan'!AE38+'LE Plan'!AE38+'MER Plan'!AE38+'NDN Plan'!AE38+'SALT Plan'!AE38+'SDN Plan'!AE38+'SST Plan'!AE38+'WH Plan'!AE38+'FH Plan'!AE38</f>
        <v/>
      </c>
      <c r="AF38" s="26">
        <f>'ABA Plan'!AF38+'BK Plan'!AF38+'BW Plan'!AF38+'CED Plan'!AF38+'HAB Plan'!AF38+'HB Plan'!AF38+'OD Plan'!AF38+'HDN Plan'!AF38+'KIN Plan'!AF38+'LE Plan'!AF38+'MER Plan'!AF38+'NDN Plan'!AF38+'SALT Plan'!AF38+'SDN Plan'!AF38+'SST Plan'!AF38+'WH Plan'!AF38+'FH Plan'!AF38</f>
        <v/>
      </c>
      <c r="AG38" s="26">
        <f>'ABA Plan'!AG38+'BK Plan'!AG38+'BW Plan'!AG38+'CED Plan'!AG38+'HAB Plan'!AG38+'HB Plan'!AG38+'OD Plan'!AG38+'HDN Plan'!AG38+'KIN Plan'!AG38+'LE Plan'!AG38+'MER Plan'!AG38+'NDN Plan'!AG38+'SALT Plan'!AG38+'SDN Plan'!AG38+'SST Plan'!AG38+'WH Plan'!AG38+'FH Plan'!AG38</f>
        <v/>
      </c>
      <c r="AH38" s="26">
        <f>'ABA Plan'!AH38+'BK Plan'!AH38+'BW Plan'!AH38+'CED Plan'!AH38+'HAB Plan'!AH38+'HB Plan'!AH38+'OD Plan'!AH38+'HDN Plan'!AH38+'KIN Plan'!AH38+'LE Plan'!AH38+'MER Plan'!AH38+'NDN Plan'!AH38+'SALT Plan'!AH38+'SDN Plan'!AH38+'SST Plan'!AH38+'WH Plan'!AH38+'FH Plan'!AH38</f>
        <v/>
      </c>
      <c r="AI38" s="26">
        <f>'ABA Plan'!AI38+'BK Plan'!AI38+'BW Plan'!AI38+'CED Plan'!AI38+'HAB Plan'!AI38+'HB Plan'!AI38+'OD Plan'!AI38+'HDN Plan'!AI38+'KIN Plan'!AI38+'LE Plan'!AI38+'MER Plan'!AI38+'NDN Plan'!AI38+'SALT Plan'!AI38+'SDN Plan'!AI38+'SST Plan'!AI38+'WH Plan'!AI38+'FH Plan'!AI38</f>
        <v/>
      </c>
      <c r="AJ38" s="26">
        <f>'ABA Plan'!AJ38+'BK Plan'!AJ38+'BW Plan'!AJ38+'CED Plan'!AJ38+'HAB Plan'!AJ38+'HB Plan'!AJ38+'OD Plan'!AJ38+'HDN Plan'!AJ38+'KIN Plan'!AJ38+'LE Plan'!AJ38+'MER Plan'!AJ38+'NDN Plan'!AJ38+'SALT Plan'!AJ38+'SDN Plan'!AJ38+'SST Plan'!AJ38+'WH Plan'!AJ38+'FH Plan'!AJ38</f>
        <v/>
      </c>
      <c r="AK38" s="11">
        <f>IF(N38&lt;&gt;0,(AB38-N38)/ABS(N38),0)</f>
        <v/>
      </c>
      <c r="AL38" s="11">
        <f>IF(AB38&lt;&gt;0,(AJ38-AB38)/ABS(AB38),0)</f>
        <v/>
      </c>
    </row>
    <row r="39" ht="13" customHeight="1">
      <c r="A39" s="25" t="inlineStr">
        <is>
          <t xml:space="preserve">    Postage/Printing/Stationery</t>
        </is>
      </c>
      <c r="B39" s="26">
        <f>'ABA Plan'!B39+'BK Plan'!B39+'BW Plan'!B39+'CED Plan'!B39+'HAB Plan'!B39+'HB Plan'!B39+'OD Plan'!B39+'HDN Plan'!B39+'KIN Plan'!B39+'LE Plan'!B39+'MER Plan'!B39+'NDN Plan'!B39+'SALT Plan'!B39+'SDN Plan'!B39+'SST Plan'!B39+'WH Plan'!B39+'FH Plan'!B39</f>
        <v/>
      </c>
      <c r="C39" s="26">
        <f>'ABA Plan'!C39+'BK Plan'!C39+'BW Plan'!C39+'CED Plan'!C39+'HAB Plan'!C39+'HB Plan'!C39+'OD Plan'!C39+'HDN Plan'!C39+'KIN Plan'!C39+'LE Plan'!C39+'MER Plan'!C39+'NDN Plan'!C39+'SALT Plan'!C39+'SDN Plan'!C39+'SST Plan'!C39+'WH Plan'!C39+'FH Plan'!C39</f>
        <v/>
      </c>
      <c r="D39" s="26">
        <f>'ABA Plan'!D39+'BK Plan'!D39+'BW Plan'!D39+'CED Plan'!D39+'HAB Plan'!D39+'HB Plan'!D39+'OD Plan'!D39+'HDN Plan'!D39+'KIN Plan'!D39+'LE Plan'!D39+'MER Plan'!D39+'NDN Plan'!D39+'SALT Plan'!D39+'SDN Plan'!D39+'SST Plan'!D39+'WH Plan'!D39+'FH Plan'!D39</f>
        <v/>
      </c>
      <c r="E39" s="26">
        <f>'ABA Plan'!E39+'BK Plan'!E39+'BW Plan'!E39+'CED Plan'!E39+'HAB Plan'!E39+'HB Plan'!E39+'OD Plan'!E39+'HDN Plan'!E39+'KIN Plan'!E39+'LE Plan'!E39+'MER Plan'!E39+'NDN Plan'!E39+'SALT Plan'!E39+'SDN Plan'!E39+'SST Plan'!E39+'WH Plan'!E39+'FH Plan'!E39</f>
        <v/>
      </c>
      <c r="F39" s="26">
        <f>'ABA Plan'!F39+'BK Plan'!F39+'BW Plan'!F39+'CED Plan'!F39+'HAB Plan'!F39+'HB Plan'!F39+'OD Plan'!F39+'HDN Plan'!F39+'KIN Plan'!F39+'LE Plan'!F39+'MER Plan'!F39+'NDN Plan'!F39+'SALT Plan'!F39+'SDN Plan'!F39+'SST Plan'!F39+'WH Plan'!F39+'FH Plan'!F39</f>
        <v/>
      </c>
      <c r="G39" s="26">
        <f>'ABA Plan'!G39+'BK Plan'!G39+'BW Plan'!G39+'CED Plan'!G39+'HAB Plan'!G39+'HB Plan'!G39+'OD Plan'!G39+'HDN Plan'!G39+'KIN Plan'!G39+'LE Plan'!G39+'MER Plan'!G39+'NDN Plan'!G39+'SALT Plan'!G39+'SDN Plan'!G39+'SST Plan'!G39+'WH Plan'!G39+'FH Plan'!G39</f>
        <v/>
      </c>
      <c r="H39" s="26">
        <f>'ABA Plan'!H39+'BK Plan'!H39+'BW Plan'!H39+'CED Plan'!H39+'HAB Plan'!H39+'HB Plan'!H39+'OD Plan'!H39+'HDN Plan'!H39+'KIN Plan'!H39+'LE Plan'!H39+'MER Plan'!H39+'NDN Plan'!H39+'SALT Plan'!H39+'SDN Plan'!H39+'SST Plan'!H39+'WH Plan'!H39+'FH Plan'!H39</f>
        <v/>
      </c>
      <c r="I39" s="26">
        <f>'ABA Plan'!I39+'BK Plan'!I39+'BW Plan'!I39+'CED Plan'!I39+'HAB Plan'!I39+'HB Plan'!I39+'OD Plan'!I39+'HDN Plan'!I39+'KIN Plan'!I39+'LE Plan'!I39+'MER Plan'!I39+'NDN Plan'!I39+'SALT Plan'!I39+'SDN Plan'!I39+'SST Plan'!I39+'WH Plan'!I39+'FH Plan'!I39</f>
        <v/>
      </c>
      <c r="J39" s="26">
        <f>'ABA Plan'!J39+'BK Plan'!J39+'BW Plan'!J39+'CED Plan'!J39+'HAB Plan'!J39+'HB Plan'!J39+'OD Plan'!J39+'HDN Plan'!J39+'KIN Plan'!J39+'LE Plan'!J39+'MER Plan'!J39+'NDN Plan'!J39+'SALT Plan'!J39+'SDN Plan'!J39+'SST Plan'!J39+'WH Plan'!J39+'FH Plan'!J39</f>
        <v/>
      </c>
      <c r="K39" s="26">
        <f>'ABA Plan'!K39+'BK Plan'!K39+'BW Plan'!K39+'CED Plan'!K39+'HAB Plan'!K39+'HB Plan'!K39+'OD Plan'!K39+'HDN Plan'!K39+'KIN Plan'!K39+'LE Plan'!K39+'MER Plan'!K39+'NDN Plan'!K39+'SALT Plan'!K39+'SDN Plan'!K39+'SST Plan'!K39+'WH Plan'!K39+'FH Plan'!K39</f>
        <v/>
      </c>
      <c r="L39" s="26">
        <f>'ABA Plan'!L39+'BK Plan'!L39+'BW Plan'!L39+'CED Plan'!L39+'HAB Plan'!L39+'HB Plan'!L39+'OD Plan'!L39+'HDN Plan'!L39+'KIN Plan'!L39+'LE Plan'!L39+'MER Plan'!L39+'NDN Plan'!L39+'SALT Plan'!L39+'SDN Plan'!L39+'SST Plan'!L39+'WH Plan'!L39+'FH Plan'!L39</f>
        <v/>
      </c>
      <c r="M39" s="26">
        <f>'ABA Plan'!M39+'BK Plan'!M39+'BW Plan'!M39+'CED Plan'!M39+'HAB Plan'!M39+'HB Plan'!M39+'OD Plan'!M39+'HDN Plan'!M39+'KIN Plan'!M39+'LE Plan'!M39+'MER Plan'!M39+'NDN Plan'!M39+'SALT Plan'!M39+'SDN Plan'!M39+'SST Plan'!M39+'WH Plan'!M39+'FH Plan'!M39</f>
        <v/>
      </c>
      <c r="N39" s="26">
        <f>'ABA Plan'!N39+'BK Plan'!N39+'BW Plan'!N39+'CED Plan'!N39+'HAB Plan'!N39+'HB Plan'!N39+'OD Plan'!N39+'HDN Plan'!N39+'KIN Plan'!N39+'LE Plan'!N39+'MER Plan'!N39+'NDN Plan'!N39+'SALT Plan'!N39+'SDN Plan'!N39+'SST Plan'!N39+'WH Plan'!N39+'FH Plan'!N39</f>
        <v/>
      </c>
      <c r="O39" s="26">
        <f>'ABA Plan'!O39+'BK Plan'!O39+'BW Plan'!O39+'CED Plan'!O39+'HAB Plan'!O39+'HB Plan'!O39+'OD Plan'!O39+'HDN Plan'!O39+'KIN Plan'!O39+'LE Plan'!O39+'MER Plan'!O39+'NDN Plan'!O39+'SALT Plan'!O39+'SDN Plan'!O39+'SST Plan'!O39+'WH Plan'!O39+'FH Plan'!O39</f>
        <v/>
      </c>
      <c r="P39" s="26">
        <f>'ABA Plan'!P39+'BK Plan'!P39+'BW Plan'!P39+'CED Plan'!P39+'HAB Plan'!P39+'HB Plan'!P39+'OD Plan'!P39+'HDN Plan'!P39+'KIN Plan'!P39+'LE Plan'!P39+'MER Plan'!P39+'NDN Plan'!P39+'SALT Plan'!P39+'SDN Plan'!P39+'SST Plan'!P39+'WH Plan'!P39+'FH Plan'!P39</f>
        <v/>
      </c>
      <c r="Q39" s="26">
        <f>'ABA Plan'!Q39+'BK Plan'!Q39+'BW Plan'!Q39+'CED Plan'!Q39+'HAB Plan'!Q39+'HB Plan'!Q39+'OD Plan'!Q39+'HDN Plan'!Q39+'KIN Plan'!Q39+'LE Plan'!Q39+'MER Plan'!Q39+'NDN Plan'!Q39+'SALT Plan'!Q39+'SDN Plan'!Q39+'SST Plan'!Q39+'WH Plan'!Q39+'FH Plan'!Q39</f>
        <v/>
      </c>
      <c r="R39" s="26">
        <f>'ABA Plan'!R39+'BK Plan'!R39+'BW Plan'!R39+'CED Plan'!R39+'HAB Plan'!R39+'HB Plan'!R39+'OD Plan'!R39+'HDN Plan'!R39+'KIN Plan'!R39+'LE Plan'!R39+'MER Plan'!R39+'NDN Plan'!R39+'SALT Plan'!R39+'SDN Plan'!R39+'SST Plan'!R39+'WH Plan'!R39+'FH Plan'!R39</f>
        <v/>
      </c>
      <c r="S39" s="26">
        <f>'ABA Plan'!S39+'BK Plan'!S39+'BW Plan'!S39+'CED Plan'!S39+'HAB Plan'!S39+'HB Plan'!S39+'OD Plan'!S39+'HDN Plan'!S39+'KIN Plan'!S39+'LE Plan'!S39+'MER Plan'!S39+'NDN Plan'!S39+'SALT Plan'!S39+'SDN Plan'!S39+'SST Plan'!S39+'WH Plan'!S39+'FH Plan'!S39</f>
        <v/>
      </c>
      <c r="T39" s="26">
        <f>'ABA Plan'!T39+'BK Plan'!T39+'BW Plan'!T39+'CED Plan'!T39+'HAB Plan'!T39+'HB Plan'!T39+'OD Plan'!T39+'HDN Plan'!T39+'KIN Plan'!T39+'LE Plan'!T39+'MER Plan'!T39+'NDN Plan'!T39+'SALT Plan'!T39+'SDN Plan'!T39+'SST Plan'!T39+'WH Plan'!T39+'FH Plan'!T39</f>
        <v/>
      </c>
      <c r="U39" s="26">
        <f>'ABA Plan'!U39+'BK Plan'!U39+'BW Plan'!U39+'CED Plan'!U39+'HAB Plan'!U39+'HB Plan'!U39+'OD Plan'!U39+'HDN Plan'!U39+'KIN Plan'!U39+'LE Plan'!U39+'MER Plan'!U39+'NDN Plan'!U39+'SALT Plan'!U39+'SDN Plan'!U39+'SST Plan'!U39+'WH Plan'!U39+'FH Plan'!U39</f>
        <v/>
      </c>
      <c r="V39" s="26">
        <f>'ABA Plan'!V39+'BK Plan'!V39+'BW Plan'!V39+'CED Plan'!V39+'HAB Plan'!V39+'HB Plan'!V39+'OD Plan'!V39+'HDN Plan'!V39+'KIN Plan'!V39+'LE Plan'!V39+'MER Plan'!V39+'NDN Plan'!V39+'SALT Plan'!V39+'SDN Plan'!V39+'SST Plan'!V39+'WH Plan'!V39+'FH Plan'!V39</f>
        <v/>
      </c>
      <c r="W39" s="26">
        <f>'ABA Plan'!W39+'BK Plan'!W39+'BW Plan'!W39+'CED Plan'!W39+'HAB Plan'!W39+'HB Plan'!W39+'OD Plan'!W39+'HDN Plan'!W39+'KIN Plan'!W39+'LE Plan'!W39+'MER Plan'!W39+'NDN Plan'!W39+'SALT Plan'!W39+'SDN Plan'!W39+'SST Plan'!W39+'WH Plan'!W39+'FH Plan'!W39</f>
        <v/>
      </c>
      <c r="X39" s="26">
        <f>'ABA Plan'!X39+'BK Plan'!X39+'BW Plan'!X39+'CED Plan'!X39+'HAB Plan'!X39+'HB Plan'!X39+'OD Plan'!X39+'HDN Plan'!X39+'KIN Plan'!X39+'LE Plan'!X39+'MER Plan'!X39+'NDN Plan'!X39+'SALT Plan'!X39+'SDN Plan'!X39+'SST Plan'!X39+'WH Plan'!X39+'FH Plan'!X39</f>
        <v/>
      </c>
      <c r="Y39" s="26">
        <f>'ABA Plan'!Y39+'BK Plan'!Y39+'BW Plan'!Y39+'CED Plan'!Y39+'HAB Plan'!Y39+'HB Plan'!Y39+'OD Plan'!Y39+'HDN Plan'!Y39+'KIN Plan'!Y39+'LE Plan'!Y39+'MER Plan'!Y39+'NDN Plan'!Y39+'SALT Plan'!Y39+'SDN Plan'!Y39+'SST Plan'!Y39+'WH Plan'!Y39+'FH Plan'!Y39</f>
        <v/>
      </c>
      <c r="Z39" s="26">
        <f>'ABA Plan'!Z39+'BK Plan'!Z39+'BW Plan'!Z39+'CED Plan'!Z39+'HAB Plan'!Z39+'HB Plan'!Z39+'OD Plan'!Z39+'HDN Plan'!Z39+'KIN Plan'!Z39+'LE Plan'!Z39+'MER Plan'!Z39+'NDN Plan'!Z39+'SALT Plan'!Z39+'SDN Plan'!Z39+'SST Plan'!Z39+'WH Plan'!Z39+'FH Plan'!Z39</f>
        <v/>
      </c>
      <c r="AA39" s="26">
        <f>'ABA Plan'!AA39+'BK Plan'!AA39+'BW Plan'!AA39+'CED Plan'!AA39+'HAB Plan'!AA39+'HB Plan'!AA39+'OD Plan'!AA39+'HDN Plan'!AA39+'KIN Plan'!AA39+'LE Plan'!AA39+'MER Plan'!AA39+'NDN Plan'!AA39+'SALT Plan'!AA39+'SDN Plan'!AA39+'SST Plan'!AA39+'WH Plan'!AA39+'FH Plan'!AA39</f>
        <v/>
      </c>
      <c r="AB39" s="26">
        <f>'ABA Plan'!AB39+'BK Plan'!AB39+'BW Plan'!AB39+'CED Plan'!AB39+'HAB Plan'!AB39+'HB Plan'!AB39+'OD Plan'!AB39+'HDN Plan'!AB39+'KIN Plan'!AB39+'LE Plan'!AB39+'MER Plan'!AB39+'NDN Plan'!AB39+'SALT Plan'!AB39+'SDN Plan'!AB39+'SST Plan'!AB39+'WH Plan'!AB39+'FH Plan'!AB39</f>
        <v/>
      </c>
      <c r="AC39" s="26">
        <f>'ABA Plan'!AC39+'BK Plan'!AC39+'BW Plan'!AC39+'CED Plan'!AC39+'HAB Plan'!AC39+'HB Plan'!AC39+'OD Plan'!AC39+'HDN Plan'!AC39+'KIN Plan'!AC39+'LE Plan'!AC39+'MER Plan'!AC39+'NDN Plan'!AC39+'SALT Plan'!AC39+'SDN Plan'!AC39+'SST Plan'!AC39+'WH Plan'!AC39+'FH Plan'!AC39</f>
        <v/>
      </c>
      <c r="AD39" s="26">
        <f>'ABA Plan'!AD39+'BK Plan'!AD39+'BW Plan'!AD39+'CED Plan'!AD39+'HAB Plan'!AD39+'HB Plan'!AD39+'OD Plan'!AD39+'HDN Plan'!AD39+'KIN Plan'!AD39+'LE Plan'!AD39+'MER Plan'!AD39+'NDN Plan'!AD39+'SALT Plan'!AD39+'SDN Plan'!AD39+'SST Plan'!AD39+'WH Plan'!AD39+'FH Plan'!AD39</f>
        <v/>
      </c>
      <c r="AE39" s="26">
        <f>'ABA Plan'!AE39+'BK Plan'!AE39+'BW Plan'!AE39+'CED Plan'!AE39+'HAB Plan'!AE39+'HB Plan'!AE39+'OD Plan'!AE39+'HDN Plan'!AE39+'KIN Plan'!AE39+'LE Plan'!AE39+'MER Plan'!AE39+'NDN Plan'!AE39+'SALT Plan'!AE39+'SDN Plan'!AE39+'SST Plan'!AE39+'WH Plan'!AE39+'FH Plan'!AE39</f>
        <v/>
      </c>
      <c r="AF39" s="26">
        <f>'ABA Plan'!AF39+'BK Plan'!AF39+'BW Plan'!AF39+'CED Plan'!AF39+'HAB Plan'!AF39+'HB Plan'!AF39+'OD Plan'!AF39+'HDN Plan'!AF39+'KIN Plan'!AF39+'LE Plan'!AF39+'MER Plan'!AF39+'NDN Plan'!AF39+'SALT Plan'!AF39+'SDN Plan'!AF39+'SST Plan'!AF39+'WH Plan'!AF39+'FH Plan'!AF39</f>
        <v/>
      </c>
      <c r="AG39" s="26">
        <f>'ABA Plan'!AG39+'BK Plan'!AG39+'BW Plan'!AG39+'CED Plan'!AG39+'HAB Plan'!AG39+'HB Plan'!AG39+'OD Plan'!AG39+'HDN Plan'!AG39+'KIN Plan'!AG39+'LE Plan'!AG39+'MER Plan'!AG39+'NDN Plan'!AG39+'SALT Plan'!AG39+'SDN Plan'!AG39+'SST Plan'!AG39+'WH Plan'!AG39+'FH Plan'!AG39</f>
        <v/>
      </c>
      <c r="AH39" s="26">
        <f>'ABA Plan'!AH39+'BK Plan'!AH39+'BW Plan'!AH39+'CED Plan'!AH39+'HAB Plan'!AH39+'HB Plan'!AH39+'OD Plan'!AH39+'HDN Plan'!AH39+'KIN Plan'!AH39+'LE Plan'!AH39+'MER Plan'!AH39+'NDN Plan'!AH39+'SALT Plan'!AH39+'SDN Plan'!AH39+'SST Plan'!AH39+'WH Plan'!AH39+'FH Plan'!AH39</f>
        <v/>
      </c>
      <c r="AI39" s="26">
        <f>'ABA Plan'!AI39+'BK Plan'!AI39+'BW Plan'!AI39+'CED Plan'!AI39+'HAB Plan'!AI39+'HB Plan'!AI39+'OD Plan'!AI39+'HDN Plan'!AI39+'KIN Plan'!AI39+'LE Plan'!AI39+'MER Plan'!AI39+'NDN Plan'!AI39+'SALT Plan'!AI39+'SDN Plan'!AI39+'SST Plan'!AI39+'WH Plan'!AI39+'FH Plan'!AI39</f>
        <v/>
      </c>
      <c r="AJ39" s="26">
        <f>'ABA Plan'!AJ39+'BK Plan'!AJ39+'BW Plan'!AJ39+'CED Plan'!AJ39+'HAB Plan'!AJ39+'HB Plan'!AJ39+'OD Plan'!AJ39+'HDN Plan'!AJ39+'KIN Plan'!AJ39+'LE Plan'!AJ39+'MER Plan'!AJ39+'NDN Plan'!AJ39+'SALT Plan'!AJ39+'SDN Plan'!AJ39+'SST Plan'!AJ39+'WH Plan'!AJ39+'FH Plan'!AJ39</f>
        <v/>
      </c>
      <c r="AK39" s="11">
        <f>IF(N39&lt;&gt;0,(AB39-N39)/ABS(N39),0)</f>
        <v/>
      </c>
      <c r="AL39" s="11">
        <f>IF(AB39&lt;&gt;0,(AJ39-AB39)/ABS(AB39),0)</f>
        <v/>
      </c>
    </row>
    <row r="40" ht="13" customHeight="1">
      <c r="A40" s="25" t="inlineStr">
        <is>
          <t xml:space="preserve">    Telephone</t>
        </is>
      </c>
      <c r="B40" s="26">
        <f>'ABA Plan'!B40+'BK Plan'!B40+'BW Plan'!B40+'CED Plan'!B40+'HAB Plan'!B40+'HB Plan'!B40+'OD Plan'!B40+'HDN Plan'!B40+'KIN Plan'!B40+'LE Plan'!B40+'MER Plan'!B40+'NDN Plan'!B40+'SALT Plan'!B40+'SDN Plan'!B40+'SST Plan'!B40+'WH Plan'!B40+'FH Plan'!B40</f>
        <v/>
      </c>
      <c r="C40" s="26">
        <f>'ABA Plan'!C40+'BK Plan'!C40+'BW Plan'!C40+'CED Plan'!C40+'HAB Plan'!C40+'HB Plan'!C40+'OD Plan'!C40+'HDN Plan'!C40+'KIN Plan'!C40+'LE Plan'!C40+'MER Plan'!C40+'NDN Plan'!C40+'SALT Plan'!C40+'SDN Plan'!C40+'SST Plan'!C40+'WH Plan'!C40+'FH Plan'!C40</f>
        <v/>
      </c>
      <c r="D40" s="26">
        <f>'ABA Plan'!D40+'BK Plan'!D40+'BW Plan'!D40+'CED Plan'!D40+'HAB Plan'!D40+'HB Plan'!D40+'OD Plan'!D40+'HDN Plan'!D40+'KIN Plan'!D40+'LE Plan'!D40+'MER Plan'!D40+'NDN Plan'!D40+'SALT Plan'!D40+'SDN Plan'!D40+'SST Plan'!D40+'WH Plan'!D40+'FH Plan'!D40</f>
        <v/>
      </c>
      <c r="E40" s="26">
        <f>'ABA Plan'!E40+'BK Plan'!E40+'BW Plan'!E40+'CED Plan'!E40+'HAB Plan'!E40+'HB Plan'!E40+'OD Plan'!E40+'HDN Plan'!E40+'KIN Plan'!E40+'LE Plan'!E40+'MER Plan'!E40+'NDN Plan'!E40+'SALT Plan'!E40+'SDN Plan'!E40+'SST Plan'!E40+'WH Plan'!E40+'FH Plan'!E40</f>
        <v/>
      </c>
      <c r="F40" s="26">
        <f>'ABA Plan'!F40+'BK Plan'!F40+'BW Plan'!F40+'CED Plan'!F40+'HAB Plan'!F40+'HB Plan'!F40+'OD Plan'!F40+'HDN Plan'!F40+'KIN Plan'!F40+'LE Plan'!F40+'MER Plan'!F40+'NDN Plan'!F40+'SALT Plan'!F40+'SDN Plan'!F40+'SST Plan'!F40+'WH Plan'!F40+'FH Plan'!F40</f>
        <v/>
      </c>
      <c r="G40" s="26">
        <f>'ABA Plan'!G40+'BK Plan'!G40+'BW Plan'!G40+'CED Plan'!G40+'HAB Plan'!G40+'HB Plan'!G40+'OD Plan'!G40+'HDN Plan'!G40+'KIN Plan'!G40+'LE Plan'!G40+'MER Plan'!G40+'NDN Plan'!G40+'SALT Plan'!G40+'SDN Plan'!G40+'SST Plan'!G40+'WH Plan'!G40+'FH Plan'!G40</f>
        <v/>
      </c>
      <c r="H40" s="26">
        <f>'ABA Plan'!H40+'BK Plan'!H40+'BW Plan'!H40+'CED Plan'!H40+'HAB Plan'!H40+'HB Plan'!H40+'OD Plan'!H40+'HDN Plan'!H40+'KIN Plan'!H40+'LE Plan'!H40+'MER Plan'!H40+'NDN Plan'!H40+'SALT Plan'!H40+'SDN Plan'!H40+'SST Plan'!H40+'WH Plan'!H40+'FH Plan'!H40</f>
        <v/>
      </c>
      <c r="I40" s="26">
        <f>'ABA Plan'!I40+'BK Plan'!I40+'BW Plan'!I40+'CED Plan'!I40+'HAB Plan'!I40+'HB Plan'!I40+'OD Plan'!I40+'HDN Plan'!I40+'KIN Plan'!I40+'LE Plan'!I40+'MER Plan'!I40+'NDN Plan'!I40+'SALT Plan'!I40+'SDN Plan'!I40+'SST Plan'!I40+'WH Plan'!I40+'FH Plan'!I40</f>
        <v/>
      </c>
      <c r="J40" s="26">
        <f>'ABA Plan'!J40+'BK Plan'!J40+'BW Plan'!J40+'CED Plan'!J40+'HAB Plan'!J40+'HB Plan'!J40+'OD Plan'!J40+'HDN Plan'!J40+'KIN Plan'!J40+'LE Plan'!J40+'MER Plan'!J40+'NDN Plan'!J40+'SALT Plan'!J40+'SDN Plan'!J40+'SST Plan'!J40+'WH Plan'!J40+'FH Plan'!J40</f>
        <v/>
      </c>
      <c r="K40" s="26">
        <f>'ABA Plan'!K40+'BK Plan'!K40+'BW Plan'!K40+'CED Plan'!K40+'HAB Plan'!K40+'HB Plan'!K40+'OD Plan'!K40+'HDN Plan'!K40+'KIN Plan'!K40+'LE Plan'!K40+'MER Plan'!K40+'NDN Plan'!K40+'SALT Plan'!K40+'SDN Plan'!K40+'SST Plan'!K40+'WH Plan'!K40+'FH Plan'!K40</f>
        <v/>
      </c>
      <c r="L40" s="26">
        <f>'ABA Plan'!L40+'BK Plan'!L40+'BW Plan'!L40+'CED Plan'!L40+'HAB Plan'!L40+'HB Plan'!L40+'OD Plan'!L40+'HDN Plan'!L40+'KIN Plan'!L40+'LE Plan'!L40+'MER Plan'!L40+'NDN Plan'!L40+'SALT Plan'!L40+'SDN Plan'!L40+'SST Plan'!L40+'WH Plan'!L40+'FH Plan'!L40</f>
        <v/>
      </c>
      <c r="M40" s="26">
        <f>'ABA Plan'!M40+'BK Plan'!M40+'BW Plan'!M40+'CED Plan'!M40+'HAB Plan'!M40+'HB Plan'!M40+'OD Plan'!M40+'HDN Plan'!M40+'KIN Plan'!M40+'LE Plan'!M40+'MER Plan'!M40+'NDN Plan'!M40+'SALT Plan'!M40+'SDN Plan'!M40+'SST Plan'!M40+'WH Plan'!M40+'FH Plan'!M40</f>
        <v/>
      </c>
      <c r="N40" s="26">
        <f>'ABA Plan'!N40+'BK Plan'!N40+'BW Plan'!N40+'CED Plan'!N40+'HAB Plan'!N40+'HB Plan'!N40+'OD Plan'!N40+'HDN Plan'!N40+'KIN Plan'!N40+'LE Plan'!N40+'MER Plan'!N40+'NDN Plan'!N40+'SALT Plan'!N40+'SDN Plan'!N40+'SST Plan'!N40+'WH Plan'!N40+'FH Plan'!N40</f>
        <v/>
      </c>
      <c r="O40" s="26">
        <f>'ABA Plan'!O40+'BK Plan'!O40+'BW Plan'!O40+'CED Plan'!O40+'HAB Plan'!O40+'HB Plan'!O40+'OD Plan'!O40+'HDN Plan'!O40+'KIN Plan'!O40+'LE Plan'!O40+'MER Plan'!O40+'NDN Plan'!O40+'SALT Plan'!O40+'SDN Plan'!O40+'SST Plan'!O40+'WH Plan'!O40+'FH Plan'!O40</f>
        <v/>
      </c>
      <c r="P40" s="26">
        <f>'ABA Plan'!P40+'BK Plan'!P40+'BW Plan'!P40+'CED Plan'!P40+'HAB Plan'!P40+'HB Plan'!P40+'OD Plan'!P40+'HDN Plan'!P40+'KIN Plan'!P40+'LE Plan'!P40+'MER Plan'!P40+'NDN Plan'!P40+'SALT Plan'!P40+'SDN Plan'!P40+'SST Plan'!P40+'WH Plan'!P40+'FH Plan'!P40</f>
        <v/>
      </c>
      <c r="Q40" s="26">
        <f>'ABA Plan'!Q40+'BK Plan'!Q40+'BW Plan'!Q40+'CED Plan'!Q40+'HAB Plan'!Q40+'HB Plan'!Q40+'OD Plan'!Q40+'HDN Plan'!Q40+'KIN Plan'!Q40+'LE Plan'!Q40+'MER Plan'!Q40+'NDN Plan'!Q40+'SALT Plan'!Q40+'SDN Plan'!Q40+'SST Plan'!Q40+'WH Plan'!Q40+'FH Plan'!Q40</f>
        <v/>
      </c>
      <c r="R40" s="26">
        <f>'ABA Plan'!R40+'BK Plan'!R40+'BW Plan'!R40+'CED Plan'!R40+'HAB Plan'!R40+'HB Plan'!R40+'OD Plan'!R40+'HDN Plan'!R40+'KIN Plan'!R40+'LE Plan'!R40+'MER Plan'!R40+'NDN Plan'!R40+'SALT Plan'!R40+'SDN Plan'!R40+'SST Plan'!R40+'WH Plan'!R40+'FH Plan'!R40</f>
        <v/>
      </c>
      <c r="S40" s="26">
        <f>'ABA Plan'!S40+'BK Plan'!S40+'BW Plan'!S40+'CED Plan'!S40+'HAB Plan'!S40+'HB Plan'!S40+'OD Plan'!S40+'HDN Plan'!S40+'KIN Plan'!S40+'LE Plan'!S40+'MER Plan'!S40+'NDN Plan'!S40+'SALT Plan'!S40+'SDN Plan'!S40+'SST Plan'!S40+'WH Plan'!S40+'FH Plan'!S40</f>
        <v/>
      </c>
      <c r="T40" s="26">
        <f>'ABA Plan'!T40+'BK Plan'!T40+'BW Plan'!T40+'CED Plan'!T40+'HAB Plan'!T40+'HB Plan'!T40+'OD Plan'!T40+'HDN Plan'!T40+'KIN Plan'!T40+'LE Plan'!T40+'MER Plan'!T40+'NDN Plan'!T40+'SALT Plan'!T40+'SDN Plan'!T40+'SST Plan'!T40+'WH Plan'!T40+'FH Plan'!T40</f>
        <v/>
      </c>
      <c r="U40" s="26">
        <f>'ABA Plan'!U40+'BK Plan'!U40+'BW Plan'!U40+'CED Plan'!U40+'HAB Plan'!U40+'HB Plan'!U40+'OD Plan'!U40+'HDN Plan'!U40+'KIN Plan'!U40+'LE Plan'!U40+'MER Plan'!U40+'NDN Plan'!U40+'SALT Plan'!U40+'SDN Plan'!U40+'SST Plan'!U40+'WH Plan'!U40+'FH Plan'!U40</f>
        <v/>
      </c>
      <c r="V40" s="26">
        <f>'ABA Plan'!V40+'BK Plan'!V40+'BW Plan'!V40+'CED Plan'!V40+'HAB Plan'!V40+'HB Plan'!V40+'OD Plan'!V40+'HDN Plan'!V40+'KIN Plan'!V40+'LE Plan'!V40+'MER Plan'!V40+'NDN Plan'!V40+'SALT Plan'!V40+'SDN Plan'!V40+'SST Plan'!V40+'WH Plan'!V40+'FH Plan'!V40</f>
        <v/>
      </c>
      <c r="W40" s="26">
        <f>'ABA Plan'!W40+'BK Plan'!W40+'BW Plan'!W40+'CED Plan'!W40+'HAB Plan'!W40+'HB Plan'!W40+'OD Plan'!W40+'HDN Plan'!W40+'KIN Plan'!W40+'LE Plan'!W40+'MER Plan'!W40+'NDN Plan'!W40+'SALT Plan'!W40+'SDN Plan'!W40+'SST Plan'!W40+'WH Plan'!W40+'FH Plan'!W40</f>
        <v/>
      </c>
      <c r="X40" s="26">
        <f>'ABA Plan'!X40+'BK Plan'!X40+'BW Plan'!X40+'CED Plan'!X40+'HAB Plan'!X40+'HB Plan'!X40+'OD Plan'!X40+'HDN Plan'!X40+'KIN Plan'!X40+'LE Plan'!X40+'MER Plan'!X40+'NDN Plan'!X40+'SALT Plan'!X40+'SDN Plan'!X40+'SST Plan'!X40+'WH Plan'!X40+'FH Plan'!X40</f>
        <v/>
      </c>
      <c r="Y40" s="26">
        <f>'ABA Plan'!Y40+'BK Plan'!Y40+'BW Plan'!Y40+'CED Plan'!Y40+'HAB Plan'!Y40+'HB Plan'!Y40+'OD Plan'!Y40+'HDN Plan'!Y40+'KIN Plan'!Y40+'LE Plan'!Y40+'MER Plan'!Y40+'NDN Plan'!Y40+'SALT Plan'!Y40+'SDN Plan'!Y40+'SST Plan'!Y40+'WH Plan'!Y40+'FH Plan'!Y40</f>
        <v/>
      </c>
      <c r="Z40" s="26">
        <f>'ABA Plan'!Z40+'BK Plan'!Z40+'BW Plan'!Z40+'CED Plan'!Z40+'HAB Plan'!Z40+'HB Plan'!Z40+'OD Plan'!Z40+'HDN Plan'!Z40+'KIN Plan'!Z40+'LE Plan'!Z40+'MER Plan'!Z40+'NDN Plan'!Z40+'SALT Plan'!Z40+'SDN Plan'!Z40+'SST Plan'!Z40+'WH Plan'!Z40+'FH Plan'!Z40</f>
        <v/>
      </c>
      <c r="AA40" s="26">
        <f>'ABA Plan'!AA40+'BK Plan'!AA40+'BW Plan'!AA40+'CED Plan'!AA40+'HAB Plan'!AA40+'HB Plan'!AA40+'OD Plan'!AA40+'HDN Plan'!AA40+'KIN Plan'!AA40+'LE Plan'!AA40+'MER Plan'!AA40+'NDN Plan'!AA40+'SALT Plan'!AA40+'SDN Plan'!AA40+'SST Plan'!AA40+'WH Plan'!AA40+'FH Plan'!AA40</f>
        <v/>
      </c>
      <c r="AB40" s="26">
        <f>'ABA Plan'!AB40+'BK Plan'!AB40+'BW Plan'!AB40+'CED Plan'!AB40+'HAB Plan'!AB40+'HB Plan'!AB40+'OD Plan'!AB40+'HDN Plan'!AB40+'KIN Plan'!AB40+'LE Plan'!AB40+'MER Plan'!AB40+'NDN Plan'!AB40+'SALT Plan'!AB40+'SDN Plan'!AB40+'SST Plan'!AB40+'WH Plan'!AB40+'FH Plan'!AB40</f>
        <v/>
      </c>
      <c r="AC40" s="26">
        <f>'ABA Plan'!AC40+'BK Plan'!AC40+'BW Plan'!AC40+'CED Plan'!AC40+'HAB Plan'!AC40+'HB Plan'!AC40+'OD Plan'!AC40+'HDN Plan'!AC40+'KIN Plan'!AC40+'LE Plan'!AC40+'MER Plan'!AC40+'NDN Plan'!AC40+'SALT Plan'!AC40+'SDN Plan'!AC40+'SST Plan'!AC40+'WH Plan'!AC40+'FH Plan'!AC40</f>
        <v/>
      </c>
      <c r="AD40" s="26">
        <f>'ABA Plan'!AD40+'BK Plan'!AD40+'BW Plan'!AD40+'CED Plan'!AD40+'HAB Plan'!AD40+'HB Plan'!AD40+'OD Plan'!AD40+'HDN Plan'!AD40+'KIN Plan'!AD40+'LE Plan'!AD40+'MER Plan'!AD40+'NDN Plan'!AD40+'SALT Plan'!AD40+'SDN Plan'!AD40+'SST Plan'!AD40+'WH Plan'!AD40+'FH Plan'!AD40</f>
        <v/>
      </c>
      <c r="AE40" s="26">
        <f>'ABA Plan'!AE40+'BK Plan'!AE40+'BW Plan'!AE40+'CED Plan'!AE40+'HAB Plan'!AE40+'HB Plan'!AE40+'OD Plan'!AE40+'HDN Plan'!AE40+'KIN Plan'!AE40+'LE Plan'!AE40+'MER Plan'!AE40+'NDN Plan'!AE40+'SALT Plan'!AE40+'SDN Plan'!AE40+'SST Plan'!AE40+'WH Plan'!AE40+'FH Plan'!AE40</f>
        <v/>
      </c>
      <c r="AF40" s="26">
        <f>'ABA Plan'!AF40+'BK Plan'!AF40+'BW Plan'!AF40+'CED Plan'!AF40+'HAB Plan'!AF40+'HB Plan'!AF40+'OD Plan'!AF40+'HDN Plan'!AF40+'KIN Plan'!AF40+'LE Plan'!AF40+'MER Plan'!AF40+'NDN Plan'!AF40+'SALT Plan'!AF40+'SDN Plan'!AF40+'SST Plan'!AF40+'WH Plan'!AF40+'FH Plan'!AF40</f>
        <v/>
      </c>
      <c r="AG40" s="26">
        <f>'ABA Plan'!AG40+'BK Plan'!AG40+'BW Plan'!AG40+'CED Plan'!AG40+'HAB Plan'!AG40+'HB Plan'!AG40+'OD Plan'!AG40+'HDN Plan'!AG40+'KIN Plan'!AG40+'LE Plan'!AG40+'MER Plan'!AG40+'NDN Plan'!AG40+'SALT Plan'!AG40+'SDN Plan'!AG40+'SST Plan'!AG40+'WH Plan'!AG40+'FH Plan'!AG40</f>
        <v/>
      </c>
      <c r="AH40" s="26">
        <f>'ABA Plan'!AH40+'BK Plan'!AH40+'BW Plan'!AH40+'CED Plan'!AH40+'HAB Plan'!AH40+'HB Plan'!AH40+'OD Plan'!AH40+'HDN Plan'!AH40+'KIN Plan'!AH40+'LE Plan'!AH40+'MER Plan'!AH40+'NDN Plan'!AH40+'SALT Plan'!AH40+'SDN Plan'!AH40+'SST Plan'!AH40+'WH Plan'!AH40+'FH Plan'!AH40</f>
        <v/>
      </c>
      <c r="AI40" s="26">
        <f>'ABA Plan'!AI40+'BK Plan'!AI40+'BW Plan'!AI40+'CED Plan'!AI40+'HAB Plan'!AI40+'HB Plan'!AI40+'OD Plan'!AI40+'HDN Plan'!AI40+'KIN Plan'!AI40+'LE Plan'!AI40+'MER Plan'!AI40+'NDN Plan'!AI40+'SALT Plan'!AI40+'SDN Plan'!AI40+'SST Plan'!AI40+'WH Plan'!AI40+'FH Plan'!AI40</f>
        <v/>
      </c>
      <c r="AJ40" s="26">
        <f>'ABA Plan'!AJ40+'BK Plan'!AJ40+'BW Plan'!AJ40+'CED Plan'!AJ40+'HAB Plan'!AJ40+'HB Plan'!AJ40+'OD Plan'!AJ40+'HDN Plan'!AJ40+'KIN Plan'!AJ40+'LE Plan'!AJ40+'MER Plan'!AJ40+'NDN Plan'!AJ40+'SALT Plan'!AJ40+'SDN Plan'!AJ40+'SST Plan'!AJ40+'WH Plan'!AJ40+'FH Plan'!AJ40</f>
        <v/>
      </c>
      <c r="AK40" s="11">
        <f>IF(N40&lt;&gt;0,(AB40-N40)/ABS(N40),0)</f>
        <v/>
      </c>
      <c r="AL40" s="11">
        <f>IF(AB40&lt;&gt;0,(AJ40-AB40)/ABS(AB40),0)</f>
        <v/>
      </c>
    </row>
    <row r="41" ht="13" customHeight="1">
      <c r="A41" s="25" t="inlineStr">
        <is>
          <t xml:space="preserve">    Marketing</t>
        </is>
      </c>
      <c r="B41" s="26">
        <f>'ABA Plan'!B41+'BK Plan'!B41+'BW Plan'!B41+'CED Plan'!B41+'HAB Plan'!B41+'HB Plan'!B41+'OD Plan'!B41+'HDN Plan'!B41+'KIN Plan'!B41+'LE Plan'!B41+'MER Plan'!B41+'NDN Plan'!B41+'SALT Plan'!B41+'SDN Plan'!B41+'SST Plan'!B41+'WH Plan'!B41+'FH Plan'!B41</f>
        <v/>
      </c>
      <c r="C41" s="26">
        <f>'ABA Plan'!C41+'BK Plan'!C41+'BW Plan'!C41+'CED Plan'!C41+'HAB Plan'!C41+'HB Plan'!C41+'OD Plan'!C41+'HDN Plan'!C41+'KIN Plan'!C41+'LE Plan'!C41+'MER Plan'!C41+'NDN Plan'!C41+'SALT Plan'!C41+'SDN Plan'!C41+'SST Plan'!C41+'WH Plan'!C41+'FH Plan'!C41</f>
        <v/>
      </c>
      <c r="D41" s="26">
        <f>'ABA Plan'!D41+'BK Plan'!D41+'BW Plan'!D41+'CED Plan'!D41+'HAB Plan'!D41+'HB Plan'!D41+'OD Plan'!D41+'HDN Plan'!D41+'KIN Plan'!D41+'LE Plan'!D41+'MER Plan'!D41+'NDN Plan'!D41+'SALT Plan'!D41+'SDN Plan'!D41+'SST Plan'!D41+'WH Plan'!D41+'FH Plan'!D41</f>
        <v/>
      </c>
      <c r="E41" s="26">
        <f>'ABA Plan'!E41+'BK Plan'!E41+'BW Plan'!E41+'CED Plan'!E41+'HAB Plan'!E41+'HB Plan'!E41+'OD Plan'!E41+'HDN Plan'!E41+'KIN Plan'!E41+'LE Plan'!E41+'MER Plan'!E41+'NDN Plan'!E41+'SALT Plan'!E41+'SDN Plan'!E41+'SST Plan'!E41+'WH Plan'!E41+'FH Plan'!E41</f>
        <v/>
      </c>
      <c r="F41" s="26">
        <f>'ABA Plan'!F41+'BK Plan'!F41+'BW Plan'!F41+'CED Plan'!F41+'HAB Plan'!F41+'HB Plan'!F41+'OD Plan'!F41+'HDN Plan'!F41+'KIN Plan'!F41+'LE Plan'!F41+'MER Plan'!F41+'NDN Plan'!F41+'SALT Plan'!F41+'SDN Plan'!F41+'SST Plan'!F41+'WH Plan'!F41+'FH Plan'!F41</f>
        <v/>
      </c>
      <c r="G41" s="26">
        <f>'ABA Plan'!G41+'BK Plan'!G41+'BW Plan'!G41+'CED Plan'!G41+'HAB Plan'!G41+'HB Plan'!G41+'OD Plan'!G41+'HDN Plan'!G41+'KIN Plan'!G41+'LE Plan'!G41+'MER Plan'!G41+'NDN Plan'!G41+'SALT Plan'!G41+'SDN Plan'!G41+'SST Plan'!G41+'WH Plan'!G41+'FH Plan'!G41</f>
        <v/>
      </c>
      <c r="H41" s="26">
        <f>'ABA Plan'!H41+'BK Plan'!H41+'BW Plan'!H41+'CED Plan'!H41+'HAB Plan'!H41+'HB Plan'!H41+'OD Plan'!H41+'HDN Plan'!H41+'KIN Plan'!H41+'LE Plan'!H41+'MER Plan'!H41+'NDN Plan'!H41+'SALT Plan'!H41+'SDN Plan'!H41+'SST Plan'!H41+'WH Plan'!H41+'FH Plan'!H41</f>
        <v/>
      </c>
      <c r="I41" s="26">
        <f>'ABA Plan'!I41+'BK Plan'!I41+'BW Plan'!I41+'CED Plan'!I41+'HAB Plan'!I41+'HB Plan'!I41+'OD Plan'!I41+'HDN Plan'!I41+'KIN Plan'!I41+'LE Plan'!I41+'MER Plan'!I41+'NDN Plan'!I41+'SALT Plan'!I41+'SDN Plan'!I41+'SST Plan'!I41+'WH Plan'!I41+'FH Plan'!I41</f>
        <v/>
      </c>
      <c r="J41" s="26">
        <f>'ABA Plan'!J41+'BK Plan'!J41+'BW Plan'!J41+'CED Plan'!J41+'HAB Plan'!J41+'HB Plan'!J41+'OD Plan'!J41+'HDN Plan'!J41+'KIN Plan'!J41+'LE Plan'!J41+'MER Plan'!J41+'NDN Plan'!J41+'SALT Plan'!J41+'SDN Plan'!J41+'SST Plan'!J41+'WH Plan'!J41+'FH Plan'!J41</f>
        <v/>
      </c>
      <c r="K41" s="26">
        <f>'ABA Plan'!K41+'BK Plan'!K41+'BW Plan'!K41+'CED Plan'!K41+'HAB Plan'!K41+'HB Plan'!K41+'OD Plan'!K41+'HDN Plan'!K41+'KIN Plan'!K41+'LE Plan'!K41+'MER Plan'!K41+'NDN Plan'!K41+'SALT Plan'!K41+'SDN Plan'!K41+'SST Plan'!K41+'WH Plan'!K41+'FH Plan'!K41</f>
        <v/>
      </c>
      <c r="L41" s="26">
        <f>'ABA Plan'!L41+'BK Plan'!L41+'BW Plan'!L41+'CED Plan'!L41+'HAB Plan'!L41+'HB Plan'!L41+'OD Plan'!L41+'HDN Plan'!L41+'KIN Plan'!L41+'LE Plan'!L41+'MER Plan'!L41+'NDN Plan'!L41+'SALT Plan'!L41+'SDN Plan'!L41+'SST Plan'!L41+'WH Plan'!L41+'FH Plan'!L41</f>
        <v/>
      </c>
      <c r="M41" s="26">
        <f>'ABA Plan'!M41+'BK Plan'!M41+'BW Plan'!M41+'CED Plan'!M41+'HAB Plan'!M41+'HB Plan'!M41+'OD Plan'!M41+'HDN Plan'!M41+'KIN Plan'!M41+'LE Plan'!M41+'MER Plan'!M41+'NDN Plan'!M41+'SALT Plan'!M41+'SDN Plan'!M41+'SST Plan'!M41+'WH Plan'!M41+'FH Plan'!M41</f>
        <v/>
      </c>
      <c r="N41" s="26">
        <f>'ABA Plan'!N41+'BK Plan'!N41+'BW Plan'!N41+'CED Plan'!N41+'HAB Plan'!N41+'HB Plan'!N41+'OD Plan'!N41+'HDN Plan'!N41+'KIN Plan'!N41+'LE Plan'!N41+'MER Plan'!N41+'NDN Plan'!N41+'SALT Plan'!N41+'SDN Plan'!N41+'SST Plan'!N41+'WH Plan'!N41+'FH Plan'!N41</f>
        <v/>
      </c>
      <c r="O41" s="26">
        <f>'ABA Plan'!O41+'BK Plan'!O41+'BW Plan'!O41+'CED Plan'!O41+'HAB Plan'!O41+'HB Plan'!O41+'OD Plan'!O41+'HDN Plan'!O41+'KIN Plan'!O41+'LE Plan'!O41+'MER Plan'!O41+'NDN Plan'!O41+'SALT Plan'!O41+'SDN Plan'!O41+'SST Plan'!O41+'WH Plan'!O41+'FH Plan'!O41</f>
        <v/>
      </c>
      <c r="P41" s="26">
        <f>'ABA Plan'!P41+'BK Plan'!P41+'BW Plan'!P41+'CED Plan'!P41+'HAB Plan'!P41+'HB Plan'!P41+'OD Plan'!P41+'HDN Plan'!P41+'KIN Plan'!P41+'LE Plan'!P41+'MER Plan'!P41+'NDN Plan'!P41+'SALT Plan'!P41+'SDN Plan'!P41+'SST Plan'!P41+'WH Plan'!P41+'FH Plan'!P41</f>
        <v/>
      </c>
      <c r="Q41" s="26">
        <f>'ABA Plan'!Q41+'BK Plan'!Q41+'BW Plan'!Q41+'CED Plan'!Q41+'HAB Plan'!Q41+'HB Plan'!Q41+'OD Plan'!Q41+'HDN Plan'!Q41+'KIN Plan'!Q41+'LE Plan'!Q41+'MER Plan'!Q41+'NDN Plan'!Q41+'SALT Plan'!Q41+'SDN Plan'!Q41+'SST Plan'!Q41+'WH Plan'!Q41+'FH Plan'!Q41</f>
        <v/>
      </c>
      <c r="R41" s="26">
        <f>'ABA Plan'!R41+'BK Plan'!R41+'BW Plan'!R41+'CED Plan'!R41+'HAB Plan'!R41+'HB Plan'!R41+'OD Plan'!R41+'HDN Plan'!R41+'KIN Plan'!R41+'LE Plan'!R41+'MER Plan'!R41+'NDN Plan'!R41+'SALT Plan'!R41+'SDN Plan'!R41+'SST Plan'!R41+'WH Plan'!R41+'FH Plan'!R41</f>
        <v/>
      </c>
      <c r="S41" s="26">
        <f>'ABA Plan'!S41+'BK Plan'!S41+'BW Plan'!S41+'CED Plan'!S41+'HAB Plan'!S41+'HB Plan'!S41+'OD Plan'!S41+'HDN Plan'!S41+'KIN Plan'!S41+'LE Plan'!S41+'MER Plan'!S41+'NDN Plan'!S41+'SALT Plan'!S41+'SDN Plan'!S41+'SST Plan'!S41+'WH Plan'!S41+'FH Plan'!S41</f>
        <v/>
      </c>
      <c r="T41" s="26">
        <f>'ABA Plan'!T41+'BK Plan'!T41+'BW Plan'!T41+'CED Plan'!T41+'HAB Plan'!T41+'HB Plan'!T41+'OD Plan'!T41+'HDN Plan'!T41+'KIN Plan'!T41+'LE Plan'!T41+'MER Plan'!T41+'NDN Plan'!T41+'SALT Plan'!T41+'SDN Plan'!T41+'SST Plan'!T41+'WH Plan'!T41+'FH Plan'!T41</f>
        <v/>
      </c>
      <c r="U41" s="26">
        <f>'ABA Plan'!U41+'BK Plan'!U41+'BW Plan'!U41+'CED Plan'!U41+'HAB Plan'!U41+'HB Plan'!U41+'OD Plan'!U41+'HDN Plan'!U41+'KIN Plan'!U41+'LE Plan'!U41+'MER Plan'!U41+'NDN Plan'!U41+'SALT Plan'!U41+'SDN Plan'!U41+'SST Plan'!U41+'WH Plan'!U41+'FH Plan'!U41</f>
        <v/>
      </c>
      <c r="V41" s="26">
        <f>'ABA Plan'!V41+'BK Plan'!V41+'BW Plan'!V41+'CED Plan'!V41+'HAB Plan'!V41+'HB Plan'!V41+'OD Plan'!V41+'HDN Plan'!V41+'KIN Plan'!V41+'LE Plan'!V41+'MER Plan'!V41+'NDN Plan'!V41+'SALT Plan'!V41+'SDN Plan'!V41+'SST Plan'!V41+'WH Plan'!V41+'FH Plan'!V41</f>
        <v/>
      </c>
      <c r="W41" s="26">
        <f>'ABA Plan'!W41+'BK Plan'!W41+'BW Plan'!W41+'CED Plan'!W41+'HAB Plan'!W41+'HB Plan'!W41+'OD Plan'!W41+'HDN Plan'!W41+'KIN Plan'!W41+'LE Plan'!W41+'MER Plan'!W41+'NDN Plan'!W41+'SALT Plan'!W41+'SDN Plan'!W41+'SST Plan'!W41+'WH Plan'!W41+'FH Plan'!W41</f>
        <v/>
      </c>
      <c r="X41" s="26">
        <f>'ABA Plan'!X41+'BK Plan'!X41+'BW Plan'!X41+'CED Plan'!X41+'HAB Plan'!X41+'HB Plan'!X41+'OD Plan'!X41+'HDN Plan'!X41+'KIN Plan'!X41+'LE Plan'!X41+'MER Plan'!X41+'NDN Plan'!X41+'SALT Plan'!X41+'SDN Plan'!X41+'SST Plan'!X41+'WH Plan'!X41+'FH Plan'!X41</f>
        <v/>
      </c>
      <c r="Y41" s="26">
        <f>'ABA Plan'!Y41+'BK Plan'!Y41+'BW Plan'!Y41+'CED Plan'!Y41+'HAB Plan'!Y41+'HB Plan'!Y41+'OD Plan'!Y41+'HDN Plan'!Y41+'KIN Plan'!Y41+'LE Plan'!Y41+'MER Plan'!Y41+'NDN Plan'!Y41+'SALT Plan'!Y41+'SDN Plan'!Y41+'SST Plan'!Y41+'WH Plan'!Y41+'FH Plan'!Y41</f>
        <v/>
      </c>
      <c r="Z41" s="26">
        <f>'ABA Plan'!Z41+'BK Plan'!Z41+'BW Plan'!Z41+'CED Plan'!Z41+'HAB Plan'!Z41+'HB Plan'!Z41+'OD Plan'!Z41+'HDN Plan'!Z41+'KIN Plan'!Z41+'LE Plan'!Z41+'MER Plan'!Z41+'NDN Plan'!Z41+'SALT Plan'!Z41+'SDN Plan'!Z41+'SST Plan'!Z41+'WH Plan'!Z41+'FH Plan'!Z41</f>
        <v/>
      </c>
      <c r="AA41" s="26">
        <f>'ABA Plan'!AA41+'BK Plan'!AA41+'BW Plan'!AA41+'CED Plan'!AA41+'HAB Plan'!AA41+'HB Plan'!AA41+'OD Plan'!AA41+'HDN Plan'!AA41+'KIN Plan'!AA41+'LE Plan'!AA41+'MER Plan'!AA41+'NDN Plan'!AA41+'SALT Plan'!AA41+'SDN Plan'!AA41+'SST Plan'!AA41+'WH Plan'!AA41+'FH Plan'!AA41</f>
        <v/>
      </c>
      <c r="AB41" s="26">
        <f>'ABA Plan'!AB41+'BK Plan'!AB41+'BW Plan'!AB41+'CED Plan'!AB41+'HAB Plan'!AB41+'HB Plan'!AB41+'OD Plan'!AB41+'HDN Plan'!AB41+'KIN Plan'!AB41+'LE Plan'!AB41+'MER Plan'!AB41+'NDN Plan'!AB41+'SALT Plan'!AB41+'SDN Plan'!AB41+'SST Plan'!AB41+'WH Plan'!AB41+'FH Plan'!AB41</f>
        <v/>
      </c>
      <c r="AC41" s="26">
        <f>'ABA Plan'!AC41+'BK Plan'!AC41+'BW Plan'!AC41+'CED Plan'!AC41+'HAB Plan'!AC41+'HB Plan'!AC41+'OD Plan'!AC41+'HDN Plan'!AC41+'KIN Plan'!AC41+'LE Plan'!AC41+'MER Plan'!AC41+'NDN Plan'!AC41+'SALT Plan'!AC41+'SDN Plan'!AC41+'SST Plan'!AC41+'WH Plan'!AC41+'FH Plan'!AC41</f>
        <v/>
      </c>
      <c r="AD41" s="26">
        <f>'ABA Plan'!AD41+'BK Plan'!AD41+'BW Plan'!AD41+'CED Plan'!AD41+'HAB Plan'!AD41+'HB Plan'!AD41+'OD Plan'!AD41+'HDN Plan'!AD41+'KIN Plan'!AD41+'LE Plan'!AD41+'MER Plan'!AD41+'NDN Plan'!AD41+'SALT Plan'!AD41+'SDN Plan'!AD41+'SST Plan'!AD41+'WH Plan'!AD41+'FH Plan'!AD41</f>
        <v/>
      </c>
      <c r="AE41" s="26">
        <f>'ABA Plan'!AE41+'BK Plan'!AE41+'BW Plan'!AE41+'CED Plan'!AE41+'HAB Plan'!AE41+'HB Plan'!AE41+'OD Plan'!AE41+'HDN Plan'!AE41+'KIN Plan'!AE41+'LE Plan'!AE41+'MER Plan'!AE41+'NDN Plan'!AE41+'SALT Plan'!AE41+'SDN Plan'!AE41+'SST Plan'!AE41+'WH Plan'!AE41+'FH Plan'!AE41</f>
        <v/>
      </c>
      <c r="AF41" s="26">
        <f>'ABA Plan'!AF41+'BK Plan'!AF41+'BW Plan'!AF41+'CED Plan'!AF41+'HAB Plan'!AF41+'HB Plan'!AF41+'OD Plan'!AF41+'HDN Plan'!AF41+'KIN Plan'!AF41+'LE Plan'!AF41+'MER Plan'!AF41+'NDN Plan'!AF41+'SALT Plan'!AF41+'SDN Plan'!AF41+'SST Plan'!AF41+'WH Plan'!AF41+'FH Plan'!AF41</f>
        <v/>
      </c>
      <c r="AG41" s="26">
        <f>'ABA Plan'!AG41+'BK Plan'!AG41+'BW Plan'!AG41+'CED Plan'!AG41+'HAB Plan'!AG41+'HB Plan'!AG41+'OD Plan'!AG41+'HDN Plan'!AG41+'KIN Plan'!AG41+'LE Plan'!AG41+'MER Plan'!AG41+'NDN Plan'!AG41+'SALT Plan'!AG41+'SDN Plan'!AG41+'SST Plan'!AG41+'WH Plan'!AG41+'FH Plan'!AG41</f>
        <v/>
      </c>
      <c r="AH41" s="26">
        <f>'ABA Plan'!AH41+'BK Plan'!AH41+'BW Plan'!AH41+'CED Plan'!AH41+'HAB Plan'!AH41+'HB Plan'!AH41+'OD Plan'!AH41+'HDN Plan'!AH41+'KIN Plan'!AH41+'LE Plan'!AH41+'MER Plan'!AH41+'NDN Plan'!AH41+'SALT Plan'!AH41+'SDN Plan'!AH41+'SST Plan'!AH41+'WH Plan'!AH41+'FH Plan'!AH41</f>
        <v/>
      </c>
      <c r="AI41" s="26">
        <f>'ABA Plan'!AI41+'BK Plan'!AI41+'BW Plan'!AI41+'CED Plan'!AI41+'HAB Plan'!AI41+'HB Plan'!AI41+'OD Plan'!AI41+'HDN Plan'!AI41+'KIN Plan'!AI41+'LE Plan'!AI41+'MER Plan'!AI41+'NDN Plan'!AI41+'SALT Plan'!AI41+'SDN Plan'!AI41+'SST Plan'!AI41+'WH Plan'!AI41+'FH Plan'!AI41</f>
        <v/>
      </c>
      <c r="AJ41" s="26">
        <f>'ABA Plan'!AJ41+'BK Plan'!AJ41+'BW Plan'!AJ41+'CED Plan'!AJ41+'HAB Plan'!AJ41+'HB Plan'!AJ41+'OD Plan'!AJ41+'HDN Plan'!AJ41+'KIN Plan'!AJ41+'LE Plan'!AJ41+'MER Plan'!AJ41+'NDN Plan'!AJ41+'SALT Plan'!AJ41+'SDN Plan'!AJ41+'SST Plan'!AJ41+'WH Plan'!AJ41+'FH Plan'!AJ41</f>
        <v/>
      </c>
      <c r="AK41" s="11">
        <f>IF(N41&lt;&gt;0,(AB41-N41)/ABS(N41),0)</f>
        <v/>
      </c>
      <c r="AL41" s="11">
        <f>IF(AB41&lt;&gt;0,(AJ41-AB41)/ABS(AB41),0)</f>
        <v/>
      </c>
    </row>
    <row r="42" ht="13" customHeight="1">
      <c r="A42" s="27" t="inlineStr">
        <is>
          <t>Total Premises &amp; Admin</t>
        </is>
      </c>
      <c r="B42" s="28">
        <f>'ABA Plan'!B42+'BK Plan'!B42+'BW Plan'!B42+'CED Plan'!B42+'HAB Plan'!B42+'HB Plan'!B42+'OD Plan'!B42+'HDN Plan'!B42+'KIN Plan'!B42+'LE Plan'!B42+'MER Plan'!B42+'NDN Plan'!B42+'SALT Plan'!B42+'SDN Plan'!B42+'SST Plan'!B42+'WH Plan'!B42+'FH Plan'!B42</f>
        <v/>
      </c>
      <c r="C42" s="28">
        <f>'ABA Plan'!C42+'BK Plan'!C42+'BW Plan'!C42+'CED Plan'!C42+'HAB Plan'!C42+'HB Plan'!C42+'OD Plan'!C42+'HDN Plan'!C42+'KIN Plan'!C42+'LE Plan'!C42+'MER Plan'!C42+'NDN Plan'!C42+'SALT Plan'!C42+'SDN Plan'!C42+'SST Plan'!C42+'WH Plan'!C42+'FH Plan'!C42</f>
        <v/>
      </c>
      <c r="D42" s="28">
        <f>'ABA Plan'!D42+'BK Plan'!D42+'BW Plan'!D42+'CED Plan'!D42+'HAB Plan'!D42+'HB Plan'!D42+'OD Plan'!D42+'HDN Plan'!D42+'KIN Plan'!D42+'LE Plan'!D42+'MER Plan'!D42+'NDN Plan'!D42+'SALT Plan'!D42+'SDN Plan'!D42+'SST Plan'!D42+'WH Plan'!D42+'FH Plan'!D42</f>
        <v/>
      </c>
      <c r="E42" s="28">
        <f>'ABA Plan'!E42+'BK Plan'!E42+'BW Plan'!E42+'CED Plan'!E42+'HAB Plan'!E42+'HB Plan'!E42+'OD Plan'!E42+'HDN Plan'!E42+'KIN Plan'!E42+'LE Plan'!E42+'MER Plan'!E42+'NDN Plan'!E42+'SALT Plan'!E42+'SDN Plan'!E42+'SST Plan'!E42+'WH Plan'!E42+'FH Plan'!E42</f>
        <v/>
      </c>
      <c r="F42" s="28">
        <f>'ABA Plan'!F42+'BK Plan'!F42+'BW Plan'!F42+'CED Plan'!F42+'HAB Plan'!F42+'HB Plan'!F42+'OD Plan'!F42+'HDN Plan'!F42+'KIN Plan'!F42+'LE Plan'!F42+'MER Plan'!F42+'NDN Plan'!F42+'SALT Plan'!F42+'SDN Plan'!F42+'SST Plan'!F42+'WH Plan'!F42+'FH Plan'!F42</f>
        <v/>
      </c>
      <c r="G42" s="28">
        <f>'ABA Plan'!G42+'BK Plan'!G42+'BW Plan'!G42+'CED Plan'!G42+'HAB Plan'!G42+'HB Plan'!G42+'OD Plan'!G42+'HDN Plan'!G42+'KIN Plan'!G42+'LE Plan'!G42+'MER Plan'!G42+'NDN Plan'!G42+'SALT Plan'!G42+'SDN Plan'!G42+'SST Plan'!G42+'WH Plan'!G42+'FH Plan'!G42</f>
        <v/>
      </c>
      <c r="H42" s="28">
        <f>'ABA Plan'!H42+'BK Plan'!H42+'BW Plan'!H42+'CED Plan'!H42+'HAB Plan'!H42+'HB Plan'!H42+'OD Plan'!H42+'HDN Plan'!H42+'KIN Plan'!H42+'LE Plan'!H42+'MER Plan'!H42+'NDN Plan'!H42+'SALT Plan'!H42+'SDN Plan'!H42+'SST Plan'!H42+'WH Plan'!H42+'FH Plan'!H42</f>
        <v/>
      </c>
      <c r="I42" s="28">
        <f>'ABA Plan'!I42+'BK Plan'!I42+'BW Plan'!I42+'CED Plan'!I42+'HAB Plan'!I42+'HB Plan'!I42+'OD Plan'!I42+'HDN Plan'!I42+'KIN Plan'!I42+'LE Plan'!I42+'MER Plan'!I42+'NDN Plan'!I42+'SALT Plan'!I42+'SDN Plan'!I42+'SST Plan'!I42+'WH Plan'!I42+'FH Plan'!I42</f>
        <v/>
      </c>
      <c r="J42" s="28">
        <f>'ABA Plan'!J42+'BK Plan'!J42+'BW Plan'!J42+'CED Plan'!J42+'HAB Plan'!J42+'HB Plan'!J42+'OD Plan'!J42+'HDN Plan'!J42+'KIN Plan'!J42+'LE Plan'!J42+'MER Plan'!J42+'NDN Plan'!J42+'SALT Plan'!J42+'SDN Plan'!J42+'SST Plan'!J42+'WH Plan'!J42+'FH Plan'!J42</f>
        <v/>
      </c>
      <c r="K42" s="28">
        <f>'ABA Plan'!K42+'BK Plan'!K42+'BW Plan'!K42+'CED Plan'!K42+'HAB Plan'!K42+'HB Plan'!K42+'OD Plan'!K42+'HDN Plan'!K42+'KIN Plan'!K42+'LE Plan'!K42+'MER Plan'!K42+'NDN Plan'!K42+'SALT Plan'!K42+'SDN Plan'!K42+'SST Plan'!K42+'WH Plan'!K42+'FH Plan'!K42</f>
        <v/>
      </c>
      <c r="L42" s="28">
        <f>'ABA Plan'!L42+'BK Plan'!L42+'BW Plan'!L42+'CED Plan'!L42+'HAB Plan'!L42+'HB Plan'!L42+'OD Plan'!L42+'HDN Plan'!L42+'KIN Plan'!L42+'LE Plan'!L42+'MER Plan'!L42+'NDN Plan'!L42+'SALT Plan'!L42+'SDN Plan'!L42+'SST Plan'!L42+'WH Plan'!L42+'FH Plan'!L42</f>
        <v/>
      </c>
      <c r="M42" s="28">
        <f>'ABA Plan'!M42+'BK Plan'!M42+'BW Plan'!M42+'CED Plan'!M42+'HAB Plan'!M42+'HB Plan'!M42+'OD Plan'!M42+'HDN Plan'!M42+'KIN Plan'!M42+'LE Plan'!M42+'MER Plan'!M42+'NDN Plan'!M42+'SALT Plan'!M42+'SDN Plan'!M42+'SST Plan'!M42+'WH Plan'!M42+'FH Plan'!M42</f>
        <v/>
      </c>
      <c r="N42" s="28">
        <f>'ABA Plan'!N42+'BK Plan'!N42+'BW Plan'!N42+'CED Plan'!N42+'HAB Plan'!N42+'HB Plan'!N42+'OD Plan'!N42+'HDN Plan'!N42+'KIN Plan'!N42+'LE Plan'!N42+'MER Plan'!N42+'NDN Plan'!N42+'SALT Plan'!N42+'SDN Plan'!N42+'SST Plan'!N42+'WH Plan'!N42+'FH Plan'!N42</f>
        <v/>
      </c>
      <c r="O42" s="28">
        <f>'ABA Plan'!O42+'BK Plan'!O42+'BW Plan'!O42+'CED Plan'!O42+'HAB Plan'!O42+'HB Plan'!O42+'OD Plan'!O42+'HDN Plan'!O42+'KIN Plan'!O42+'LE Plan'!O42+'MER Plan'!O42+'NDN Plan'!O42+'SALT Plan'!O42+'SDN Plan'!O42+'SST Plan'!O42+'WH Plan'!O42+'FH Plan'!O42</f>
        <v/>
      </c>
      <c r="P42" s="28">
        <f>'ABA Plan'!P42+'BK Plan'!P42+'BW Plan'!P42+'CED Plan'!P42+'HAB Plan'!P42+'HB Plan'!P42+'OD Plan'!P42+'HDN Plan'!P42+'KIN Plan'!P42+'LE Plan'!P42+'MER Plan'!P42+'NDN Plan'!P42+'SALT Plan'!P42+'SDN Plan'!P42+'SST Plan'!P42+'WH Plan'!P42+'FH Plan'!P42</f>
        <v/>
      </c>
      <c r="Q42" s="28">
        <f>'ABA Plan'!Q42+'BK Plan'!Q42+'BW Plan'!Q42+'CED Plan'!Q42+'HAB Plan'!Q42+'HB Plan'!Q42+'OD Plan'!Q42+'HDN Plan'!Q42+'KIN Plan'!Q42+'LE Plan'!Q42+'MER Plan'!Q42+'NDN Plan'!Q42+'SALT Plan'!Q42+'SDN Plan'!Q42+'SST Plan'!Q42+'WH Plan'!Q42+'FH Plan'!Q42</f>
        <v/>
      </c>
      <c r="R42" s="28">
        <f>'ABA Plan'!R42+'BK Plan'!R42+'BW Plan'!R42+'CED Plan'!R42+'HAB Plan'!R42+'HB Plan'!R42+'OD Plan'!R42+'HDN Plan'!R42+'KIN Plan'!R42+'LE Plan'!R42+'MER Plan'!R42+'NDN Plan'!R42+'SALT Plan'!R42+'SDN Plan'!R42+'SST Plan'!R42+'WH Plan'!R42+'FH Plan'!R42</f>
        <v/>
      </c>
      <c r="S42" s="28">
        <f>'ABA Plan'!S42+'BK Plan'!S42+'BW Plan'!S42+'CED Plan'!S42+'HAB Plan'!S42+'HB Plan'!S42+'OD Plan'!S42+'HDN Plan'!S42+'KIN Plan'!S42+'LE Plan'!S42+'MER Plan'!S42+'NDN Plan'!S42+'SALT Plan'!S42+'SDN Plan'!S42+'SST Plan'!S42+'WH Plan'!S42+'FH Plan'!S42</f>
        <v/>
      </c>
      <c r="T42" s="28">
        <f>'ABA Plan'!T42+'BK Plan'!T42+'BW Plan'!T42+'CED Plan'!T42+'HAB Plan'!T42+'HB Plan'!T42+'OD Plan'!T42+'HDN Plan'!T42+'KIN Plan'!T42+'LE Plan'!T42+'MER Plan'!T42+'NDN Plan'!T42+'SALT Plan'!T42+'SDN Plan'!T42+'SST Plan'!T42+'WH Plan'!T42+'FH Plan'!T42</f>
        <v/>
      </c>
      <c r="U42" s="28">
        <f>'ABA Plan'!U42+'BK Plan'!U42+'BW Plan'!U42+'CED Plan'!U42+'HAB Plan'!U42+'HB Plan'!U42+'OD Plan'!U42+'HDN Plan'!U42+'KIN Plan'!U42+'LE Plan'!U42+'MER Plan'!U42+'NDN Plan'!U42+'SALT Plan'!U42+'SDN Plan'!U42+'SST Plan'!U42+'WH Plan'!U42+'FH Plan'!U42</f>
        <v/>
      </c>
      <c r="V42" s="28">
        <f>'ABA Plan'!V42+'BK Plan'!V42+'BW Plan'!V42+'CED Plan'!V42+'HAB Plan'!V42+'HB Plan'!V42+'OD Plan'!V42+'HDN Plan'!V42+'KIN Plan'!V42+'LE Plan'!V42+'MER Plan'!V42+'NDN Plan'!V42+'SALT Plan'!V42+'SDN Plan'!V42+'SST Plan'!V42+'WH Plan'!V42+'FH Plan'!V42</f>
        <v/>
      </c>
      <c r="W42" s="28">
        <f>'ABA Plan'!W42+'BK Plan'!W42+'BW Plan'!W42+'CED Plan'!W42+'HAB Plan'!W42+'HB Plan'!W42+'OD Plan'!W42+'HDN Plan'!W42+'KIN Plan'!W42+'LE Plan'!W42+'MER Plan'!W42+'NDN Plan'!W42+'SALT Plan'!W42+'SDN Plan'!W42+'SST Plan'!W42+'WH Plan'!W42+'FH Plan'!W42</f>
        <v/>
      </c>
      <c r="X42" s="28">
        <f>'ABA Plan'!X42+'BK Plan'!X42+'BW Plan'!X42+'CED Plan'!X42+'HAB Plan'!X42+'HB Plan'!X42+'OD Plan'!X42+'HDN Plan'!X42+'KIN Plan'!X42+'LE Plan'!X42+'MER Plan'!X42+'NDN Plan'!X42+'SALT Plan'!X42+'SDN Plan'!X42+'SST Plan'!X42+'WH Plan'!X42+'FH Plan'!X42</f>
        <v/>
      </c>
      <c r="Y42" s="28">
        <f>'ABA Plan'!Y42+'BK Plan'!Y42+'BW Plan'!Y42+'CED Plan'!Y42+'HAB Plan'!Y42+'HB Plan'!Y42+'OD Plan'!Y42+'HDN Plan'!Y42+'KIN Plan'!Y42+'LE Plan'!Y42+'MER Plan'!Y42+'NDN Plan'!Y42+'SALT Plan'!Y42+'SDN Plan'!Y42+'SST Plan'!Y42+'WH Plan'!Y42+'FH Plan'!Y42</f>
        <v/>
      </c>
      <c r="Z42" s="28">
        <f>'ABA Plan'!Z42+'BK Plan'!Z42+'BW Plan'!Z42+'CED Plan'!Z42+'HAB Plan'!Z42+'HB Plan'!Z42+'OD Plan'!Z42+'HDN Plan'!Z42+'KIN Plan'!Z42+'LE Plan'!Z42+'MER Plan'!Z42+'NDN Plan'!Z42+'SALT Plan'!Z42+'SDN Plan'!Z42+'SST Plan'!Z42+'WH Plan'!Z42+'FH Plan'!Z42</f>
        <v/>
      </c>
      <c r="AA42" s="28">
        <f>'ABA Plan'!AA42+'BK Plan'!AA42+'BW Plan'!AA42+'CED Plan'!AA42+'HAB Plan'!AA42+'HB Plan'!AA42+'OD Plan'!AA42+'HDN Plan'!AA42+'KIN Plan'!AA42+'LE Plan'!AA42+'MER Plan'!AA42+'NDN Plan'!AA42+'SALT Plan'!AA42+'SDN Plan'!AA42+'SST Plan'!AA42+'WH Plan'!AA42+'FH Plan'!AA42</f>
        <v/>
      </c>
      <c r="AB42" s="28">
        <f>'ABA Plan'!AB42+'BK Plan'!AB42+'BW Plan'!AB42+'CED Plan'!AB42+'HAB Plan'!AB42+'HB Plan'!AB42+'OD Plan'!AB42+'HDN Plan'!AB42+'KIN Plan'!AB42+'LE Plan'!AB42+'MER Plan'!AB42+'NDN Plan'!AB42+'SALT Plan'!AB42+'SDN Plan'!AB42+'SST Plan'!AB42+'WH Plan'!AB42+'FH Plan'!AB42</f>
        <v/>
      </c>
      <c r="AC42" s="28">
        <f>'ABA Plan'!AC42+'BK Plan'!AC42+'BW Plan'!AC42+'CED Plan'!AC42+'HAB Plan'!AC42+'HB Plan'!AC42+'OD Plan'!AC42+'HDN Plan'!AC42+'KIN Plan'!AC42+'LE Plan'!AC42+'MER Plan'!AC42+'NDN Plan'!AC42+'SALT Plan'!AC42+'SDN Plan'!AC42+'SST Plan'!AC42+'WH Plan'!AC42+'FH Plan'!AC42</f>
        <v/>
      </c>
      <c r="AD42" s="28">
        <f>'ABA Plan'!AD42+'BK Plan'!AD42+'BW Plan'!AD42+'CED Plan'!AD42+'HAB Plan'!AD42+'HB Plan'!AD42+'OD Plan'!AD42+'HDN Plan'!AD42+'KIN Plan'!AD42+'LE Plan'!AD42+'MER Plan'!AD42+'NDN Plan'!AD42+'SALT Plan'!AD42+'SDN Plan'!AD42+'SST Plan'!AD42+'WH Plan'!AD42+'FH Plan'!AD42</f>
        <v/>
      </c>
      <c r="AE42" s="28">
        <f>'ABA Plan'!AE42+'BK Plan'!AE42+'BW Plan'!AE42+'CED Plan'!AE42+'HAB Plan'!AE42+'HB Plan'!AE42+'OD Plan'!AE42+'HDN Plan'!AE42+'KIN Plan'!AE42+'LE Plan'!AE42+'MER Plan'!AE42+'NDN Plan'!AE42+'SALT Plan'!AE42+'SDN Plan'!AE42+'SST Plan'!AE42+'WH Plan'!AE42+'FH Plan'!AE42</f>
        <v/>
      </c>
      <c r="AF42" s="28">
        <f>'ABA Plan'!AF42+'BK Plan'!AF42+'BW Plan'!AF42+'CED Plan'!AF42+'HAB Plan'!AF42+'HB Plan'!AF42+'OD Plan'!AF42+'HDN Plan'!AF42+'KIN Plan'!AF42+'LE Plan'!AF42+'MER Plan'!AF42+'NDN Plan'!AF42+'SALT Plan'!AF42+'SDN Plan'!AF42+'SST Plan'!AF42+'WH Plan'!AF42+'FH Plan'!AF42</f>
        <v/>
      </c>
      <c r="AG42" s="28">
        <f>'ABA Plan'!AG42+'BK Plan'!AG42+'BW Plan'!AG42+'CED Plan'!AG42+'HAB Plan'!AG42+'HB Plan'!AG42+'OD Plan'!AG42+'HDN Plan'!AG42+'KIN Plan'!AG42+'LE Plan'!AG42+'MER Plan'!AG42+'NDN Plan'!AG42+'SALT Plan'!AG42+'SDN Plan'!AG42+'SST Plan'!AG42+'WH Plan'!AG42+'FH Plan'!AG42</f>
        <v/>
      </c>
      <c r="AH42" s="28">
        <f>'ABA Plan'!AH42+'BK Plan'!AH42+'BW Plan'!AH42+'CED Plan'!AH42+'HAB Plan'!AH42+'HB Plan'!AH42+'OD Plan'!AH42+'HDN Plan'!AH42+'KIN Plan'!AH42+'LE Plan'!AH42+'MER Plan'!AH42+'NDN Plan'!AH42+'SALT Plan'!AH42+'SDN Plan'!AH42+'SST Plan'!AH42+'WH Plan'!AH42+'FH Plan'!AH42</f>
        <v/>
      </c>
      <c r="AI42" s="28">
        <f>'ABA Plan'!AI42+'BK Plan'!AI42+'BW Plan'!AI42+'CED Plan'!AI42+'HAB Plan'!AI42+'HB Plan'!AI42+'OD Plan'!AI42+'HDN Plan'!AI42+'KIN Plan'!AI42+'LE Plan'!AI42+'MER Plan'!AI42+'NDN Plan'!AI42+'SALT Plan'!AI42+'SDN Plan'!AI42+'SST Plan'!AI42+'WH Plan'!AI42+'FH Plan'!AI42</f>
        <v/>
      </c>
      <c r="AJ42" s="28">
        <f>'ABA Plan'!AJ42+'BK Plan'!AJ42+'BW Plan'!AJ42+'CED Plan'!AJ42+'HAB Plan'!AJ42+'HB Plan'!AJ42+'OD Plan'!AJ42+'HDN Plan'!AJ42+'KIN Plan'!AJ42+'LE Plan'!AJ42+'MER Plan'!AJ42+'NDN Plan'!AJ42+'SALT Plan'!AJ42+'SDN Plan'!AJ42+'SST Plan'!AJ42+'WH Plan'!AJ42+'FH Plan'!AJ42</f>
        <v/>
      </c>
      <c r="AK42" s="11">
        <f>IF(N42&lt;&gt;0,(AB42-N42)/ABS(N42),0)</f>
        <v/>
      </c>
      <c r="AL42" s="11">
        <f>IF(AB42&lt;&gt;0,(AJ42-AB42)/ABS(AB42),0)</f>
        <v/>
      </c>
    </row>
    <row r="43" ht="5" customHeight="1"/>
    <row r="44" ht="13" customHeight="1">
      <c r="A44" s="29" t="inlineStr">
        <is>
          <t>Total Direct Costs</t>
        </is>
      </c>
      <c r="B44" s="35">
        <f>'ABA Plan'!B44+'BK Plan'!B44+'BW Plan'!B44+'CED Plan'!B44+'HAB Plan'!B44+'HB Plan'!B44+'OD Plan'!B44+'HDN Plan'!B44+'KIN Plan'!B44+'LE Plan'!B44+'MER Plan'!B44+'NDN Plan'!B44+'SALT Plan'!B44+'SDN Plan'!B44+'SST Plan'!B44+'WH Plan'!B44+'FH Plan'!B44</f>
        <v/>
      </c>
      <c r="C44" s="35">
        <f>'ABA Plan'!C44+'BK Plan'!C44+'BW Plan'!C44+'CED Plan'!C44+'HAB Plan'!C44+'HB Plan'!C44+'OD Plan'!C44+'HDN Plan'!C44+'KIN Plan'!C44+'LE Plan'!C44+'MER Plan'!C44+'NDN Plan'!C44+'SALT Plan'!C44+'SDN Plan'!C44+'SST Plan'!C44+'WH Plan'!C44+'FH Plan'!C44</f>
        <v/>
      </c>
      <c r="D44" s="35">
        <f>'ABA Plan'!D44+'BK Plan'!D44+'BW Plan'!D44+'CED Plan'!D44+'HAB Plan'!D44+'HB Plan'!D44+'OD Plan'!D44+'HDN Plan'!D44+'KIN Plan'!D44+'LE Plan'!D44+'MER Plan'!D44+'NDN Plan'!D44+'SALT Plan'!D44+'SDN Plan'!D44+'SST Plan'!D44+'WH Plan'!D44+'FH Plan'!D44</f>
        <v/>
      </c>
      <c r="E44" s="35">
        <f>'ABA Plan'!E44+'BK Plan'!E44+'BW Plan'!E44+'CED Plan'!E44+'HAB Plan'!E44+'HB Plan'!E44+'OD Plan'!E44+'HDN Plan'!E44+'KIN Plan'!E44+'LE Plan'!E44+'MER Plan'!E44+'NDN Plan'!E44+'SALT Plan'!E44+'SDN Plan'!E44+'SST Plan'!E44+'WH Plan'!E44+'FH Plan'!E44</f>
        <v/>
      </c>
      <c r="F44" s="35">
        <f>'ABA Plan'!F44+'BK Plan'!F44+'BW Plan'!F44+'CED Plan'!F44+'HAB Plan'!F44+'HB Plan'!F44+'OD Plan'!F44+'HDN Plan'!F44+'KIN Plan'!F44+'LE Plan'!F44+'MER Plan'!F44+'NDN Plan'!F44+'SALT Plan'!F44+'SDN Plan'!F44+'SST Plan'!F44+'WH Plan'!F44+'FH Plan'!F44</f>
        <v/>
      </c>
      <c r="G44" s="35">
        <f>'ABA Plan'!G44+'BK Plan'!G44+'BW Plan'!G44+'CED Plan'!G44+'HAB Plan'!G44+'HB Plan'!G44+'OD Plan'!G44+'HDN Plan'!G44+'KIN Plan'!G44+'LE Plan'!G44+'MER Plan'!G44+'NDN Plan'!G44+'SALT Plan'!G44+'SDN Plan'!G44+'SST Plan'!G44+'WH Plan'!G44+'FH Plan'!G44</f>
        <v/>
      </c>
      <c r="H44" s="35">
        <f>'ABA Plan'!H44+'BK Plan'!H44+'BW Plan'!H44+'CED Plan'!H44+'HAB Plan'!H44+'HB Plan'!H44+'OD Plan'!H44+'HDN Plan'!H44+'KIN Plan'!H44+'LE Plan'!H44+'MER Plan'!H44+'NDN Plan'!H44+'SALT Plan'!H44+'SDN Plan'!H44+'SST Plan'!H44+'WH Plan'!H44+'FH Plan'!H44</f>
        <v/>
      </c>
      <c r="I44" s="35">
        <f>'ABA Plan'!I44+'BK Plan'!I44+'BW Plan'!I44+'CED Plan'!I44+'HAB Plan'!I44+'HB Plan'!I44+'OD Plan'!I44+'HDN Plan'!I44+'KIN Plan'!I44+'LE Plan'!I44+'MER Plan'!I44+'NDN Plan'!I44+'SALT Plan'!I44+'SDN Plan'!I44+'SST Plan'!I44+'WH Plan'!I44+'FH Plan'!I44</f>
        <v/>
      </c>
      <c r="J44" s="35">
        <f>'ABA Plan'!J44+'BK Plan'!J44+'BW Plan'!J44+'CED Plan'!J44+'HAB Plan'!J44+'HB Plan'!J44+'OD Plan'!J44+'HDN Plan'!J44+'KIN Plan'!J44+'LE Plan'!J44+'MER Plan'!J44+'NDN Plan'!J44+'SALT Plan'!J44+'SDN Plan'!J44+'SST Plan'!J44+'WH Plan'!J44+'FH Plan'!J44</f>
        <v/>
      </c>
      <c r="K44" s="35">
        <f>'ABA Plan'!K44+'BK Plan'!K44+'BW Plan'!K44+'CED Plan'!K44+'HAB Plan'!K44+'HB Plan'!K44+'OD Plan'!K44+'HDN Plan'!K44+'KIN Plan'!K44+'LE Plan'!K44+'MER Plan'!K44+'NDN Plan'!K44+'SALT Plan'!K44+'SDN Plan'!K44+'SST Plan'!K44+'WH Plan'!K44+'FH Plan'!K44</f>
        <v/>
      </c>
      <c r="L44" s="35">
        <f>'ABA Plan'!L44+'BK Plan'!L44+'BW Plan'!L44+'CED Plan'!L44+'HAB Plan'!L44+'HB Plan'!L44+'OD Plan'!L44+'HDN Plan'!L44+'KIN Plan'!L44+'LE Plan'!L44+'MER Plan'!L44+'NDN Plan'!L44+'SALT Plan'!L44+'SDN Plan'!L44+'SST Plan'!L44+'WH Plan'!L44+'FH Plan'!L44</f>
        <v/>
      </c>
      <c r="M44" s="35">
        <f>'ABA Plan'!M44+'BK Plan'!M44+'BW Plan'!M44+'CED Plan'!M44+'HAB Plan'!M44+'HB Plan'!M44+'OD Plan'!M44+'HDN Plan'!M44+'KIN Plan'!M44+'LE Plan'!M44+'MER Plan'!M44+'NDN Plan'!M44+'SALT Plan'!M44+'SDN Plan'!M44+'SST Plan'!M44+'WH Plan'!M44+'FH Plan'!M44</f>
        <v/>
      </c>
      <c r="N44" s="35">
        <f>'ABA Plan'!N44+'BK Plan'!N44+'BW Plan'!N44+'CED Plan'!N44+'HAB Plan'!N44+'HB Plan'!N44+'OD Plan'!N44+'HDN Plan'!N44+'KIN Plan'!N44+'LE Plan'!N44+'MER Plan'!N44+'NDN Plan'!N44+'SALT Plan'!N44+'SDN Plan'!N44+'SST Plan'!N44+'WH Plan'!N44+'FH Plan'!N44</f>
        <v/>
      </c>
      <c r="O44" s="35">
        <f>'ABA Plan'!O44+'BK Plan'!O44+'BW Plan'!O44+'CED Plan'!O44+'HAB Plan'!O44+'HB Plan'!O44+'OD Plan'!O44+'HDN Plan'!O44+'KIN Plan'!O44+'LE Plan'!O44+'MER Plan'!O44+'NDN Plan'!O44+'SALT Plan'!O44+'SDN Plan'!O44+'SST Plan'!O44+'WH Plan'!O44+'FH Plan'!O44</f>
        <v/>
      </c>
      <c r="P44" s="35">
        <f>'ABA Plan'!P44+'BK Plan'!P44+'BW Plan'!P44+'CED Plan'!P44+'HAB Plan'!P44+'HB Plan'!P44+'OD Plan'!P44+'HDN Plan'!P44+'KIN Plan'!P44+'LE Plan'!P44+'MER Plan'!P44+'NDN Plan'!P44+'SALT Plan'!P44+'SDN Plan'!P44+'SST Plan'!P44+'WH Plan'!P44+'FH Plan'!P44</f>
        <v/>
      </c>
      <c r="Q44" s="35">
        <f>'ABA Plan'!Q44+'BK Plan'!Q44+'BW Plan'!Q44+'CED Plan'!Q44+'HAB Plan'!Q44+'HB Plan'!Q44+'OD Plan'!Q44+'HDN Plan'!Q44+'KIN Plan'!Q44+'LE Plan'!Q44+'MER Plan'!Q44+'NDN Plan'!Q44+'SALT Plan'!Q44+'SDN Plan'!Q44+'SST Plan'!Q44+'WH Plan'!Q44+'FH Plan'!Q44</f>
        <v/>
      </c>
      <c r="R44" s="35">
        <f>'ABA Plan'!R44+'BK Plan'!R44+'BW Plan'!R44+'CED Plan'!R44+'HAB Plan'!R44+'HB Plan'!R44+'OD Plan'!R44+'HDN Plan'!R44+'KIN Plan'!R44+'LE Plan'!R44+'MER Plan'!R44+'NDN Plan'!R44+'SALT Plan'!R44+'SDN Plan'!R44+'SST Plan'!R44+'WH Plan'!R44+'FH Plan'!R44</f>
        <v/>
      </c>
      <c r="S44" s="35">
        <f>'ABA Plan'!S44+'BK Plan'!S44+'BW Plan'!S44+'CED Plan'!S44+'HAB Plan'!S44+'HB Plan'!S44+'OD Plan'!S44+'HDN Plan'!S44+'KIN Plan'!S44+'LE Plan'!S44+'MER Plan'!S44+'NDN Plan'!S44+'SALT Plan'!S44+'SDN Plan'!S44+'SST Plan'!S44+'WH Plan'!S44+'FH Plan'!S44</f>
        <v/>
      </c>
      <c r="T44" s="35">
        <f>'ABA Plan'!T44+'BK Plan'!T44+'BW Plan'!T44+'CED Plan'!T44+'HAB Plan'!T44+'HB Plan'!T44+'OD Plan'!T44+'HDN Plan'!T44+'KIN Plan'!T44+'LE Plan'!T44+'MER Plan'!T44+'NDN Plan'!T44+'SALT Plan'!T44+'SDN Plan'!T44+'SST Plan'!T44+'WH Plan'!T44+'FH Plan'!T44</f>
        <v/>
      </c>
      <c r="U44" s="35">
        <f>'ABA Plan'!U44+'BK Plan'!U44+'BW Plan'!U44+'CED Plan'!U44+'HAB Plan'!U44+'HB Plan'!U44+'OD Plan'!U44+'HDN Plan'!U44+'KIN Plan'!U44+'LE Plan'!U44+'MER Plan'!U44+'NDN Plan'!U44+'SALT Plan'!U44+'SDN Plan'!U44+'SST Plan'!U44+'WH Plan'!U44+'FH Plan'!U44</f>
        <v/>
      </c>
      <c r="V44" s="35">
        <f>'ABA Plan'!V44+'BK Plan'!V44+'BW Plan'!V44+'CED Plan'!V44+'HAB Plan'!V44+'HB Plan'!V44+'OD Plan'!V44+'HDN Plan'!V44+'KIN Plan'!V44+'LE Plan'!V44+'MER Plan'!V44+'NDN Plan'!V44+'SALT Plan'!V44+'SDN Plan'!V44+'SST Plan'!V44+'WH Plan'!V44+'FH Plan'!V44</f>
        <v/>
      </c>
      <c r="W44" s="35">
        <f>'ABA Plan'!W44+'BK Plan'!W44+'BW Plan'!W44+'CED Plan'!W44+'HAB Plan'!W44+'HB Plan'!W44+'OD Plan'!W44+'HDN Plan'!W44+'KIN Plan'!W44+'LE Plan'!W44+'MER Plan'!W44+'NDN Plan'!W44+'SALT Plan'!W44+'SDN Plan'!W44+'SST Plan'!W44+'WH Plan'!W44+'FH Plan'!W44</f>
        <v/>
      </c>
      <c r="X44" s="35">
        <f>'ABA Plan'!X44+'BK Plan'!X44+'BW Plan'!X44+'CED Plan'!X44+'HAB Plan'!X44+'HB Plan'!X44+'OD Plan'!X44+'HDN Plan'!X44+'KIN Plan'!X44+'LE Plan'!X44+'MER Plan'!X44+'NDN Plan'!X44+'SALT Plan'!X44+'SDN Plan'!X44+'SST Plan'!X44+'WH Plan'!X44+'FH Plan'!X44</f>
        <v/>
      </c>
      <c r="Y44" s="35">
        <f>'ABA Plan'!Y44+'BK Plan'!Y44+'BW Plan'!Y44+'CED Plan'!Y44+'HAB Plan'!Y44+'HB Plan'!Y44+'OD Plan'!Y44+'HDN Plan'!Y44+'KIN Plan'!Y44+'LE Plan'!Y44+'MER Plan'!Y44+'NDN Plan'!Y44+'SALT Plan'!Y44+'SDN Plan'!Y44+'SST Plan'!Y44+'WH Plan'!Y44+'FH Plan'!Y44</f>
        <v/>
      </c>
      <c r="Z44" s="35">
        <f>'ABA Plan'!Z44+'BK Plan'!Z44+'BW Plan'!Z44+'CED Plan'!Z44+'HAB Plan'!Z44+'HB Plan'!Z44+'OD Plan'!Z44+'HDN Plan'!Z44+'KIN Plan'!Z44+'LE Plan'!Z44+'MER Plan'!Z44+'NDN Plan'!Z44+'SALT Plan'!Z44+'SDN Plan'!Z44+'SST Plan'!Z44+'WH Plan'!Z44+'FH Plan'!Z44</f>
        <v/>
      </c>
      <c r="AA44" s="35">
        <f>'ABA Plan'!AA44+'BK Plan'!AA44+'BW Plan'!AA44+'CED Plan'!AA44+'HAB Plan'!AA44+'HB Plan'!AA44+'OD Plan'!AA44+'HDN Plan'!AA44+'KIN Plan'!AA44+'LE Plan'!AA44+'MER Plan'!AA44+'NDN Plan'!AA44+'SALT Plan'!AA44+'SDN Plan'!AA44+'SST Plan'!AA44+'WH Plan'!AA44+'FH Plan'!AA44</f>
        <v/>
      </c>
      <c r="AB44" s="35">
        <f>'ABA Plan'!AB44+'BK Plan'!AB44+'BW Plan'!AB44+'CED Plan'!AB44+'HAB Plan'!AB44+'HB Plan'!AB44+'OD Plan'!AB44+'HDN Plan'!AB44+'KIN Plan'!AB44+'LE Plan'!AB44+'MER Plan'!AB44+'NDN Plan'!AB44+'SALT Plan'!AB44+'SDN Plan'!AB44+'SST Plan'!AB44+'WH Plan'!AB44+'FH Plan'!AB44</f>
        <v/>
      </c>
      <c r="AC44" s="35">
        <f>'ABA Plan'!AC44+'BK Plan'!AC44+'BW Plan'!AC44+'CED Plan'!AC44+'HAB Plan'!AC44+'HB Plan'!AC44+'OD Plan'!AC44+'HDN Plan'!AC44+'KIN Plan'!AC44+'LE Plan'!AC44+'MER Plan'!AC44+'NDN Plan'!AC44+'SALT Plan'!AC44+'SDN Plan'!AC44+'SST Plan'!AC44+'WH Plan'!AC44+'FH Plan'!AC44</f>
        <v/>
      </c>
      <c r="AD44" s="35">
        <f>'ABA Plan'!AD44+'BK Plan'!AD44+'BW Plan'!AD44+'CED Plan'!AD44+'HAB Plan'!AD44+'HB Plan'!AD44+'OD Plan'!AD44+'HDN Plan'!AD44+'KIN Plan'!AD44+'LE Plan'!AD44+'MER Plan'!AD44+'NDN Plan'!AD44+'SALT Plan'!AD44+'SDN Plan'!AD44+'SST Plan'!AD44+'WH Plan'!AD44+'FH Plan'!AD44</f>
        <v/>
      </c>
      <c r="AE44" s="35">
        <f>'ABA Plan'!AE44+'BK Plan'!AE44+'BW Plan'!AE44+'CED Plan'!AE44+'HAB Plan'!AE44+'HB Plan'!AE44+'OD Plan'!AE44+'HDN Plan'!AE44+'KIN Plan'!AE44+'LE Plan'!AE44+'MER Plan'!AE44+'NDN Plan'!AE44+'SALT Plan'!AE44+'SDN Plan'!AE44+'SST Plan'!AE44+'WH Plan'!AE44+'FH Plan'!AE44</f>
        <v/>
      </c>
      <c r="AF44" s="35">
        <f>'ABA Plan'!AF44+'BK Plan'!AF44+'BW Plan'!AF44+'CED Plan'!AF44+'HAB Plan'!AF44+'HB Plan'!AF44+'OD Plan'!AF44+'HDN Plan'!AF44+'KIN Plan'!AF44+'LE Plan'!AF44+'MER Plan'!AF44+'NDN Plan'!AF44+'SALT Plan'!AF44+'SDN Plan'!AF44+'SST Plan'!AF44+'WH Plan'!AF44+'FH Plan'!AF44</f>
        <v/>
      </c>
      <c r="AG44" s="35">
        <f>'ABA Plan'!AG44+'BK Plan'!AG44+'BW Plan'!AG44+'CED Plan'!AG44+'HAB Plan'!AG44+'HB Plan'!AG44+'OD Plan'!AG44+'HDN Plan'!AG44+'KIN Plan'!AG44+'LE Plan'!AG44+'MER Plan'!AG44+'NDN Plan'!AG44+'SALT Plan'!AG44+'SDN Plan'!AG44+'SST Plan'!AG44+'WH Plan'!AG44+'FH Plan'!AG44</f>
        <v/>
      </c>
      <c r="AH44" s="35">
        <f>'ABA Plan'!AH44+'BK Plan'!AH44+'BW Plan'!AH44+'CED Plan'!AH44+'HAB Plan'!AH44+'HB Plan'!AH44+'OD Plan'!AH44+'HDN Plan'!AH44+'KIN Plan'!AH44+'LE Plan'!AH44+'MER Plan'!AH44+'NDN Plan'!AH44+'SALT Plan'!AH44+'SDN Plan'!AH44+'SST Plan'!AH44+'WH Plan'!AH44+'FH Plan'!AH44</f>
        <v/>
      </c>
      <c r="AI44" s="35">
        <f>'ABA Plan'!AI44+'BK Plan'!AI44+'BW Plan'!AI44+'CED Plan'!AI44+'HAB Plan'!AI44+'HB Plan'!AI44+'OD Plan'!AI44+'HDN Plan'!AI44+'KIN Plan'!AI44+'LE Plan'!AI44+'MER Plan'!AI44+'NDN Plan'!AI44+'SALT Plan'!AI44+'SDN Plan'!AI44+'SST Plan'!AI44+'WH Plan'!AI44+'FH Plan'!AI44</f>
        <v/>
      </c>
      <c r="AJ44" s="35">
        <f>'ABA Plan'!AJ44+'BK Plan'!AJ44+'BW Plan'!AJ44+'CED Plan'!AJ44+'HAB Plan'!AJ44+'HB Plan'!AJ44+'OD Plan'!AJ44+'HDN Plan'!AJ44+'KIN Plan'!AJ44+'LE Plan'!AJ44+'MER Plan'!AJ44+'NDN Plan'!AJ44+'SALT Plan'!AJ44+'SDN Plan'!AJ44+'SST Plan'!AJ44+'WH Plan'!AJ44+'FH Plan'!AJ44</f>
        <v/>
      </c>
      <c r="AK44" s="11">
        <f>IF(N44&lt;&gt;0,(AB44-N44)/ABS(N44),0)</f>
        <v/>
      </c>
      <c r="AL44" s="11">
        <f>IF(AB44&lt;&gt;0,(AJ44-AB44)/ABS(AB44),0)</f>
        <v/>
      </c>
    </row>
    <row r="45" ht="5" customHeight="1"/>
    <row r="46" ht="15" customHeight="1">
      <c r="A46" s="30" t="inlineStr">
        <is>
          <t>CONTRIBUTION</t>
        </is>
      </c>
      <c r="B46" s="31">
        <f>('ABA Plan'!B7+'BK Plan'!B7+'BW Plan'!B7+'CED Plan'!B7+'HAB Plan'!B7+'HB Plan'!B7+'OD Plan'!B7+'HDN Plan'!B7+'KIN Plan'!B7+'LE Plan'!B7+'MER Plan'!B7+'NDN Plan'!B7+'SALT Plan'!B7+'SDN Plan'!B7+'SST Plan'!B7+'WH Plan'!B7+'FH Plan'!B7)-('ABA Plan'!B44+'BK Plan'!B44+'BW Plan'!B44+'CED Plan'!B44+'HAB Plan'!B44+'HB Plan'!B44+'OD Plan'!B44+'HDN Plan'!B44+'KIN Plan'!B44+'LE Plan'!B44+'MER Plan'!B44+'NDN Plan'!B44+'SALT Plan'!B44+'SDN Plan'!B44+'SST Plan'!B44+'WH Plan'!B44+'FH Plan'!B44)</f>
        <v/>
      </c>
      <c r="C46" s="31">
        <f>('ABA Plan'!C7+'BK Plan'!C7+'BW Plan'!C7+'CED Plan'!C7+'HAB Plan'!C7+'HB Plan'!C7+'OD Plan'!C7+'HDN Plan'!C7+'KIN Plan'!C7+'LE Plan'!C7+'MER Plan'!C7+'NDN Plan'!C7+'SALT Plan'!C7+'SDN Plan'!C7+'SST Plan'!C7+'WH Plan'!C7+'FH Plan'!C7)-('ABA Plan'!C44+'BK Plan'!C44+'BW Plan'!C44+'CED Plan'!C44+'HAB Plan'!C44+'HB Plan'!C44+'OD Plan'!C44+'HDN Plan'!C44+'KIN Plan'!C44+'LE Plan'!C44+'MER Plan'!C44+'NDN Plan'!C44+'SALT Plan'!C44+'SDN Plan'!C44+'SST Plan'!C44+'WH Plan'!C44+'FH Plan'!C44)</f>
        <v/>
      </c>
      <c r="D46" s="31">
        <f>('ABA Plan'!D7+'BK Plan'!D7+'BW Plan'!D7+'CED Plan'!D7+'HAB Plan'!D7+'HB Plan'!D7+'OD Plan'!D7+'HDN Plan'!D7+'KIN Plan'!D7+'LE Plan'!D7+'MER Plan'!D7+'NDN Plan'!D7+'SALT Plan'!D7+'SDN Plan'!D7+'SST Plan'!D7+'WH Plan'!D7+'FH Plan'!D7)-('ABA Plan'!D44+'BK Plan'!D44+'BW Plan'!D44+'CED Plan'!D44+'HAB Plan'!D44+'HB Plan'!D44+'OD Plan'!D44+'HDN Plan'!D44+'KIN Plan'!D44+'LE Plan'!D44+'MER Plan'!D44+'NDN Plan'!D44+'SALT Plan'!D44+'SDN Plan'!D44+'SST Plan'!D44+'WH Plan'!D44+'FH Plan'!D44)</f>
        <v/>
      </c>
      <c r="E46" s="31">
        <f>('ABA Plan'!E7+'BK Plan'!E7+'BW Plan'!E7+'CED Plan'!E7+'HAB Plan'!E7+'HB Plan'!E7+'OD Plan'!E7+'HDN Plan'!E7+'KIN Plan'!E7+'LE Plan'!E7+'MER Plan'!E7+'NDN Plan'!E7+'SALT Plan'!E7+'SDN Plan'!E7+'SST Plan'!E7+'WH Plan'!E7+'FH Plan'!E7)-('ABA Plan'!E44+'BK Plan'!E44+'BW Plan'!E44+'CED Plan'!E44+'HAB Plan'!E44+'HB Plan'!E44+'OD Plan'!E44+'HDN Plan'!E44+'KIN Plan'!E44+'LE Plan'!E44+'MER Plan'!E44+'NDN Plan'!E44+'SALT Plan'!E44+'SDN Plan'!E44+'SST Plan'!E44+'WH Plan'!E44+'FH Plan'!E44)</f>
        <v/>
      </c>
      <c r="F46" s="31">
        <f>('ABA Plan'!F7+'BK Plan'!F7+'BW Plan'!F7+'CED Plan'!F7+'HAB Plan'!F7+'HB Plan'!F7+'OD Plan'!F7+'HDN Plan'!F7+'KIN Plan'!F7+'LE Plan'!F7+'MER Plan'!F7+'NDN Plan'!F7+'SALT Plan'!F7+'SDN Plan'!F7+'SST Plan'!F7+'WH Plan'!F7+'FH Plan'!F7)-('ABA Plan'!F44+'BK Plan'!F44+'BW Plan'!F44+'CED Plan'!F44+'HAB Plan'!F44+'HB Plan'!F44+'OD Plan'!F44+'HDN Plan'!F44+'KIN Plan'!F44+'LE Plan'!F44+'MER Plan'!F44+'NDN Plan'!F44+'SALT Plan'!F44+'SDN Plan'!F44+'SST Plan'!F44+'WH Plan'!F44+'FH Plan'!F44)</f>
        <v/>
      </c>
      <c r="G46" s="31">
        <f>('ABA Plan'!G7+'BK Plan'!G7+'BW Plan'!G7+'CED Plan'!G7+'HAB Plan'!G7+'HB Plan'!G7+'OD Plan'!G7+'HDN Plan'!G7+'KIN Plan'!G7+'LE Plan'!G7+'MER Plan'!G7+'NDN Plan'!G7+'SALT Plan'!G7+'SDN Plan'!G7+'SST Plan'!G7+'WH Plan'!G7+'FH Plan'!G7)-('ABA Plan'!G44+'BK Plan'!G44+'BW Plan'!G44+'CED Plan'!G44+'HAB Plan'!G44+'HB Plan'!G44+'OD Plan'!G44+'HDN Plan'!G44+'KIN Plan'!G44+'LE Plan'!G44+'MER Plan'!G44+'NDN Plan'!G44+'SALT Plan'!G44+'SDN Plan'!G44+'SST Plan'!G44+'WH Plan'!G44+'FH Plan'!G44)</f>
        <v/>
      </c>
      <c r="H46" s="31">
        <f>('ABA Plan'!H7+'BK Plan'!H7+'BW Plan'!H7+'CED Plan'!H7+'HAB Plan'!H7+'HB Plan'!H7+'OD Plan'!H7+'HDN Plan'!H7+'KIN Plan'!H7+'LE Plan'!H7+'MER Plan'!H7+'NDN Plan'!H7+'SALT Plan'!H7+'SDN Plan'!H7+'SST Plan'!H7+'WH Plan'!H7+'FH Plan'!H7)-('ABA Plan'!H44+'BK Plan'!H44+'BW Plan'!H44+'CED Plan'!H44+'HAB Plan'!H44+'HB Plan'!H44+'OD Plan'!H44+'HDN Plan'!H44+'KIN Plan'!H44+'LE Plan'!H44+'MER Plan'!H44+'NDN Plan'!H44+'SALT Plan'!H44+'SDN Plan'!H44+'SST Plan'!H44+'WH Plan'!H44+'FH Plan'!H44)</f>
        <v/>
      </c>
      <c r="I46" s="31">
        <f>('ABA Plan'!I7+'BK Plan'!I7+'BW Plan'!I7+'CED Plan'!I7+'HAB Plan'!I7+'HB Plan'!I7+'OD Plan'!I7+'HDN Plan'!I7+'KIN Plan'!I7+'LE Plan'!I7+'MER Plan'!I7+'NDN Plan'!I7+'SALT Plan'!I7+'SDN Plan'!I7+'SST Plan'!I7+'WH Plan'!I7+'FH Plan'!I7)-('ABA Plan'!I44+'BK Plan'!I44+'BW Plan'!I44+'CED Plan'!I44+'HAB Plan'!I44+'HB Plan'!I44+'OD Plan'!I44+'HDN Plan'!I44+'KIN Plan'!I44+'LE Plan'!I44+'MER Plan'!I44+'NDN Plan'!I44+'SALT Plan'!I44+'SDN Plan'!I44+'SST Plan'!I44+'WH Plan'!I44+'FH Plan'!I44)</f>
        <v/>
      </c>
      <c r="J46" s="31">
        <f>('ABA Plan'!J7+'BK Plan'!J7+'BW Plan'!J7+'CED Plan'!J7+'HAB Plan'!J7+'HB Plan'!J7+'OD Plan'!J7+'HDN Plan'!J7+'KIN Plan'!J7+'LE Plan'!J7+'MER Plan'!J7+'NDN Plan'!J7+'SALT Plan'!J7+'SDN Plan'!J7+'SST Plan'!J7+'WH Plan'!J7+'FH Plan'!J7)-('ABA Plan'!J44+'BK Plan'!J44+'BW Plan'!J44+'CED Plan'!J44+'HAB Plan'!J44+'HB Plan'!J44+'OD Plan'!J44+'HDN Plan'!J44+'KIN Plan'!J44+'LE Plan'!J44+'MER Plan'!J44+'NDN Plan'!J44+'SALT Plan'!J44+'SDN Plan'!J44+'SST Plan'!J44+'WH Plan'!J44+'FH Plan'!J44)</f>
        <v/>
      </c>
      <c r="K46" s="31">
        <f>('ABA Plan'!K7+'BK Plan'!K7+'BW Plan'!K7+'CED Plan'!K7+'HAB Plan'!K7+'HB Plan'!K7+'OD Plan'!K7+'HDN Plan'!K7+'KIN Plan'!K7+'LE Plan'!K7+'MER Plan'!K7+'NDN Plan'!K7+'SALT Plan'!K7+'SDN Plan'!K7+'SST Plan'!K7+'WH Plan'!K7+'FH Plan'!K7)-('ABA Plan'!K44+'BK Plan'!K44+'BW Plan'!K44+'CED Plan'!K44+'HAB Plan'!K44+'HB Plan'!K44+'OD Plan'!K44+'HDN Plan'!K44+'KIN Plan'!K44+'LE Plan'!K44+'MER Plan'!K44+'NDN Plan'!K44+'SALT Plan'!K44+'SDN Plan'!K44+'SST Plan'!K44+'WH Plan'!K44+'FH Plan'!K44)</f>
        <v/>
      </c>
      <c r="L46" s="31">
        <f>('ABA Plan'!L7+'BK Plan'!L7+'BW Plan'!L7+'CED Plan'!L7+'HAB Plan'!L7+'HB Plan'!L7+'OD Plan'!L7+'HDN Plan'!L7+'KIN Plan'!L7+'LE Plan'!L7+'MER Plan'!L7+'NDN Plan'!L7+'SALT Plan'!L7+'SDN Plan'!L7+'SST Plan'!L7+'WH Plan'!L7+'FH Plan'!L7)-('ABA Plan'!L44+'BK Plan'!L44+'BW Plan'!L44+'CED Plan'!L44+'HAB Plan'!L44+'HB Plan'!L44+'OD Plan'!L44+'HDN Plan'!L44+'KIN Plan'!L44+'LE Plan'!L44+'MER Plan'!L44+'NDN Plan'!L44+'SALT Plan'!L44+'SDN Plan'!L44+'SST Plan'!L44+'WH Plan'!L44+'FH Plan'!L44)</f>
        <v/>
      </c>
      <c r="M46" s="31">
        <f>('ABA Plan'!M7+'BK Plan'!M7+'BW Plan'!M7+'CED Plan'!M7+'HAB Plan'!M7+'HB Plan'!M7+'OD Plan'!M7+'HDN Plan'!M7+'KIN Plan'!M7+'LE Plan'!M7+'MER Plan'!M7+'NDN Plan'!M7+'SALT Plan'!M7+'SDN Plan'!M7+'SST Plan'!M7+'WH Plan'!M7+'FH Plan'!M7)-('ABA Plan'!M44+'BK Plan'!M44+'BW Plan'!M44+'CED Plan'!M44+'HAB Plan'!M44+'HB Plan'!M44+'OD Plan'!M44+'HDN Plan'!M44+'KIN Plan'!M44+'LE Plan'!M44+'MER Plan'!M44+'NDN Plan'!M44+'SALT Plan'!M44+'SDN Plan'!M44+'SST Plan'!M44+'WH Plan'!M44+'FH Plan'!M44)</f>
        <v/>
      </c>
      <c r="N46" s="31">
        <f>('ABA Plan'!N7+'BK Plan'!N7+'BW Plan'!N7+'CED Plan'!N7+'HAB Plan'!N7+'HB Plan'!N7+'OD Plan'!N7+'HDN Plan'!N7+'KIN Plan'!N7+'LE Plan'!N7+'MER Plan'!N7+'NDN Plan'!N7+'SALT Plan'!N7+'SDN Plan'!N7+'SST Plan'!N7+'WH Plan'!N7+'FH Plan'!N7)-('ABA Plan'!N44+'BK Plan'!N44+'BW Plan'!N44+'CED Plan'!N44+'HAB Plan'!N44+'HB Plan'!N44+'OD Plan'!N44+'HDN Plan'!N44+'KIN Plan'!N44+'LE Plan'!N44+'MER Plan'!N44+'NDN Plan'!N44+'SALT Plan'!N44+'SDN Plan'!N44+'SST Plan'!N44+'WH Plan'!N44+'FH Plan'!N44)</f>
        <v/>
      </c>
      <c r="O46" s="31">
        <f>('ABA Plan'!O7+'BK Plan'!O7+'BW Plan'!O7+'CED Plan'!O7+'HAB Plan'!O7+'HB Plan'!O7+'OD Plan'!O7+'HDN Plan'!O7+'KIN Plan'!O7+'LE Plan'!O7+'MER Plan'!O7+'NDN Plan'!O7+'SALT Plan'!O7+'SDN Plan'!O7+'SST Plan'!O7+'WH Plan'!O7+'FH Plan'!O7)-('ABA Plan'!O44+'BK Plan'!O44+'BW Plan'!O44+'CED Plan'!O44+'HAB Plan'!O44+'HB Plan'!O44+'OD Plan'!O44+'HDN Plan'!O44+'KIN Plan'!O44+'LE Plan'!O44+'MER Plan'!O44+'NDN Plan'!O44+'SALT Plan'!O44+'SDN Plan'!O44+'SST Plan'!O44+'WH Plan'!O44+'FH Plan'!O44)</f>
        <v/>
      </c>
      <c r="P46" s="31">
        <f>('ABA Plan'!P7+'BK Plan'!P7+'BW Plan'!P7+'CED Plan'!P7+'HAB Plan'!P7+'HB Plan'!P7+'OD Plan'!P7+'HDN Plan'!P7+'KIN Plan'!P7+'LE Plan'!P7+'MER Plan'!P7+'NDN Plan'!P7+'SALT Plan'!P7+'SDN Plan'!P7+'SST Plan'!P7+'WH Plan'!P7+'FH Plan'!P7)-('ABA Plan'!P44+'BK Plan'!P44+'BW Plan'!P44+'CED Plan'!P44+'HAB Plan'!P44+'HB Plan'!P44+'OD Plan'!P44+'HDN Plan'!P44+'KIN Plan'!P44+'LE Plan'!P44+'MER Plan'!P44+'NDN Plan'!P44+'SALT Plan'!P44+'SDN Plan'!P44+'SST Plan'!P44+'WH Plan'!P44+'FH Plan'!P44)</f>
        <v/>
      </c>
      <c r="Q46" s="31">
        <f>('ABA Plan'!Q7+'BK Plan'!Q7+'BW Plan'!Q7+'CED Plan'!Q7+'HAB Plan'!Q7+'HB Plan'!Q7+'OD Plan'!Q7+'HDN Plan'!Q7+'KIN Plan'!Q7+'LE Plan'!Q7+'MER Plan'!Q7+'NDN Plan'!Q7+'SALT Plan'!Q7+'SDN Plan'!Q7+'SST Plan'!Q7+'WH Plan'!Q7+'FH Plan'!Q7)-('ABA Plan'!Q44+'BK Plan'!Q44+'BW Plan'!Q44+'CED Plan'!Q44+'HAB Plan'!Q44+'HB Plan'!Q44+'OD Plan'!Q44+'HDN Plan'!Q44+'KIN Plan'!Q44+'LE Plan'!Q44+'MER Plan'!Q44+'NDN Plan'!Q44+'SALT Plan'!Q44+'SDN Plan'!Q44+'SST Plan'!Q44+'WH Plan'!Q44+'FH Plan'!Q44)</f>
        <v/>
      </c>
      <c r="R46" s="31">
        <f>('ABA Plan'!R7+'BK Plan'!R7+'BW Plan'!R7+'CED Plan'!R7+'HAB Plan'!R7+'HB Plan'!R7+'OD Plan'!R7+'HDN Plan'!R7+'KIN Plan'!R7+'LE Plan'!R7+'MER Plan'!R7+'NDN Plan'!R7+'SALT Plan'!R7+'SDN Plan'!R7+'SST Plan'!R7+'WH Plan'!R7+'FH Plan'!R7)-('ABA Plan'!R44+'BK Plan'!R44+'BW Plan'!R44+'CED Plan'!R44+'HAB Plan'!R44+'HB Plan'!R44+'OD Plan'!R44+'HDN Plan'!R44+'KIN Plan'!R44+'LE Plan'!R44+'MER Plan'!R44+'NDN Plan'!R44+'SALT Plan'!R44+'SDN Plan'!R44+'SST Plan'!R44+'WH Plan'!R44+'FH Plan'!R44)</f>
        <v/>
      </c>
      <c r="S46" s="31">
        <f>('ABA Plan'!S7+'BK Plan'!S7+'BW Plan'!S7+'CED Plan'!S7+'HAB Plan'!S7+'HB Plan'!S7+'OD Plan'!S7+'HDN Plan'!S7+'KIN Plan'!S7+'LE Plan'!S7+'MER Plan'!S7+'NDN Plan'!S7+'SALT Plan'!S7+'SDN Plan'!S7+'SST Plan'!S7+'WH Plan'!S7+'FH Plan'!S7)-('ABA Plan'!S44+'BK Plan'!S44+'BW Plan'!S44+'CED Plan'!S44+'HAB Plan'!S44+'HB Plan'!S44+'OD Plan'!S44+'HDN Plan'!S44+'KIN Plan'!S44+'LE Plan'!S44+'MER Plan'!S44+'NDN Plan'!S44+'SALT Plan'!S44+'SDN Plan'!S44+'SST Plan'!S44+'WH Plan'!S44+'FH Plan'!S44)</f>
        <v/>
      </c>
      <c r="T46" s="31">
        <f>('ABA Plan'!T7+'BK Plan'!T7+'BW Plan'!T7+'CED Plan'!T7+'HAB Plan'!T7+'HB Plan'!T7+'OD Plan'!T7+'HDN Plan'!T7+'KIN Plan'!T7+'LE Plan'!T7+'MER Plan'!T7+'NDN Plan'!T7+'SALT Plan'!T7+'SDN Plan'!T7+'SST Plan'!T7+'WH Plan'!T7+'FH Plan'!T7)-('ABA Plan'!T44+'BK Plan'!T44+'BW Plan'!T44+'CED Plan'!T44+'HAB Plan'!T44+'HB Plan'!T44+'OD Plan'!T44+'HDN Plan'!T44+'KIN Plan'!T44+'LE Plan'!T44+'MER Plan'!T44+'NDN Plan'!T44+'SALT Plan'!T44+'SDN Plan'!T44+'SST Plan'!T44+'WH Plan'!T44+'FH Plan'!T44)</f>
        <v/>
      </c>
      <c r="U46" s="31">
        <f>('ABA Plan'!U7+'BK Plan'!U7+'BW Plan'!U7+'CED Plan'!U7+'HAB Plan'!U7+'HB Plan'!U7+'OD Plan'!U7+'HDN Plan'!U7+'KIN Plan'!U7+'LE Plan'!U7+'MER Plan'!U7+'NDN Plan'!U7+'SALT Plan'!U7+'SDN Plan'!U7+'SST Plan'!U7+'WH Plan'!U7+'FH Plan'!U7)-('ABA Plan'!U44+'BK Plan'!U44+'BW Plan'!U44+'CED Plan'!U44+'HAB Plan'!U44+'HB Plan'!U44+'OD Plan'!U44+'HDN Plan'!U44+'KIN Plan'!U44+'LE Plan'!U44+'MER Plan'!U44+'NDN Plan'!U44+'SALT Plan'!U44+'SDN Plan'!U44+'SST Plan'!U44+'WH Plan'!U44+'FH Plan'!U44)</f>
        <v/>
      </c>
      <c r="V46" s="31">
        <f>('ABA Plan'!V7+'BK Plan'!V7+'BW Plan'!V7+'CED Plan'!V7+'HAB Plan'!V7+'HB Plan'!V7+'OD Plan'!V7+'HDN Plan'!V7+'KIN Plan'!V7+'LE Plan'!V7+'MER Plan'!V7+'NDN Plan'!V7+'SALT Plan'!V7+'SDN Plan'!V7+'SST Plan'!V7+'WH Plan'!V7+'FH Plan'!V7)-('ABA Plan'!V44+'BK Plan'!V44+'BW Plan'!V44+'CED Plan'!V44+'HAB Plan'!V44+'HB Plan'!V44+'OD Plan'!V44+'HDN Plan'!V44+'KIN Plan'!V44+'LE Plan'!V44+'MER Plan'!V44+'NDN Plan'!V44+'SALT Plan'!V44+'SDN Plan'!V44+'SST Plan'!V44+'WH Plan'!V44+'FH Plan'!V44)</f>
        <v/>
      </c>
      <c r="W46" s="31">
        <f>('ABA Plan'!W7+'BK Plan'!W7+'BW Plan'!W7+'CED Plan'!W7+'HAB Plan'!W7+'HB Plan'!W7+'OD Plan'!W7+'HDN Plan'!W7+'KIN Plan'!W7+'LE Plan'!W7+'MER Plan'!W7+'NDN Plan'!W7+'SALT Plan'!W7+'SDN Plan'!W7+'SST Plan'!W7+'WH Plan'!W7+'FH Plan'!W7)-('ABA Plan'!W44+'BK Plan'!W44+'BW Plan'!W44+'CED Plan'!W44+'HAB Plan'!W44+'HB Plan'!W44+'OD Plan'!W44+'HDN Plan'!W44+'KIN Plan'!W44+'LE Plan'!W44+'MER Plan'!W44+'NDN Plan'!W44+'SALT Plan'!W44+'SDN Plan'!W44+'SST Plan'!W44+'WH Plan'!W44+'FH Plan'!W44)</f>
        <v/>
      </c>
      <c r="X46" s="31">
        <f>('ABA Plan'!X7+'BK Plan'!X7+'BW Plan'!X7+'CED Plan'!X7+'HAB Plan'!X7+'HB Plan'!X7+'OD Plan'!X7+'HDN Plan'!X7+'KIN Plan'!X7+'LE Plan'!X7+'MER Plan'!X7+'NDN Plan'!X7+'SALT Plan'!X7+'SDN Plan'!X7+'SST Plan'!X7+'WH Plan'!X7+'FH Plan'!X7)-('ABA Plan'!X44+'BK Plan'!X44+'BW Plan'!X44+'CED Plan'!X44+'HAB Plan'!X44+'HB Plan'!X44+'OD Plan'!X44+'HDN Plan'!X44+'KIN Plan'!X44+'LE Plan'!X44+'MER Plan'!X44+'NDN Plan'!X44+'SALT Plan'!X44+'SDN Plan'!X44+'SST Plan'!X44+'WH Plan'!X44+'FH Plan'!X44)</f>
        <v/>
      </c>
      <c r="Y46" s="31">
        <f>('ABA Plan'!Y7+'BK Plan'!Y7+'BW Plan'!Y7+'CED Plan'!Y7+'HAB Plan'!Y7+'HB Plan'!Y7+'OD Plan'!Y7+'HDN Plan'!Y7+'KIN Plan'!Y7+'LE Plan'!Y7+'MER Plan'!Y7+'NDN Plan'!Y7+'SALT Plan'!Y7+'SDN Plan'!Y7+'SST Plan'!Y7+'WH Plan'!Y7+'FH Plan'!Y7)-('ABA Plan'!Y44+'BK Plan'!Y44+'BW Plan'!Y44+'CED Plan'!Y44+'HAB Plan'!Y44+'HB Plan'!Y44+'OD Plan'!Y44+'HDN Plan'!Y44+'KIN Plan'!Y44+'LE Plan'!Y44+'MER Plan'!Y44+'NDN Plan'!Y44+'SALT Plan'!Y44+'SDN Plan'!Y44+'SST Plan'!Y44+'WH Plan'!Y44+'FH Plan'!Y44)</f>
        <v/>
      </c>
      <c r="Z46" s="31">
        <f>('ABA Plan'!Z7+'BK Plan'!Z7+'BW Plan'!Z7+'CED Plan'!Z7+'HAB Plan'!Z7+'HB Plan'!Z7+'OD Plan'!Z7+'HDN Plan'!Z7+'KIN Plan'!Z7+'LE Plan'!Z7+'MER Plan'!Z7+'NDN Plan'!Z7+'SALT Plan'!Z7+'SDN Plan'!Z7+'SST Plan'!Z7+'WH Plan'!Z7+'FH Plan'!Z7)-('ABA Plan'!Z44+'BK Plan'!Z44+'BW Plan'!Z44+'CED Plan'!Z44+'HAB Plan'!Z44+'HB Plan'!Z44+'OD Plan'!Z44+'HDN Plan'!Z44+'KIN Plan'!Z44+'LE Plan'!Z44+'MER Plan'!Z44+'NDN Plan'!Z44+'SALT Plan'!Z44+'SDN Plan'!Z44+'SST Plan'!Z44+'WH Plan'!Z44+'FH Plan'!Z44)</f>
        <v/>
      </c>
      <c r="AA46" s="31">
        <f>('ABA Plan'!AA7+'BK Plan'!AA7+'BW Plan'!AA7+'CED Plan'!AA7+'HAB Plan'!AA7+'HB Plan'!AA7+'OD Plan'!AA7+'HDN Plan'!AA7+'KIN Plan'!AA7+'LE Plan'!AA7+'MER Plan'!AA7+'NDN Plan'!AA7+'SALT Plan'!AA7+'SDN Plan'!AA7+'SST Plan'!AA7+'WH Plan'!AA7+'FH Plan'!AA7)-('ABA Plan'!AA44+'BK Plan'!AA44+'BW Plan'!AA44+'CED Plan'!AA44+'HAB Plan'!AA44+'HB Plan'!AA44+'OD Plan'!AA44+'HDN Plan'!AA44+'KIN Plan'!AA44+'LE Plan'!AA44+'MER Plan'!AA44+'NDN Plan'!AA44+'SALT Plan'!AA44+'SDN Plan'!AA44+'SST Plan'!AA44+'WH Plan'!AA44+'FH Plan'!AA44)</f>
        <v/>
      </c>
      <c r="AB46" s="31">
        <f>('ABA Plan'!AB7+'BK Plan'!AB7+'BW Plan'!AB7+'CED Plan'!AB7+'HAB Plan'!AB7+'HB Plan'!AB7+'OD Plan'!AB7+'HDN Plan'!AB7+'KIN Plan'!AB7+'LE Plan'!AB7+'MER Plan'!AB7+'NDN Plan'!AB7+'SALT Plan'!AB7+'SDN Plan'!AB7+'SST Plan'!AB7+'WH Plan'!AB7+'FH Plan'!AB7)-('ABA Plan'!AB44+'BK Plan'!AB44+'BW Plan'!AB44+'CED Plan'!AB44+'HAB Plan'!AB44+'HB Plan'!AB44+'OD Plan'!AB44+'HDN Plan'!AB44+'KIN Plan'!AB44+'LE Plan'!AB44+'MER Plan'!AB44+'NDN Plan'!AB44+'SALT Plan'!AB44+'SDN Plan'!AB44+'SST Plan'!AB44+'WH Plan'!AB44+'FH Plan'!AB44)</f>
        <v/>
      </c>
      <c r="AC46" s="31">
        <f>('ABA Plan'!AC7+'BK Plan'!AC7+'BW Plan'!AC7+'CED Plan'!AC7+'HAB Plan'!AC7+'HB Plan'!AC7+'OD Plan'!AC7+'HDN Plan'!AC7+'KIN Plan'!AC7+'LE Plan'!AC7+'MER Plan'!AC7+'NDN Plan'!AC7+'SALT Plan'!AC7+'SDN Plan'!AC7+'SST Plan'!AC7+'WH Plan'!AC7+'FH Plan'!AC7)-('ABA Plan'!AC44+'BK Plan'!AC44+'BW Plan'!AC44+'CED Plan'!AC44+'HAB Plan'!AC44+'HB Plan'!AC44+'OD Plan'!AC44+'HDN Plan'!AC44+'KIN Plan'!AC44+'LE Plan'!AC44+'MER Plan'!AC44+'NDN Plan'!AC44+'SALT Plan'!AC44+'SDN Plan'!AC44+'SST Plan'!AC44+'WH Plan'!AC44+'FH Plan'!AC44)</f>
        <v/>
      </c>
      <c r="AD46" s="31">
        <f>('ABA Plan'!AD7+'BK Plan'!AD7+'BW Plan'!AD7+'CED Plan'!AD7+'HAB Plan'!AD7+'HB Plan'!AD7+'OD Plan'!AD7+'HDN Plan'!AD7+'KIN Plan'!AD7+'LE Plan'!AD7+'MER Plan'!AD7+'NDN Plan'!AD7+'SALT Plan'!AD7+'SDN Plan'!AD7+'SST Plan'!AD7+'WH Plan'!AD7+'FH Plan'!AD7)-('ABA Plan'!AD44+'BK Plan'!AD44+'BW Plan'!AD44+'CED Plan'!AD44+'HAB Plan'!AD44+'HB Plan'!AD44+'OD Plan'!AD44+'HDN Plan'!AD44+'KIN Plan'!AD44+'LE Plan'!AD44+'MER Plan'!AD44+'NDN Plan'!AD44+'SALT Plan'!AD44+'SDN Plan'!AD44+'SST Plan'!AD44+'WH Plan'!AD44+'FH Plan'!AD44)</f>
        <v/>
      </c>
      <c r="AE46" s="31">
        <f>('ABA Plan'!AE7+'BK Plan'!AE7+'BW Plan'!AE7+'CED Plan'!AE7+'HAB Plan'!AE7+'HB Plan'!AE7+'OD Plan'!AE7+'HDN Plan'!AE7+'KIN Plan'!AE7+'LE Plan'!AE7+'MER Plan'!AE7+'NDN Plan'!AE7+'SALT Plan'!AE7+'SDN Plan'!AE7+'SST Plan'!AE7+'WH Plan'!AE7+'FH Plan'!AE7)-('ABA Plan'!AE44+'BK Plan'!AE44+'BW Plan'!AE44+'CED Plan'!AE44+'HAB Plan'!AE44+'HB Plan'!AE44+'OD Plan'!AE44+'HDN Plan'!AE44+'KIN Plan'!AE44+'LE Plan'!AE44+'MER Plan'!AE44+'NDN Plan'!AE44+'SALT Plan'!AE44+'SDN Plan'!AE44+'SST Plan'!AE44+'WH Plan'!AE44+'FH Plan'!AE44)</f>
        <v/>
      </c>
      <c r="AF46" s="31">
        <f>('ABA Plan'!AF7+'BK Plan'!AF7+'BW Plan'!AF7+'CED Plan'!AF7+'HAB Plan'!AF7+'HB Plan'!AF7+'OD Plan'!AF7+'HDN Plan'!AF7+'KIN Plan'!AF7+'LE Plan'!AF7+'MER Plan'!AF7+'NDN Plan'!AF7+'SALT Plan'!AF7+'SDN Plan'!AF7+'SST Plan'!AF7+'WH Plan'!AF7+'FH Plan'!AF7)-('ABA Plan'!AF44+'BK Plan'!AF44+'BW Plan'!AF44+'CED Plan'!AF44+'HAB Plan'!AF44+'HB Plan'!AF44+'OD Plan'!AF44+'HDN Plan'!AF44+'KIN Plan'!AF44+'LE Plan'!AF44+'MER Plan'!AF44+'NDN Plan'!AF44+'SALT Plan'!AF44+'SDN Plan'!AF44+'SST Plan'!AF44+'WH Plan'!AF44+'FH Plan'!AF44)</f>
        <v/>
      </c>
      <c r="AG46" s="31">
        <f>('ABA Plan'!AG7+'BK Plan'!AG7+'BW Plan'!AG7+'CED Plan'!AG7+'HAB Plan'!AG7+'HB Plan'!AG7+'OD Plan'!AG7+'HDN Plan'!AG7+'KIN Plan'!AG7+'LE Plan'!AG7+'MER Plan'!AG7+'NDN Plan'!AG7+'SALT Plan'!AG7+'SDN Plan'!AG7+'SST Plan'!AG7+'WH Plan'!AG7+'FH Plan'!AG7)-('ABA Plan'!AG44+'BK Plan'!AG44+'BW Plan'!AG44+'CED Plan'!AG44+'HAB Plan'!AG44+'HB Plan'!AG44+'OD Plan'!AG44+'HDN Plan'!AG44+'KIN Plan'!AG44+'LE Plan'!AG44+'MER Plan'!AG44+'NDN Plan'!AG44+'SALT Plan'!AG44+'SDN Plan'!AG44+'SST Plan'!AG44+'WH Plan'!AG44+'FH Plan'!AG44)</f>
        <v/>
      </c>
      <c r="AH46" s="31">
        <f>('ABA Plan'!AH7+'BK Plan'!AH7+'BW Plan'!AH7+'CED Plan'!AH7+'HAB Plan'!AH7+'HB Plan'!AH7+'OD Plan'!AH7+'HDN Plan'!AH7+'KIN Plan'!AH7+'LE Plan'!AH7+'MER Plan'!AH7+'NDN Plan'!AH7+'SALT Plan'!AH7+'SDN Plan'!AH7+'SST Plan'!AH7+'WH Plan'!AH7+'FH Plan'!AH7)-('ABA Plan'!AH44+'BK Plan'!AH44+'BW Plan'!AH44+'CED Plan'!AH44+'HAB Plan'!AH44+'HB Plan'!AH44+'OD Plan'!AH44+'HDN Plan'!AH44+'KIN Plan'!AH44+'LE Plan'!AH44+'MER Plan'!AH44+'NDN Plan'!AH44+'SALT Plan'!AH44+'SDN Plan'!AH44+'SST Plan'!AH44+'WH Plan'!AH44+'FH Plan'!AH44)</f>
        <v/>
      </c>
      <c r="AI46" s="31">
        <f>('ABA Plan'!AI7+'BK Plan'!AI7+'BW Plan'!AI7+'CED Plan'!AI7+'HAB Plan'!AI7+'HB Plan'!AI7+'OD Plan'!AI7+'HDN Plan'!AI7+'KIN Plan'!AI7+'LE Plan'!AI7+'MER Plan'!AI7+'NDN Plan'!AI7+'SALT Plan'!AI7+'SDN Plan'!AI7+'SST Plan'!AI7+'WH Plan'!AI7+'FH Plan'!AI7)-('ABA Plan'!AI44+'BK Plan'!AI44+'BW Plan'!AI44+'CED Plan'!AI44+'HAB Plan'!AI44+'HB Plan'!AI44+'OD Plan'!AI44+'HDN Plan'!AI44+'KIN Plan'!AI44+'LE Plan'!AI44+'MER Plan'!AI44+'NDN Plan'!AI44+'SALT Plan'!AI44+'SDN Plan'!AI44+'SST Plan'!AI44+'WH Plan'!AI44+'FH Plan'!AI44)</f>
        <v/>
      </c>
      <c r="AJ46" s="31">
        <f>('ABA Plan'!AJ7+'BK Plan'!AJ7+'BW Plan'!AJ7+'CED Plan'!AJ7+'HAB Plan'!AJ7+'HB Plan'!AJ7+'OD Plan'!AJ7+'HDN Plan'!AJ7+'KIN Plan'!AJ7+'LE Plan'!AJ7+'MER Plan'!AJ7+'NDN Plan'!AJ7+'SALT Plan'!AJ7+'SDN Plan'!AJ7+'SST Plan'!AJ7+'WH Plan'!AJ7+'FH Plan'!AJ7)-('ABA Plan'!AJ44+'BK Plan'!AJ44+'BW Plan'!AJ44+'CED Plan'!AJ44+'HAB Plan'!AJ44+'HB Plan'!AJ44+'OD Plan'!AJ44+'HDN Plan'!AJ44+'KIN Plan'!AJ44+'LE Plan'!AJ44+'MER Plan'!AJ44+'NDN Plan'!AJ44+'SALT Plan'!AJ44+'SDN Plan'!AJ44+'SST Plan'!AJ44+'WH Plan'!AJ44+'FH Plan'!AJ44)</f>
        <v/>
      </c>
      <c r="AK46" s="11">
        <f>IF(N46&lt;&gt;0,(AB46-N46)/ABS(N46),0)</f>
        <v/>
      </c>
      <c r="AL46" s="11">
        <f>IF(AB46&lt;&gt;0,(AJ46-AB46)/ABS(AB46),0)</f>
        <v/>
      </c>
    </row>
    <row r="47" ht="5" customHeight="1"/>
    <row r="48" ht="15" customHeight="1">
      <c r="A48" s="7" t="inlineStr">
        <is>
          <t>HEAD OFFICE OVERHEADS</t>
        </is>
      </c>
    </row>
    <row r="49" ht="13" customHeight="1">
      <c r="A49" s="15" t="inlineStr">
        <is>
          <t xml:space="preserve">    HO Salaries</t>
        </is>
      </c>
      <c r="B49" s="16" t="n">
        <v>82089.10000000001</v>
      </c>
      <c r="C49" s="16" t="n">
        <v>83145.28</v>
      </c>
      <c r="D49" s="16" t="n">
        <v>82791.22</v>
      </c>
      <c r="E49" s="16" t="n">
        <v>134235.96</v>
      </c>
      <c r="F49" s="16" t="n">
        <v>81426.45999999999</v>
      </c>
      <c r="G49" s="16" t="n">
        <v>97910.46000000001</v>
      </c>
      <c r="H49" s="16" t="n">
        <v>97978.69</v>
      </c>
      <c r="I49" s="16" t="n">
        <v>112374.73</v>
      </c>
      <c r="J49" s="16" t="n">
        <v>137394</v>
      </c>
      <c r="K49" s="16" t="n">
        <v>102166.94</v>
      </c>
      <c r="L49" s="16" t="n">
        <v>108279</v>
      </c>
      <c r="M49" s="16" t="n">
        <v>384692.96</v>
      </c>
      <c r="N49" s="16">
        <f>SUM(B49:M49)</f>
        <v/>
      </c>
      <c r="O49" s="16" t="n">
        <v>110561.6</v>
      </c>
      <c r="P49" s="16" t="n">
        <v>104194.85</v>
      </c>
      <c r="Q49" s="16" t="n">
        <v>122684.97</v>
      </c>
      <c r="R49" s="16" t="n">
        <v>172859.62</v>
      </c>
      <c r="S49" s="16" t="n">
        <v>117438.53</v>
      </c>
      <c r="T49" s="16" t="n">
        <v>116497.42</v>
      </c>
      <c r="U49" s="16" t="n">
        <v>117057.9</v>
      </c>
      <c r="V49" s="16" t="n">
        <v>117439</v>
      </c>
      <c r="W49" s="16" t="n">
        <v>117439</v>
      </c>
      <c r="X49" s="16" t="n">
        <v>117439</v>
      </c>
      <c r="Y49" s="16" t="n">
        <v>117439</v>
      </c>
      <c r="Z49" s="16" t="n">
        <v>398439</v>
      </c>
      <c r="AA49" s="16">
        <f>SUM(O49:U49)</f>
        <v/>
      </c>
      <c r="AB49" s="16">
        <f>SUM(O49:Z49)</f>
        <v/>
      </c>
      <c r="AC49" s="16" t="n">
        <v>117439</v>
      </c>
      <c r="AD49" s="16" t="n">
        <v>117439</v>
      </c>
      <c r="AE49" s="16" t="n">
        <v>117439</v>
      </c>
      <c r="AF49" s="16" t="n">
        <v>117439</v>
      </c>
      <c r="AG49" s="16" t="n">
        <v>117439</v>
      </c>
      <c r="AH49" s="16" t="n">
        <v>117439</v>
      </c>
      <c r="AI49" s="34" t="n">
        <v>704634</v>
      </c>
      <c r="AJ49" s="16">
        <f>SUM(AC49:AH49)+AI49</f>
        <v/>
      </c>
      <c r="AK49" s="11">
        <f>IF(N49&lt;&gt;0,(AB49-N49)/ABS(N49),0)</f>
        <v/>
      </c>
      <c r="AL49" s="11">
        <f>IF(AB49&lt;&gt;0,(AJ49-AB49)/ABS(AB49),0)</f>
        <v/>
      </c>
    </row>
    <row r="50" ht="13" customHeight="1">
      <c r="A50" s="15" t="inlineStr">
        <is>
          <t xml:space="preserve">    HO NI</t>
        </is>
      </c>
      <c r="B50" s="16" t="n">
        <v>9992.110000000001</v>
      </c>
      <c r="C50" s="16" t="n">
        <v>11326.84</v>
      </c>
      <c r="D50" s="16" t="n">
        <v>11325.06</v>
      </c>
      <c r="E50" s="16" t="n">
        <v>20699.56</v>
      </c>
      <c r="F50" s="16" t="n">
        <v>12797.69</v>
      </c>
      <c r="G50" s="16" t="n">
        <v>15261.34</v>
      </c>
      <c r="H50" s="16" t="n">
        <v>15170.04</v>
      </c>
      <c r="I50" s="16" t="n">
        <v>17278.08</v>
      </c>
      <c r="J50" s="16" t="n">
        <v>15614.88</v>
      </c>
      <c r="K50" s="16" t="n">
        <v>14827.88</v>
      </c>
      <c r="L50" s="16" t="n">
        <v>15458.86</v>
      </c>
      <c r="M50" s="16" t="n">
        <v>57020.84</v>
      </c>
      <c r="N50" s="16">
        <f>SUM(B50:M50)</f>
        <v/>
      </c>
      <c r="O50" s="16" t="n">
        <v>15829.25</v>
      </c>
      <c r="P50" s="16" t="n">
        <v>14890.45</v>
      </c>
      <c r="Q50" s="16" t="n">
        <v>17671.3</v>
      </c>
      <c r="R50" s="16" t="n">
        <v>25136.38</v>
      </c>
      <c r="S50" s="16" t="n">
        <v>16772.83</v>
      </c>
      <c r="T50" s="16" t="n">
        <v>16744.56</v>
      </c>
      <c r="U50" s="16" t="n">
        <v>16640.7</v>
      </c>
      <c r="V50" s="16" t="n">
        <v>16773</v>
      </c>
      <c r="W50" s="16" t="n">
        <v>16773</v>
      </c>
      <c r="X50" s="16" t="n">
        <v>16773</v>
      </c>
      <c r="Y50" s="16" t="n">
        <v>16773</v>
      </c>
      <c r="Z50" s="16" t="n">
        <v>16773</v>
      </c>
      <c r="AA50" s="16">
        <f>SUM(O50:U50)</f>
        <v/>
      </c>
      <c r="AB50" s="16">
        <f>SUM(O50:Z50)</f>
        <v/>
      </c>
      <c r="AC50" s="16" t="n">
        <v>16773</v>
      </c>
      <c r="AD50" s="16" t="n">
        <v>16773</v>
      </c>
      <c r="AE50" s="16" t="n">
        <v>16773</v>
      </c>
      <c r="AF50" s="16" t="n">
        <v>16773</v>
      </c>
      <c r="AG50" s="16" t="n">
        <v>16773</v>
      </c>
      <c r="AH50" s="16" t="n">
        <v>16773</v>
      </c>
      <c r="AI50" s="34" t="n">
        <v>100638</v>
      </c>
      <c r="AJ50" s="16">
        <f>SUM(AC50:AH50)+AI50</f>
        <v/>
      </c>
      <c r="AK50" s="11">
        <f>IF(N50&lt;&gt;0,(AB50-N50)/ABS(N50),0)</f>
        <v/>
      </c>
      <c r="AL50" s="11">
        <f>IF(AB50&lt;&gt;0,(AJ50-AB50)/ABS(AB50),0)</f>
        <v/>
      </c>
    </row>
    <row r="51" ht="13" customHeight="1">
      <c r="A51" s="15" t="inlineStr">
        <is>
          <t xml:space="preserve">    HO Pension</t>
        </is>
      </c>
      <c r="B51" s="16" t="n">
        <v>832.4000000000001</v>
      </c>
      <c r="C51" s="16" t="n">
        <v>886.37</v>
      </c>
      <c r="D51" s="16" t="n">
        <v>987.53</v>
      </c>
      <c r="E51" s="16" t="n">
        <v>1010.72</v>
      </c>
      <c r="F51" s="16" t="n">
        <v>917.11</v>
      </c>
      <c r="G51" s="16" t="n">
        <v>900.63</v>
      </c>
      <c r="H51" s="16" t="n">
        <v>1072.08</v>
      </c>
      <c r="I51" s="16" t="n">
        <v>989.58</v>
      </c>
      <c r="J51" s="16" t="n">
        <v>823.79</v>
      </c>
      <c r="K51" s="16" t="n">
        <v>958.6500000000001</v>
      </c>
      <c r="L51" s="16" t="n">
        <v>1038.97</v>
      </c>
      <c r="M51" s="16" t="n">
        <v>980.35</v>
      </c>
      <c r="N51" s="16">
        <f>SUM(B51:M51)</f>
        <v/>
      </c>
      <c r="O51" s="16" t="n">
        <v>1185.13</v>
      </c>
      <c r="P51" s="16" t="n">
        <v>1099.1</v>
      </c>
      <c r="Q51" s="16" t="n">
        <v>1911.99</v>
      </c>
      <c r="R51" s="16" t="n">
        <v>1982.45</v>
      </c>
      <c r="S51" s="16" t="n">
        <v>1897.62</v>
      </c>
      <c r="T51" s="16" t="n">
        <v>1896.13</v>
      </c>
      <c r="U51" s="16" t="n">
        <v>1156.53</v>
      </c>
      <c r="V51" s="16" t="n">
        <v>1897.62</v>
      </c>
      <c r="W51" s="16" t="n">
        <v>1897.62</v>
      </c>
      <c r="X51" s="16" t="n">
        <v>1897.62</v>
      </c>
      <c r="Y51" s="16" t="n">
        <v>1897.62</v>
      </c>
      <c r="Z51" s="16" t="n">
        <v>1897.62</v>
      </c>
      <c r="AA51" s="16">
        <f>SUM(O51:U51)</f>
        <v/>
      </c>
      <c r="AB51" s="16">
        <f>SUM(O51:Z51)</f>
        <v/>
      </c>
      <c r="AC51" s="16" t="n">
        <v>1897.62</v>
      </c>
      <c r="AD51" s="16" t="n">
        <v>1897.62</v>
      </c>
      <c r="AE51" s="16" t="n">
        <v>1897.62</v>
      </c>
      <c r="AF51" s="16" t="n">
        <v>1897.62</v>
      </c>
      <c r="AG51" s="16" t="n">
        <v>1897.62</v>
      </c>
      <c r="AH51" s="16" t="n">
        <v>1897.62</v>
      </c>
      <c r="AI51" s="34" t="n">
        <v>11385.72</v>
      </c>
      <c r="AJ51" s="16">
        <f>SUM(AC51:AH51)+AI51</f>
        <v/>
      </c>
      <c r="AK51" s="11">
        <f>IF(N51&lt;&gt;0,(AB51-N51)/ABS(N51),0)</f>
        <v/>
      </c>
      <c r="AL51" s="11">
        <f>IF(AB51&lt;&gt;0,(AJ51-AB51)/ABS(AB51),0)</f>
        <v/>
      </c>
    </row>
    <row r="52" ht="13" customHeight="1">
      <c r="A52" s="15" t="inlineStr">
        <is>
          <t xml:space="preserve">    IT Support</t>
        </is>
      </c>
      <c r="B52" s="16" t="n">
        <v>2433.87</v>
      </c>
      <c r="C52" s="16" t="n">
        <v>3479.54</v>
      </c>
      <c r="D52" s="16" t="n">
        <v>2017.34</v>
      </c>
      <c r="E52" s="16" t="n">
        <v>2017.34</v>
      </c>
      <c r="F52" s="16" t="n">
        <v>1354.84</v>
      </c>
      <c r="G52" s="16" t="n">
        <v>2674.84</v>
      </c>
      <c r="H52" s="16" t="n">
        <v>2011.34</v>
      </c>
      <c r="I52" s="16" t="n">
        <v>3673.34</v>
      </c>
      <c r="J52" s="16" t="n">
        <v>8823.34</v>
      </c>
      <c r="K52" s="16" t="n">
        <v>1983.34</v>
      </c>
      <c r="L52" s="16" t="n">
        <v>2678.34</v>
      </c>
      <c r="M52" s="16" t="n">
        <v>2876.74</v>
      </c>
      <c r="N52" s="16">
        <f>SUM(B52:M52)</f>
        <v/>
      </c>
      <c r="O52" s="16" t="n">
        <v>2238.11</v>
      </c>
      <c r="P52" s="16" t="n">
        <v>1404.87</v>
      </c>
      <c r="Q52" s="16" t="n">
        <v>1404.87</v>
      </c>
      <c r="R52" s="16" t="n">
        <v>2893.39</v>
      </c>
      <c r="S52" s="16" t="n">
        <v>2933.33</v>
      </c>
      <c r="T52" s="16" t="n">
        <v>14489.47</v>
      </c>
      <c r="U52" s="16" t="n">
        <v>3526.92</v>
      </c>
      <c r="V52" s="16" t="n">
        <v>2856</v>
      </c>
      <c r="W52" s="16" t="n">
        <v>2856</v>
      </c>
      <c r="X52" s="16" t="n">
        <v>2856</v>
      </c>
      <c r="Y52" s="16" t="n">
        <v>2856</v>
      </c>
      <c r="Z52" s="16" t="n">
        <v>2856</v>
      </c>
      <c r="AA52" s="16">
        <f>SUM(O52:U52)</f>
        <v/>
      </c>
      <c r="AB52" s="16">
        <f>SUM(O52:Z52)</f>
        <v/>
      </c>
      <c r="AC52" s="16" t="n">
        <v>2856</v>
      </c>
      <c r="AD52" s="16" t="n">
        <v>2856</v>
      </c>
      <c r="AE52" s="16" t="n">
        <v>2856</v>
      </c>
      <c r="AF52" s="16" t="n">
        <v>2856</v>
      </c>
      <c r="AG52" s="16" t="n">
        <v>2856</v>
      </c>
      <c r="AH52" s="16" t="n">
        <v>2856</v>
      </c>
      <c r="AI52" s="34" t="n">
        <v>17136</v>
      </c>
      <c r="AJ52" s="16">
        <f>SUM(AC52:AH52)+AI52</f>
        <v/>
      </c>
      <c r="AK52" s="11">
        <f>IF(N52&lt;&gt;0,(AB52-N52)/ABS(N52),0)</f>
        <v/>
      </c>
      <c r="AL52" s="11">
        <f>IF(AB52&lt;&gt;0,(AJ52-AB52)/ABS(AB52),0)</f>
        <v/>
      </c>
    </row>
    <row r="53" ht="13" customHeight="1">
      <c r="A53" s="15" t="inlineStr">
        <is>
          <t xml:space="preserve">    Fees &amp; Subscriptions</t>
        </is>
      </c>
      <c r="B53" s="16" t="n">
        <v>2454.27</v>
      </c>
      <c r="C53" s="16" t="n">
        <v>1106.72</v>
      </c>
      <c r="D53" s="16" t="n">
        <v>889.8899999999999</v>
      </c>
      <c r="E53" s="16" t="n">
        <v>816.7800000000002</v>
      </c>
      <c r="F53" s="16" t="n">
        <v>596.15</v>
      </c>
      <c r="G53" s="16" t="n">
        <v>1147.02</v>
      </c>
      <c r="H53" s="16" t="n">
        <v>691.1</v>
      </c>
      <c r="I53" s="16" t="n">
        <v>643.24</v>
      </c>
      <c r="J53" s="16" t="n">
        <v>702.25</v>
      </c>
      <c r="K53" s="16" t="n">
        <v>1270.33</v>
      </c>
      <c r="L53" s="16" t="n">
        <v>1521.97</v>
      </c>
      <c r="M53" s="16" t="n">
        <v>2788.829999999999</v>
      </c>
      <c r="N53" s="16">
        <f>SUM(B53:M53)</f>
        <v/>
      </c>
      <c r="O53" s="16" t="n">
        <v>1186.5</v>
      </c>
      <c r="P53" s="16" t="n">
        <v>1186.5</v>
      </c>
      <c r="Q53" s="16" t="n">
        <v>1186.5</v>
      </c>
      <c r="R53" s="16" t="n">
        <v>2593.73</v>
      </c>
      <c r="S53" s="16" t="n">
        <v>2593.73</v>
      </c>
      <c r="T53" s="16" t="n">
        <v>2593.73</v>
      </c>
      <c r="U53" s="16" t="n">
        <v>2593.71</v>
      </c>
      <c r="V53" s="16" t="n">
        <v>2466</v>
      </c>
      <c r="W53" s="16" t="n">
        <v>2466</v>
      </c>
      <c r="X53" s="16" t="n">
        <v>2466</v>
      </c>
      <c r="Y53" s="16" t="n">
        <v>2466</v>
      </c>
      <c r="Z53" s="16" t="n">
        <v>2466</v>
      </c>
      <c r="AA53" s="16">
        <f>SUM(O53:U53)</f>
        <v/>
      </c>
      <c r="AB53" s="16">
        <f>SUM(O53:Z53)</f>
        <v/>
      </c>
      <c r="AC53" s="16" t="n">
        <v>2466</v>
      </c>
      <c r="AD53" s="16" t="n">
        <v>2466</v>
      </c>
      <c r="AE53" s="16" t="n">
        <v>2466</v>
      </c>
      <c r="AF53" s="16" t="n">
        <v>2466</v>
      </c>
      <c r="AG53" s="16" t="n">
        <v>2466</v>
      </c>
      <c r="AH53" s="16" t="n">
        <v>2466</v>
      </c>
      <c r="AI53" s="34" t="n">
        <v>14796</v>
      </c>
      <c r="AJ53" s="16">
        <f>SUM(AC53:AH53)+AI53</f>
        <v/>
      </c>
      <c r="AK53" s="11">
        <f>IF(N53&lt;&gt;0,(AB53-N53)/ABS(N53),0)</f>
        <v/>
      </c>
      <c r="AL53" s="11">
        <f>IF(AB53&lt;&gt;0,(AJ53-AB53)/ABS(AB53),0)</f>
        <v/>
      </c>
    </row>
    <row r="54" ht="13" customHeight="1">
      <c r="A54" s="15" t="inlineStr">
        <is>
          <t xml:space="preserve">    Business Insurance</t>
        </is>
      </c>
      <c r="B54" s="16" t="n">
        <v>465.62</v>
      </c>
      <c r="C54" s="16" t="n">
        <v>465.62</v>
      </c>
      <c r="D54" s="16" t="n">
        <v>465.62</v>
      </c>
      <c r="E54" s="16" t="n">
        <v>465.62</v>
      </c>
      <c r="F54" s="16" t="n">
        <v>465.62</v>
      </c>
      <c r="G54" s="16" t="n">
        <v>341.4</v>
      </c>
      <c r="H54" s="16" t="n">
        <v>341.4</v>
      </c>
      <c r="I54" s="16" t="n">
        <v>341.4</v>
      </c>
      <c r="J54" s="16" t="n">
        <v>341.4</v>
      </c>
      <c r="K54" s="16" t="n">
        <v>341.4</v>
      </c>
      <c r="L54" s="16" t="n">
        <v>341.4</v>
      </c>
      <c r="M54" s="16" t="n">
        <v>0</v>
      </c>
      <c r="N54" s="16">
        <f>SUM(B54:M54)</f>
        <v/>
      </c>
      <c r="O54" s="16" t="n">
        <v>0</v>
      </c>
      <c r="P54" s="16" t="n">
        <v>0</v>
      </c>
      <c r="Q54" s="16" t="n">
        <v>12212.4</v>
      </c>
      <c r="R54" s="16" t="n">
        <v>2756.4</v>
      </c>
      <c r="S54" s="16" t="n">
        <v>0</v>
      </c>
      <c r="T54" s="16" t="n">
        <v>0</v>
      </c>
      <c r="U54" s="16" t="n">
        <v>195.75</v>
      </c>
      <c r="V54" s="16" t="n">
        <v>0</v>
      </c>
      <c r="W54" s="16" t="n">
        <v>0</v>
      </c>
      <c r="X54" s="16" t="n">
        <v>0</v>
      </c>
      <c r="Y54" s="16" t="n">
        <v>0</v>
      </c>
      <c r="Z54" s="16" t="n">
        <v>0</v>
      </c>
      <c r="AA54" s="16">
        <f>SUM(O54:U54)</f>
        <v/>
      </c>
      <c r="AB54" s="16">
        <f>SUM(O54:Z54)</f>
        <v/>
      </c>
      <c r="AC54" s="16" t="n">
        <v>0</v>
      </c>
      <c r="AD54" s="16" t="n">
        <v>0</v>
      </c>
      <c r="AE54" s="16" t="n">
        <v>0</v>
      </c>
      <c r="AF54" s="16" t="n">
        <v>0</v>
      </c>
      <c r="AG54" s="16" t="n">
        <v>0</v>
      </c>
      <c r="AH54" s="16" t="n">
        <v>0</v>
      </c>
      <c r="AI54" s="34" t="n">
        <v>0</v>
      </c>
      <c r="AJ54" s="16">
        <f>SUM(AC54:AH54)+AI54</f>
        <v/>
      </c>
      <c r="AK54" s="11">
        <f>IF(N54&lt;&gt;0,(AB54-N54)/ABS(N54),0)</f>
        <v/>
      </c>
      <c r="AL54" s="11">
        <f>IF(AB54&lt;&gt;0,(AJ54-AB54)/ABS(AB54),0)</f>
        <v/>
      </c>
    </row>
    <row r="55" ht="13" customHeight="1">
      <c r="A55" s="15" t="inlineStr">
        <is>
          <t xml:space="preserve">    Audit &amp; Accountancy</t>
        </is>
      </c>
      <c r="B55" s="16" t="n">
        <v>18018</v>
      </c>
      <c r="C55" s="16" t="n">
        <v>120</v>
      </c>
      <c r="D55" s="16" t="n">
        <v>33842.39999999999</v>
      </c>
      <c r="E55" s="16" t="n">
        <v>3073.2</v>
      </c>
      <c r="F55" s="16" t="n">
        <v>0</v>
      </c>
      <c r="G55" s="16" t="n">
        <v>0</v>
      </c>
      <c r="H55" s="16" t="n">
        <v>0</v>
      </c>
      <c r="I55" s="16" t="n">
        <v>0</v>
      </c>
      <c r="J55" s="16" t="n">
        <v>0</v>
      </c>
      <c r="K55" s="16" t="n">
        <v>0</v>
      </c>
      <c r="L55" s="16" t="n">
        <v>0</v>
      </c>
      <c r="M55" s="16" t="n">
        <v>6616.8</v>
      </c>
      <c r="N55" s="16">
        <f>SUM(B55:M55)</f>
        <v/>
      </c>
      <c r="O55" s="16" t="n">
        <v>13797.88</v>
      </c>
      <c r="P55" s="16" t="n">
        <v>5720.969999999999</v>
      </c>
      <c r="Q55" s="16" t="n">
        <v>5427.91</v>
      </c>
      <c r="R55" s="16" t="n">
        <v>4311.21</v>
      </c>
      <c r="S55" s="16" t="n">
        <v>4359.15</v>
      </c>
      <c r="T55" s="16" t="n">
        <v>4667.76</v>
      </c>
      <c r="U55" s="16" t="n">
        <v>27831.66</v>
      </c>
      <c r="V55" s="16" t="n">
        <v>0</v>
      </c>
      <c r="W55" s="16" t="n">
        <v>0</v>
      </c>
      <c r="X55" s="16" t="n">
        <v>0</v>
      </c>
      <c r="Y55" s="16" t="n">
        <v>0</v>
      </c>
      <c r="Z55" s="16" t="n">
        <v>0</v>
      </c>
      <c r="AA55" s="16">
        <f>SUM(O55:U55)</f>
        <v/>
      </c>
      <c r="AB55" s="16">
        <f>SUM(O55:Z55)</f>
        <v/>
      </c>
      <c r="AC55" s="16" t="n">
        <v>0</v>
      </c>
      <c r="AD55" s="16" t="n">
        <v>0</v>
      </c>
      <c r="AE55" s="16" t="n">
        <v>0</v>
      </c>
      <c r="AF55" s="16" t="n">
        <v>0</v>
      </c>
      <c r="AG55" s="16" t="n">
        <v>0</v>
      </c>
      <c r="AH55" s="16" t="n">
        <v>0</v>
      </c>
      <c r="AI55" s="34" t="n">
        <v>0</v>
      </c>
      <c r="AJ55" s="16">
        <f>SUM(AC55:AH55)+AI55</f>
        <v/>
      </c>
      <c r="AK55" s="11">
        <f>IF(N55&lt;&gt;0,(AB55-N55)/ABS(N55),0)</f>
        <v/>
      </c>
      <c r="AL55" s="11">
        <f>IF(AB55&lt;&gt;0,(AJ55-AB55)/ABS(AB55),0)</f>
        <v/>
      </c>
    </row>
    <row r="56" ht="13" customHeight="1">
      <c r="A56" s="15" t="inlineStr">
        <is>
          <t xml:space="preserve">    Professional Fees</t>
        </is>
      </c>
      <c r="B56" s="16" t="n">
        <v>-4290.96</v>
      </c>
      <c r="C56" s="16" t="n">
        <v>24986.81</v>
      </c>
      <c r="D56" s="16" t="n">
        <v>6956.65</v>
      </c>
      <c r="E56" s="16" t="n">
        <v>21087.51</v>
      </c>
      <c r="F56" s="16" t="n">
        <v>12608.06</v>
      </c>
      <c r="G56" s="16" t="n">
        <v>6125.08</v>
      </c>
      <c r="H56" s="16" t="n">
        <v>5820.87</v>
      </c>
      <c r="I56" s="16" t="n">
        <v>5723.580000000001</v>
      </c>
      <c r="J56" s="16" t="n">
        <v>17537.91</v>
      </c>
      <c r="K56" s="16" t="n">
        <v>7968.910000000001</v>
      </c>
      <c r="L56" s="16" t="n">
        <v>6737.47</v>
      </c>
      <c r="M56" s="16" t="n">
        <v>8110.19</v>
      </c>
      <c r="N56" s="16">
        <f>SUM(B56:M56)</f>
        <v/>
      </c>
      <c r="O56" s="16" t="n">
        <v>0</v>
      </c>
      <c r="P56" s="16" t="n">
        <v>0</v>
      </c>
      <c r="Q56" s="16" t="n">
        <v>0</v>
      </c>
      <c r="R56" s="16" t="n">
        <v>0</v>
      </c>
      <c r="S56" s="16" t="n">
        <v>0</v>
      </c>
      <c r="T56" s="16" t="n">
        <v>0</v>
      </c>
      <c r="U56" s="16" t="n">
        <v>162.4</v>
      </c>
      <c r="V56" s="16" t="n">
        <v>6000</v>
      </c>
      <c r="W56" s="16" t="n">
        <v>6000</v>
      </c>
      <c r="X56" s="16" t="n">
        <v>6000</v>
      </c>
      <c r="Y56" s="16" t="n">
        <v>6000</v>
      </c>
      <c r="Z56" s="16" t="n">
        <v>6000</v>
      </c>
      <c r="AA56" s="16">
        <f>SUM(O56:U56)</f>
        <v/>
      </c>
      <c r="AB56" s="16">
        <f>SUM(O56:Z56)</f>
        <v/>
      </c>
      <c r="AC56" s="16" t="n">
        <v>6000</v>
      </c>
      <c r="AD56" s="16" t="n">
        <v>6000</v>
      </c>
      <c r="AE56" s="16" t="n">
        <v>6000</v>
      </c>
      <c r="AF56" s="16" t="n">
        <v>6000</v>
      </c>
      <c r="AG56" s="16" t="n">
        <v>6000</v>
      </c>
      <c r="AH56" s="16" t="n">
        <v>6000</v>
      </c>
      <c r="AI56" s="34" t="n">
        <v>36000</v>
      </c>
      <c r="AJ56" s="16">
        <f>SUM(AC56:AH56)+AI56</f>
        <v/>
      </c>
      <c r="AK56" s="11">
        <f>IF(N56&lt;&gt;0,(AB56-N56)/ABS(N56),0)</f>
        <v/>
      </c>
      <c r="AL56" s="11">
        <f>IF(AB56&lt;&gt;0,(AJ56-AB56)/ABS(AB56),0)</f>
        <v/>
      </c>
    </row>
    <row r="57" ht="13" customHeight="1">
      <c r="A57" s="15" t="inlineStr">
        <is>
          <t xml:space="preserve">    Finance Costs</t>
        </is>
      </c>
      <c r="B57" s="16" t="n">
        <v>339.6</v>
      </c>
      <c r="C57" s="16" t="n">
        <v>366.15</v>
      </c>
      <c r="D57" s="16" t="n">
        <v>415.4</v>
      </c>
      <c r="E57" s="16" t="n">
        <v>385.42</v>
      </c>
      <c r="F57" s="16" t="n">
        <v>435.65</v>
      </c>
      <c r="G57" s="16" t="n">
        <v>529.4000000000001</v>
      </c>
      <c r="H57" s="16" t="n">
        <v>459.45</v>
      </c>
      <c r="I57" s="16" t="n">
        <v>310.4</v>
      </c>
      <c r="J57" s="16" t="n">
        <v>269.05</v>
      </c>
      <c r="K57" s="16" t="n">
        <v>326.15</v>
      </c>
      <c r="L57" s="16" t="n">
        <v>255.95</v>
      </c>
      <c r="M57" s="16" t="n">
        <v>296.3</v>
      </c>
      <c r="N57" s="16">
        <f>SUM(B57:M57)</f>
        <v/>
      </c>
      <c r="O57" s="16" t="n">
        <v>0</v>
      </c>
      <c r="P57" s="16" t="n">
        <v>0</v>
      </c>
      <c r="Q57" s="16" t="n">
        <v>0</v>
      </c>
      <c r="R57" s="16" t="n">
        <v>0</v>
      </c>
      <c r="S57" s="16" t="n">
        <v>0</v>
      </c>
      <c r="T57" s="16" t="n">
        <v>0</v>
      </c>
      <c r="U57" s="16" t="n">
        <v>0</v>
      </c>
      <c r="V57" s="16" t="n">
        <v>2600</v>
      </c>
      <c r="W57" s="16" t="n">
        <v>2600</v>
      </c>
      <c r="X57" s="16" t="n">
        <v>2600</v>
      </c>
      <c r="Y57" s="16" t="n">
        <v>2600</v>
      </c>
      <c r="Z57" s="16" t="n">
        <v>2600</v>
      </c>
      <c r="AA57" s="16">
        <f>SUM(O57:U57)</f>
        <v/>
      </c>
      <c r="AB57" s="16">
        <f>SUM(O57:Z57)</f>
        <v/>
      </c>
      <c r="AC57" s="16" t="n">
        <v>2600</v>
      </c>
      <c r="AD57" s="16" t="n">
        <v>2600</v>
      </c>
      <c r="AE57" s="16" t="n">
        <v>2600</v>
      </c>
      <c r="AF57" s="16" t="n">
        <v>2600</v>
      </c>
      <c r="AG57" s="16" t="n">
        <v>2600</v>
      </c>
      <c r="AH57" s="16" t="n">
        <v>2600</v>
      </c>
      <c r="AI57" s="34" t="n">
        <v>15600</v>
      </c>
      <c r="AJ57" s="16">
        <f>SUM(AC57:AH57)+AI57</f>
        <v/>
      </c>
      <c r="AK57" s="11">
        <f>IF(N57&lt;&gt;0,(AB57-N57)/ABS(N57),0)</f>
        <v/>
      </c>
      <c r="AL57" s="11">
        <f>IF(AB57&lt;&gt;0,(AJ57-AB57)/ABS(AB57),0)</f>
        <v/>
      </c>
    </row>
    <row r="58" ht="13" customHeight="1">
      <c r="A58" s="15" t="inlineStr">
        <is>
          <t xml:space="preserve">    Miscellaneous HO</t>
        </is>
      </c>
      <c r="B58" s="16" t="n">
        <v>22.22</v>
      </c>
      <c r="C58" s="16" t="n">
        <v>140</v>
      </c>
      <c r="D58" s="16" t="n">
        <v>9.990000000000009</v>
      </c>
      <c r="E58" s="16" t="n">
        <v>0</v>
      </c>
      <c r="F58" s="16" t="n">
        <v>-5.13</v>
      </c>
      <c r="G58" s="16" t="n">
        <v>289.96</v>
      </c>
      <c r="H58" s="16" t="n">
        <v>-0.76</v>
      </c>
      <c r="I58" s="16" t="n">
        <v>5.19</v>
      </c>
      <c r="J58" s="16" t="n">
        <v>5.69</v>
      </c>
      <c r="K58" s="16" t="n">
        <v>0</v>
      </c>
      <c r="L58" s="16" t="n">
        <v>2507.38</v>
      </c>
      <c r="M58" s="16" t="n">
        <v>254.99</v>
      </c>
      <c r="N58" s="16">
        <f>SUM(B58:M58)</f>
        <v/>
      </c>
      <c r="O58" s="16" t="n">
        <v>5384.61</v>
      </c>
      <c r="P58" s="16" t="n">
        <v>7655.49</v>
      </c>
      <c r="Q58" s="16" t="n">
        <v>7967.039999999999</v>
      </c>
      <c r="R58" s="16" t="n">
        <v>9289.66</v>
      </c>
      <c r="S58" s="16" t="n">
        <v>9122.59</v>
      </c>
      <c r="T58" s="16" t="n">
        <v>16372.61</v>
      </c>
      <c r="U58" s="16" t="n">
        <v>8138.370000000001</v>
      </c>
      <c r="V58" s="16" t="n">
        <v>0</v>
      </c>
      <c r="W58" s="16" t="n">
        <v>0</v>
      </c>
      <c r="X58" s="16" t="n">
        <v>0</v>
      </c>
      <c r="Y58" s="16" t="n">
        <v>0</v>
      </c>
      <c r="Z58" s="16" t="n">
        <v>0</v>
      </c>
      <c r="AA58" s="16">
        <f>SUM(O58:U58)</f>
        <v/>
      </c>
      <c r="AB58" s="16">
        <f>SUM(O58:Z58)</f>
        <v/>
      </c>
      <c r="AC58" s="16" t="n">
        <v>0</v>
      </c>
      <c r="AD58" s="16" t="n">
        <v>0</v>
      </c>
      <c r="AE58" s="16" t="n">
        <v>0</v>
      </c>
      <c r="AF58" s="16" t="n">
        <v>0</v>
      </c>
      <c r="AG58" s="16" t="n">
        <v>0</v>
      </c>
      <c r="AH58" s="16" t="n">
        <v>0</v>
      </c>
      <c r="AI58" s="34" t="n">
        <v>0</v>
      </c>
      <c r="AJ58" s="16">
        <f>SUM(AC58:AH58)+AI58</f>
        <v/>
      </c>
      <c r="AK58" s="11">
        <f>IF(N58&lt;&gt;0,(AB58-N58)/ABS(N58),0)</f>
        <v/>
      </c>
      <c r="AL58" s="11">
        <f>IF(AB58&lt;&gt;0,(AJ58-AB58)/ABS(AB58),0)</f>
        <v/>
      </c>
    </row>
    <row r="59" ht="13" customHeight="1">
      <c r="A59" s="17" t="inlineStr">
        <is>
          <t>Total HO Overheads</t>
        </is>
      </c>
      <c r="B59" s="18" t="n">
        <v>229981.98</v>
      </c>
      <c r="C59" s="18" t="n">
        <v>259577.22</v>
      </c>
      <c r="D59" s="18" t="n">
        <v>286965.96</v>
      </c>
      <c r="E59" s="18" t="n">
        <v>373974.5599999999</v>
      </c>
      <c r="F59" s="18" t="n">
        <v>226910.78</v>
      </c>
      <c r="G59" s="18" t="n">
        <v>256699.3</v>
      </c>
      <c r="H59" s="18" t="n">
        <v>256197.94</v>
      </c>
      <c r="I59" s="18" t="n">
        <v>289106.02</v>
      </c>
      <c r="J59" s="18" t="n">
        <v>408114.98</v>
      </c>
      <c r="K59" s="18" t="n">
        <v>267502.2000000001</v>
      </c>
      <c r="L59" s="18" t="n">
        <v>287790.14</v>
      </c>
      <c r="M59" s="18" t="n">
        <v>936189.1</v>
      </c>
      <c r="N59" s="18">
        <f>SUM(B59:M59)</f>
        <v/>
      </c>
      <c r="O59" s="18" t="n">
        <v>151793.86</v>
      </c>
      <c r="P59" s="18" t="n">
        <v>136497.45</v>
      </c>
      <c r="Q59" s="18" t="n">
        <v>170466.98</v>
      </c>
      <c r="R59" s="18" t="n">
        <v>221866.3100000001</v>
      </c>
      <c r="S59" s="18" t="n">
        <v>155206.67</v>
      </c>
      <c r="T59" s="18" t="n">
        <v>175557.4400000001</v>
      </c>
      <c r="U59" s="18" t="n">
        <v>178982.53</v>
      </c>
      <c r="V59" s="18" t="n">
        <v>152767.62</v>
      </c>
      <c r="W59" s="18" t="n">
        <v>152767.62</v>
      </c>
      <c r="X59" s="18" t="n">
        <v>152767.62</v>
      </c>
      <c r="Y59" s="18" t="n">
        <v>152767.62</v>
      </c>
      <c r="Z59" s="18" t="n">
        <v>35328.62</v>
      </c>
      <c r="AA59" s="18">
        <f>SUM(O59:U59)</f>
        <v/>
      </c>
      <c r="AB59" s="18">
        <f>SUM(O59:Z59)</f>
        <v/>
      </c>
      <c r="AC59" s="18" t="n">
        <v>152767.62</v>
      </c>
      <c r="AD59" s="18" t="n">
        <v>152767.62</v>
      </c>
      <c r="AE59" s="18" t="n">
        <v>152767.62</v>
      </c>
      <c r="AF59" s="18" t="n">
        <v>152767.62</v>
      </c>
      <c r="AG59" s="18" t="n">
        <v>152767.62</v>
      </c>
      <c r="AH59" s="18" t="n">
        <v>152767.62</v>
      </c>
      <c r="AI59" s="40" t="n">
        <v>916605.72</v>
      </c>
      <c r="AJ59" s="18">
        <f>SUM(AC59:AH59)+AI59</f>
        <v/>
      </c>
      <c r="AK59" s="11">
        <f>IF(N59&lt;&gt;0,(AB59-N59)/ABS(N59),0)</f>
        <v/>
      </c>
      <c r="AL59" s="11">
        <f>IF(AB59&lt;&gt;0,(AJ59-AB59)/ABS(AB59),0)</f>
        <v/>
      </c>
    </row>
    <row r="60" ht="5" customHeight="1"/>
    <row r="61" ht="15" customHeight="1">
      <c r="A61" s="37" t="inlineStr">
        <is>
          <t>GROUP EBITDA</t>
        </is>
      </c>
      <c r="B61" s="38">
        <f>B46-B59</f>
        <v/>
      </c>
      <c r="C61" s="38">
        <f>C46-C59</f>
        <v/>
      </c>
      <c r="D61" s="38">
        <f>D46-D59</f>
        <v/>
      </c>
      <c r="E61" s="38">
        <f>E46-E59</f>
        <v/>
      </c>
      <c r="F61" s="38">
        <f>F46-F59</f>
        <v/>
      </c>
      <c r="G61" s="38">
        <f>G46-G59</f>
        <v/>
      </c>
      <c r="H61" s="38">
        <f>H46-H59</f>
        <v/>
      </c>
      <c r="I61" s="38">
        <f>I46-I59</f>
        <v/>
      </c>
      <c r="J61" s="38">
        <f>J46-J59</f>
        <v/>
      </c>
      <c r="K61" s="38">
        <f>K46-K59</f>
        <v/>
      </c>
      <c r="L61" s="38">
        <f>L46-L59</f>
        <v/>
      </c>
      <c r="M61" s="38">
        <f>M46-M59</f>
        <v/>
      </c>
      <c r="N61" s="38">
        <f>N46-N59</f>
        <v/>
      </c>
      <c r="O61" s="38">
        <f>O46-O59</f>
        <v/>
      </c>
      <c r="P61" s="38">
        <f>P46-P59</f>
        <v/>
      </c>
      <c r="Q61" s="38">
        <f>Q46-Q59</f>
        <v/>
      </c>
      <c r="R61" s="38">
        <f>R46-R59</f>
        <v/>
      </c>
      <c r="S61" s="38">
        <f>S46-S59</f>
        <v/>
      </c>
      <c r="T61" s="38">
        <f>T46-T59</f>
        <v/>
      </c>
      <c r="U61" s="38">
        <f>U46-U59</f>
        <v/>
      </c>
      <c r="V61" s="38">
        <f>V46-V59</f>
        <v/>
      </c>
      <c r="W61" s="38">
        <f>W46-W59</f>
        <v/>
      </c>
      <c r="X61" s="38">
        <f>X46-X59</f>
        <v/>
      </c>
      <c r="Y61" s="38">
        <f>Y46-Y59</f>
        <v/>
      </c>
      <c r="Z61" s="38">
        <f>Z46-Z59</f>
        <v/>
      </c>
      <c r="AA61" s="38">
        <f>AA46-AA59</f>
        <v/>
      </c>
      <c r="AB61" s="38">
        <f>AB46-AB59</f>
        <v/>
      </c>
      <c r="AC61" s="38">
        <f>AC46-AC59</f>
        <v/>
      </c>
      <c r="AD61" s="38">
        <f>AD46-AD59</f>
        <v/>
      </c>
      <c r="AE61" s="38">
        <f>AE46-AE59</f>
        <v/>
      </c>
      <c r="AF61" s="38">
        <f>AF46-AF59</f>
        <v/>
      </c>
      <c r="AG61" s="38">
        <f>AG46-AG59</f>
        <v/>
      </c>
      <c r="AH61" s="38">
        <f>AH46-AH59</f>
        <v/>
      </c>
      <c r="AI61" s="38">
        <f>AI46-AI59</f>
        <v/>
      </c>
      <c r="AJ61" s="38">
        <f>AJ46-AJ59</f>
        <v/>
      </c>
      <c r="AK61" s="11">
        <f>IF(N61&lt;&gt;0,(AB61-N61)/ABS(N61),0)</f>
        <v/>
      </c>
      <c r="AL61" s="11">
        <f>IF(AB61&lt;&gt;0,(AJ61-AB61)/ABS(AB61),0)</f>
        <v/>
      </c>
    </row>
    <row r="62" ht="14" customHeight="1">
      <c r="A62" s="12" t="inlineStr">
        <is>
          <t>£1.3m EBITDA Target</t>
        </is>
      </c>
      <c r="N62" s="13" t="n">
        <v>1300000</v>
      </c>
      <c r="AB62" s="13" t="n">
        <v>1300000</v>
      </c>
      <c r="AJ62" s="13" t="n">
        <v>1300000</v>
      </c>
    </row>
    <row r="63" ht="14" customHeight="1">
      <c r="A63" s="23" t="inlineStr">
        <is>
          <t>Gap to Target</t>
        </is>
      </c>
      <c r="N63" s="39">
        <f>N61-1300000</f>
        <v/>
      </c>
      <c r="AB63" s="39">
        <f>AB61-1300000</f>
        <v/>
      </c>
      <c r="AJ63" s="39">
        <f>AJ61-1300000</f>
        <v/>
      </c>
    </row>
  </sheetData>
  <mergeCells count="9">
    <mergeCell ref="A10:AL10"/>
    <mergeCell ref="B1:N1"/>
    <mergeCell ref="A23:AL23"/>
    <mergeCell ref="A32:AL32"/>
    <mergeCell ref="AC1:AJ1"/>
    <mergeCell ref="A9:AL9"/>
    <mergeCell ref="A3:AL3"/>
    <mergeCell ref="O1:AB1"/>
    <mergeCell ref="A48:AL48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0" customHeight="1">
      <c r="A1" s="41" t="inlineStr">
        <is>
          <t>Economic Cost Pressures — Is the £1.3m EBITDA Hurdle Realistic?</t>
        </is>
      </c>
    </row>
    <row r="2" ht="22" customHeight="1">
      <c r="A2" s="5" t="inlineStr">
        <is>
          <t>Metric</t>
        </is>
      </c>
      <c r="B2" s="5" t="inlineStr">
        <is>
          <t>2025 Actual</t>
        </is>
      </c>
      <c r="C2" s="5" t="inlineStr">
        <is>
          <t>2026 Actual/Est</t>
        </is>
      </c>
      <c r="D2" s="5" t="inlineStr">
        <is>
          <t>2027 Projected</t>
        </is>
      </c>
      <c r="E2" s="5" t="inlineStr">
        <is>
          <t>25→26 Impact</t>
        </is>
      </c>
      <c r="F2" s="5" t="inlineStr">
        <is>
          <t>26→27 Impact</t>
        </is>
      </c>
      <c r="G2" s="5" t="inlineStr">
        <is>
          <t>Notes</t>
        </is>
      </c>
    </row>
    <row r="3" ht="18" customHeight="1">
      <c r="A3" s="42" t="inlineStr">
        <is>
          <t>Group Revenue</t>
        </is>
      </c>
      <c r="B3" s="43" t="n">
        <v>11370425.94</v>
      </c>
      <c r="C3" s="43" t="n">
        <v>11212064.92</v>
      </c>
      <c r="D3" s="34" t="n">
        <v>11436306.2184</v>
      </c>
      <c r="E3" s="44" t="n">
        <v>-158361.0199999996</v>
      </c>
      <c r="F3" s="45" t="n">
        <v>224241.2983999997</v>
      </c>
      <c r="G3" s="46" t="inlineStr">
        <is>
          <t>Revenue broadly flat 2025-2026</t>
        </is>
      </c>
    </row>
    <row r="4" ht="18" customHeight="1">
      <c r="A4" s="42" t="inlineStr">
        <is>
          <t>Nursery Salaries (NLW +6.7% Apr25, +3.2% Apr26)</t>
        </is>
      </c>
      <c r="B4" s="43" t="n">
        <v>5186817.47</v>
      </c>
      <c r="C4" s="43" t="n">
        <v>5768597.68</v>
      </c>
      <c r="D4" s="34" t="n">
        <v>6114713.5408</v>
      </c>
      <c r="E4" s="45" t="n">
        <v>581780.21</v>
      </c>
      <c r="F4" s="45" t="n">
        <v>346115.8607999999</v>
      </c>
      <c r="G4" s="46" t="inlineStr">
        <is>
          <t>NLW uplift driving salary growth +11% 2025→2026</t>
        </is>
      </c>
    </row>
    <row r="5" ht="18" customHeight="1">
      <c r="A5" s="42" t="inlineStr">
        <is>
          <t>Employer NI (rate 13.8%→15%, threshold £9,100→£5,000)</t>
        </is>
      </c>
      <c r="B5" s="43" t="n">
        <v>516295.38</v>
      </c>
      <c r="C5" s="43" t="n">
        <v>604342.26</v>
      </c>
      <c r="D5" s="34" t="n">
        <v>634559.373</v>
      </c>
      <c r="E5" s="45" t="n">
        <v>88046.88</v>
      </c>
      <c r="F5" s="45" t="n">
        <v>30217.11300000001</v>
      </c>
      <c r="G5" s="46" t="inlineStr">
        <is>
          <t>Group NI up 17% — rate change from Apr 2025</t>
        </is>
      </c>
    </row>
    <row r="6" ht="18" customHeight="1">
      <c r="A6" s="42" t="inlineStr">
        <is>
          <t>HO Overhead (total)</t>
        </is>
      </c>
      <c r="B6" s="43" t="n">
        <v>-2328349.7</v>
      </c>
      <c r="C6" s="43" t="n">
        <v>-2211585.425357143</v>
      </c>
      <c r="D6" s="34" t="n">
        <v>-2277932.988117857</v>
      </c>
      <c r="E6" s="45" t="n">
        <v>116764.2746428568</v>
      </c>
      <c r="F6" s="44" t="n">
        <v>-66347.56276071444</v>
      </c>
      <c r="G6" s="46" t="inlineStr">
        <is>
          <t>HO costs broadly stable</t>
        </is>
      </c>
    </row>
    <row r="7" ht="18" customHeight="1">
      <c r="A7" s="42" t="inlineStr">
        <is>
          <t>Nursery Contribution</t>
        </is>
      </c>
      <c r="B7" s="43" t="n">
        <v>4061101.95</v>
      </c>
      <c r="C7" s="43" t="n">
        <v>3472608.055</v>
      </c>
      <c r="D7" s="34" t="n">
        <v>3646238.457750001</v>
      </c>
      <c r="E7" s="44" t="n">
        <v>-588493.8949999996</v>
      </c>
      <c r="F7" s="45" t="n">
        <v>173630.4027500004</v>
      </c>
      <c r="G7" s="46" t="inlineStr">
        <is>
          <t>Margin 35.7% → 31.0%</t>
        </is>
      </c>
    </row>
    <row r="8" ht="18" customHeight="1">
      <c r="A8" s="47" t="inlineStr">
        <is>
          <t>GROUP EBITDA</t>
        </is>
      </c>
      <c r="B8" s="38" t="n">
        <v>1732752.25</v>
      </c>
      <c r="C8" s="38" t="n">
        <v>1261022.629642857</v>
      </c>
      <c r="D8" s="48" t="n">
        <v>1324073.761125</v>
      </c>
      <c r="E8" s="44" t="n">
        <v>-471729.6203571428</v>
      </c>
      <c r="F8" s="45" t="n">
        <v>63051.13148214296</v>
      </c>
      <c r="G8" s="46" t="inlineStr">
        <is>
          <t>Margin 15.2% (2025) → 11.2% (2026)</t>
        </is>
      </c>
    </row>
    <row r="9" ht="18" customHeight="1">
      <c r="A9" s="49" t="inlineStr">
        <is>
          <t>£1.3m Target</t>
        </is>
      </c>
      <c r="B9" s="50" t="n">
        <v>1300000</v>
      </c>
      <c r="C9" s="50" t="n">
        <v>1300000</v>
      </c>
      <c r="D9" s="48" t="n">
        <v>1300000</v>
      </c>
      <c r="E9" s="44" t="n">
        <v>0</v>
      </c>
      <c r="F9" s="44" t="n">
        <v>0</v>
      </c>
      <c r="G9" s="46" t="inlineStr">
        <is>
          <t>2025: above target. 2026: below target.</t>
        </is>
      </c>
    </row>
    <row r="11" ht="60" customHeight="1">
      <c r="A11" s="51" t="inlineStr">
        <is>
          <t>BOARD NOTE: The £1.3m EBITDA target was set when the group operated at a 15.2% margin (2025: £1.73m on £11.4m revenue). Uncontrollable cost increases — employer NI +17% (+£88,047), NLW-driven salary growth +11% (+£581,780) — have compressed the margin to 11.2% on broadly flat revenue. The board should consider whether £1.0m–£1.15m better reflects the structural cost environment.</t>
        </is>
      </c>
    </row>
  </sheetData>
  <mergeCells count="2">
    <mergeCell ref="A11:G1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2026-09-16T13:42:40Z</dcterms:created>
  <dcterms:modified xmlns:dcterms="http://purl.org/dc/terms/" xmlns:xsi="http://www.w3.org/2001/XMLSchema-instance" xsi:type="dcterms:W3CDTF">2026-09-16T13:42:45Z</dcterms:modified>
</cp:coreProperties>
</file>