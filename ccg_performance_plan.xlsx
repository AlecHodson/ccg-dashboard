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GROUP TOTALS" sheetId="22" state="visible" r:id="rId22"/>
    <sheet xmlns:r="http://schemas.openxmlformats.org/officeDocument/2006/relationships" name="ABA Plan" sheetId="23" state="visible" r:id="rId23"/>
    <sheet xmlns:r="http://schemas.openxmlformats.org/officeDocument/2006/relationships" name="BK Plan" sheetId="24" state="visible" r:id="rId24"/>
    <sheet xmlns:r="http://schemas.openxmlformats.org/officeDocument/2006/relationships" name="BW Plan" sheetId="25" state="visible" r:id="rId25"/>
    <sheet xmlns:r="http://schemas.openxmlformats.org/officeDocument/2006/relationships" name="CED Plan" sheetId="26" state="visible" r:id="rId26"/>
    <sheet xmlns:r="http://schemas.openxmlformats.org/officeDocument/2006/relationships" name="HAB Plan" sheetId="27" state="visible" r:id="rId27"/>
    <sheet xmlns:r="http://schemas.openxmlformats.org/officeDocument/2006/relationships" name="HB Plan" sheetId="28" state="visible" r:id="rId28"/>
    <sheet xmlns:r="http://schemas.openxmlformats.org/officeDocument/2006/relationships" name="OD Plan" sheetId="29" state="visible" r:id="rId29"/>
    <sheet xmlns:r="http://schemas.openxmlformats.org/officeDocument/2006/relationships" name="HDN Plan" sheetId="30" state="visible" r:id="rId30"/>
    <sheet xmlns:r="http://schemas.openxmlformats.org/officeDocument/2006/relationships" name="KIN Plan" sheetId="31" state="visible" r:id="rId31"/>
    <sheet xmlns:r="http://schemas.openxmlformats.org/officeDocument/2006/relationships" name="LE Plan" sheetId="32" state="visible" r:id="rId32"/>
    <sheet xmlns:r="http://schemas.openxmlformats.org/officeDocument/2006/relationships" name="MER Plan" sheetId="33" state="visible" r:id="rId33"/>
    <sheet xmlns:r="http://schemas.openxmlformats.org/officeDocument/2006/relationships" name="NDN Plan" sheetId="34" state="visible" r:id="rId34"/>
    <sheet xmlns:r="http://schemas.openxmlformats.org/officeDocument/2006/relationships" name="SALT Plan" sheetId="35" state="visible" r:id="rId35"/>
    <sheet xmlns:r="http://schemas.openxmlformats.org/officeDocument/2006/relationships" name="SDN Plan" sheetId="36" state="visible" r:id="rId36"/>
    <sheet xmlns:r="http://schemas.openxmlformats.org/officeDocument/2006/relationships" name="SST Plan" sheetId="37" state="visible" r:id="rId37"/>
    <sheet xmlns:r="http://schemas.openxmlformats.org/officeDocument/2006/relationships" name="WH Plan" sheetId="38" state="visible" r:id="rId38"/>
    <sheet xmlns:r="http://schemas.openxmlformats.org/officeDocument/2006/relationships" name="FH Plan" sheetId="39" state="visible" r:id="rId39"/>
    <sheet xmlns:r="http://schemas.openxmlformats.org/officeDocument/2006/relationships" name="KNL HO Plan" sheetId="40" state="visible" r:id="rId40"/>
    <sheet xmlns:r="http://schemas.openxmlformats.org/officeDocument/2006/relationships" name="CCL HO Plan" sheetId="41" state="visible" r:id="rId41"/>
    <sheet xmlns:r="http://schemas.openxmlformats.org/officeDocument/2006/relationships" name="YBHN HO Plan" sheetId="42" state="visible" r:id="rId42"/>
    <sheet xmlns:r="http://schemas.openxmlformats.org/officeDocument/2006/relationships" name="YBN HO Plan" sheetId="43" state="visible" r:id="rId43"/>
    <sheet xmlns:r="http://schemas.openxmlformats.org/officeDocument/2006/relationships" name="GROUP TOTALS Plan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Aptos Narrow"/>
      <sz val="11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color rgb="001A1A2E"/>
      <sz val="11"/>
    </font>
    <font>
      <b val="1"/>
      <sz val="11"/>
    </font>
    <font>
      <color rgb="00555555"/>
      <sz val="9"/>
    </font>
    <font>
      <b val="1"/>
      <color rgb="FF000000"/>
      <sz val="11"/>
    </font>
    <font>
      <b val="1"/>
      <color rgb="001A1A2E"/>
      <sz val="11"/>
    </font>
  </fonts>
  <fills count="13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 wrapText="1"/>
    </xf>
    <xf numFmtId="164" fontId="4" fillId="3" borderId="4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wrapText="1"/>
    </xf>
    <xf numFmtId="164" fontId="3" fillId="2" borderId="0" pivotButton="0" quotePrefix="0" xfId="0"/>
    <xf numFmtId="164" fontId="3" fillId="3" borderId="5" pivotButton="0" quotePrefix="0" xfId="0"/>
    <xf numFmtId="164" fontId="3" fillId="4" borderId="0" pivotButton="0" quotePrefix="0" xfId="0"/>
    <xf numFmtId="164" fontId="3" fillId="3" borderId="6" pivotButton="0" quotePrefix="0" xfId="0"/>
    <xf numFmtId="164" fontId="3" fillId="0" borderId="0" applyAlignment="1" pivotButton="0" quotePrefix="0" xfId="0">
      <alignment horizontal="left"/>
    </xf>
    <xf numFmtId="164" fontId="3" fillId="2" borderId="0" applyAlignment="1" pivotButton="0" quotePrefix="0" xfId="0">
      <alignment horizontal="right"/>
    </xf>
    <xf numFmtId="164" fontId="3" fillId="3" borderId="5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4" fontId="3" fillId="3" borderId="6" applyAlignment="1" pivotButton="0" quotePrefix="0" xfId="0">
      <alignment horizontal="right"/>
    </xf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0" fontId="5" fillId="0" borderId="0" pivotButton="0" quotePrefix="0" xfId="0"/>
    <xf numFmtId="164" fontId="6" fillId="2" borderId="0" pivotButton="0" quotePrefix="0" xfId="0"/>
    <xf numFmtId="164" fontId="7" fillId="3" borderId="5" pivotButton="0" quotePrefix="0" xfId="0"/>
    <xf numFmtId="164" fontId="6" fillId="0" borderId="0" pivotButton="0" quotePrefix="0" xfId="0"/>
    <xf numFmtId="164" fontId="6" fillId="4" borderId="0" pivotButton="0" quotePrefix="0" xfId="0"/>
    <xf numFmtId="164" fontId="7" fillId="3" borderId="6" pivotButton="0" quotePrefix="0" xfId="0"/>
    <xf numFmtId="164" fontId="7" fillId="0" borderId="0" pivotButton="0" quotePrefix="0" xfId="0"/>
    <xf numFmtId="164" fontId="3" fillId="0" borderId="7" applyAlignment="1" pivotButton="0" quotePrefix="0" xfId="0">
      <alignment horizontal="left"/>
    </xf>
    <xf numFmtId="164" fontId="3" fillId="2" borderId="8" applyAlignment="1" pivotButton="0" quotePrefix="0" xfId="0">
      <alignment horizontal="right"/>
    </xf>
    <xf numFmtId="164" fontId="7" fillId="3" borderId="9" pivotButton="0" quotePrefix="0" xfId="0"/>
    <xf numFmtId="164" fontId="3" fillId="0" borderId="8" applyAlignment="1" pivotButton="0" quotePrefix="0" xfId="0">
      <alignment horizontal="right"/>
    </xf>
    <xf numFmtId="164" fontId="3" fillId="4" borderId="8" applyAlignment="1" pivotButton="0" quotePrefix="0" xfId="0">
      <alignment horizontal="right"/>
    </xf>
    <xf numFmtId="164" fontId="4" fillId="5" borderId="0" applyAlignment="1" pivotButton="0" quotePrefix="0" xfId="0">
      <alignment horizontal="left"/>
    </xf>
    <xf numFmtId="9" fontId="4" fillId="5" borderId="0" applyAlignment="1" pivotButton="0" quotePrefix="0" xfId="0">
      <alignment horizontal="right"/>
    </xf>
    <xf numFmtId="165" fontId="3" fillId="5" borderId="0" pivotButton="0" quotePrefix="0" xfId="0"/>
    <xf numFmtId="164" fontId="7" fillId="5" borderId="5" pivotButton="0" quotePrefix="0" xfId="0"/>
    <xf numFmtId="164" fontId="7" fillId="5" borderId="6" pivotButton="0" quotePrefix="0" xfId="0"/>
    <xf numFmtId="165" fontId="3" fillId="0" borderId="0" pivotButton="0" quotePrefix="0" xfId="0"/>
    <xf numFmtId="164" fontId="3" fillId="3" borderId="9" applyAlignment="1" pivotButton="0" quotePrefix="0" xfId="0">
      <alignment horizontal="right"/>
    </xf>
    <xf numFmtId="164" fontId="3" fillId="3" borderId="7" applyAlignment="1" pivotButton="0" quotePrefix="0" xfId="0">
      <alignment horizontal="right"/>
    </xf>
    <xf numFmtId="164" fontId="4" fillId="6" borderId="0" applyAlignment="1" pivotButton="0" quotePrefix="0" xfId="0">
      <alignment horizontal="left"/>
    </xf>
    <xf numFmtId="164" fontId="4" fillId="6" borderId="0" pivotButton="0" quotePrefix="0" xfId="0"/>
    <xf numFmtId="164" fontId="4" fillId="0" borderId="0" pivotButton="0" quotePrefix="0" xfId="0"/>
    <xf numFmtId="164" fontId="4" fillId="2" borderId="0" pivotButton="0" quotePrefix="0" xfId="0"/>
    <xf numFmtId="164" fontId="4" fillId="4" borderId="0" pivotButton="0" quotePrefix="0" xfId="0"/>
    <xf numFmtId="0" fontId="8" fillId="0" borderId="0" pivotButton="0" quotePrefix="0" xfId="0"/>
    <xf numFmtId="164" fontId="3" fillId="0" borderId="0" pivotButton="0" quotePrefix="0" xfId="0"/>
    <xf numFmtId="166" fontId="9" fillId="0" borderId="0" pivotButton="0" quotePrefix="0" xfId="0"/>
    <xf numFmtId="2" fontId="9" fillId="0" borderId="0" pivotButton="0" quotePrefix="0" xfId="0"/>
    <xf numFmtId="164" fontId="10" fillId="0" borderId="0" applyAlignment="1" pivotButton="0" quotePrefix="0" xfId="0">
      <alignment horizontal="left"/>
    </xf>
    <xf numFmtId="164" fontId="3" fillId="0" borderId="10" pivotButton="0" quotePrefix="0" xfId="0"/>
    <xf numFmtId="164" fontId="3" fillId="7" borderId="0" pivotButton="0" quotePrefix="0" xfId="0"/>
    <xf numFmtId="9" fontId="4" fillId="2" borderId="0" applyAlignment="1" pivotButton="0" quotePrefix="0" xfId="0">
      <alignment horizontal="right"/>
    </xf>
    <xf numFmtId="164" fontId="3" fillId="2" borderId="10" pivotButton="0" quotePrefix="0" xfId="0"/>
    <xf numFmtId="164" fontId="3" fillId="4" borderId="10" pivotButton="0" quotePrefix="0" xfId="0"/>
    <xf numFmtId="0" fontId="5" fillId="7" borderId="0" pivotButton="0" quotePrefix="0" xfId="0"/>
    <xf numFmtId="0" fontId="11" fillId="0" borderId="0" pivotButton="0" quotePrefix="0" xfId="0"/>
    <xf numFmtId="0" fontId="5" fillId="0" borderId="10" pivotButton="0" quotePrefix="0" xfId="0"/>
    <xf numFmtId="164" fontId="4" fillId="0" borderId="10" pivotButton="0" quotePrefix="0" xfId="0"/>
    <xf numFmtId="0" fontId="5" fillId="0" borderId="11" pivotButton="0" quotePrefix="0" xfId="0"/>
    <xf numFmtId="164" fontId="6" fillId="2" borderId="11" pivotButton="0" quotePrefix="0" xfId="0"/>
    <xf numFmtId="164" fontId="7" fillId="3" borderId="12" pivotButton="0" quotePrefix="0" xfId="0"/>
    <xf numFmtId="164" fontId="6" fillId="0" borderId="11" pivotButton="0" quotePrefix="0" xfId="0"/>
    <xf numFmtId="164" fontId="6" fillId="4" borderId="11" pivotButton="0" quotePrefix="0" xfId="0"/>
    <xf numFmtId="164" fontId="4" fillId="6" borderId="13" pivotButton="0" quotePrefix="0" xfId="0"/>
    <xf numFmtId="9" fontId="4" fillId="0" borderId="0" applyAlignment="1" pivotButton="0" quotePrefix="0" xfId="0">
      <alignment horizontal="right"/>
    </xf>
    <xf numFmtId="165" fontId="9" fillId="0" borderId="0" pivotButton="0" quotePrefix="0" xfId="0"/>
    <xf numFmtId="164" fontId="3" fillId="5" borderId="0" pivotButton="0" quotePrefix="0" xfId="0"/>
    <xf numFmtId="164" fontId="4" fillId="0" borderId="1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4" fillId="8" borderId="3" applyAlignment="1" pivotButton="0" quotePrefix="0" xfId="0">
      <alignment horizontal="center" wrapText="1"/>
    </xf>
    <xf numFmtId="164" fontId="3" fillId="8" borderId="5" pivotButton="0" quotePrefix="0" xfId="0"/>
    <xf numFmtId="164" fontId="3" fillId="8" borderId="5" applyAlignment="1" pivotButton="0" quotePrefix="0" xfId="0">
      <alignment horizontal="right"/>
    </xf>
    <xf numFmtId="164" fontId="4" fillId="8" borderId="5" applyAlignment="1" pivotButton="0" quotePrefix="0" xfId="0">
      <alignment horizontal="right"/>
    </xf>
    <xf numFmtId="164" fontId="7" fillId="8" borderId="5" pivotButton="0" quotePrefix="0" xfId="0"/>
    <xf numFmtId="164" fontId="7" fillId="8" borderId="9" pivotButton="0" quotePrefix="0" xfId="0"/>
    <xf numFmtId="9" fontId="4" fillId="8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7" fillId="3" borderId="15" pivotButton="0" quotePrefix="0" xfId="0"/>
    <xf numFmtId="164" fontId="4" fillId="6" borderId="5" pivotButton="0" quotePrefix="0" xfId="0"/>
    <xf numFmtId="164" fontId="4" fillId="8" borderId="5" pivotButton="0" quotePrefix="0" xfId="0"/>
    <xf numFmtId="164" fontId="6" fillId="9" borderId="0" pivotButton="0" quotePrefix="0" xfId="0"/>
    <xf numFmtId="164" fontId="7" fillId="3" borderId="16" pivotButton="0" quotePrefix="0" xfId="0"/>
    <xf numFmtId="164" fontId="2" fillId="8" borderId="0" pivotButton="0" quotePrefix="0" xfId="0"/>
    <xf numFmtId="164" fontId="3" fillId="8" borderId="0" pivotButton="0" quotePrefix="0" xfId="0"/>
    <xf numFmtId="164" fontId="4" fillId="6" borderId="7" applyAlignment="1" pivotButton="0" quotePrefix="0" xfId="0">
      <alignment horizontal="left"/>
    </xf>
    <xf numFmtId="164" fontId="4" fillId="6" borderId="8" pivotButton="0" quotePrefix="0" xfId="0"/>
    <xf numFmtId="168" fontId="12" fillId="0" borderId="0" pivotButton="0" quotePrefix="0" xfId="0"/>
    <xf numFmtId="0" fontId="13" fillId="10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/>
    </xf>
    <xf numFmtId="164" fontId="14" fillId="10" borderId="4" applyAlignment="1" pivotButton="0" quotePrefix="0" xfId="0">
      <alignment horizontal="center"/>
    </xf>
    <xf numFmtId="164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 wrapText="1"/>
    </xf>
    <xf numFmtId="0" fontId="14" fillId="10" borderId="0" applyAlignment="1" pivotButton="0" quotePrefix="0" xfId="0">
      <alignment horizontal="center" wrapText="1"/>
    </xf>
    <xf numFmtId="164" fontId="15" fillId="11" borderId="0" applyAlignment="1" pivotButton="0" quotePrefix="0" xfId="0">
      <alignment horizontal="right" vertical="center"/>
    </xf>
    <xf numFmtId="164" fontId="15" fillId="11" borderId="5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3" fontId="16" fillId="4" borderId="5" applyAlignment="1" pivotButton="0" quotePrefix="0" xfId="0">
      <alignment horizontal="right"/>
    </xf>
    <xf numFmtId="169" fontId="17" fillId="12" borderId="5" applyAlignment="1" pivotButton="0" quotePrefix="0" xfId="0">
      <alignment horizontal="right"/>
    </xf>
    <xf numFmtId="164" fontId="15" fillId="11" borderId="9" applyAlignment="1" pivotButton="0" quotePrefix="0" xfId="0">
      <alignment horizontal="right" vertical="center"/>
    </xf>
    <xf numFmtId="3" fontId="18" fillId="4" borderId="9" applyAlignment="1" pivotButton="0" quotePrefix="0" xfId="0">
      <alignment horizontal="right"/>
    </xf>
    <xf numFmtId="169" fontId="17" fillId="12" borderId="9" applyAlignment="1" pivotButton="0" quotePrefix="0" xfId="0">
      <alignment horizontal="right"/>
    </xf>
    <xf numFmtId="164" fontId="15" fillId="11" borderId="7" applyAlignment="1" pivotButton="0" quotePrefix="0" xfId="0">
      <alignment horizontal="right" vertical="center"/>
    </xf>
    <xf numFmtId="164" fontId="19" fillId="11" borderId="0" applyAlignment="1" pivotButton="0" quotePrefix="0" xfId="0">
      <alignment horizontal="right" vertical="center"/>
    </xf>
    <xf numFmtId="164" fontId="19" fillId="11" borderId="5" applyAlignment="1" pivotButton="0" quotePrefix="0" xfId="0">
      <alignment horizontal="right" vertical="center"/>
    </xf>
    <xf numFmtId="3" fontId="18" fillId="4" borderId="5" applyAlignment="1" pivotButton="0" quotePrefix="0" xfId="0">
      <alignment horizontal="right"/>
    </xf>
    <xf numFmtId="3" fontId="18" fillId="6" borderId="0" applyAlignment="1" pivotButton="0" quotePrefix="0" xfId="0">
      <alignment horizontal="right"/>
    </xf>
    <xf numFmtId="169" fontId="17" fillId="12" borderId="0" applyAlignment="1" pivotButton="0" quotePrefix="0" xfId="0">
      <alignment horizontal="right"/>
    </xf>
    <xf numFmtId="170" fontId="13" fillId="10" borderId="0" applyAlignment="1" pivotButton="0" quotePrefix="0" xfId="0">
      <alignment horizontal="right"/>
    </xf>
    <xf numFmtId="3" fontId="18" fillId="4" borderId="0" applyAlignment="1" pivotButton="0" quotePrefix="0" xfId="0">
      <alignment horizontal="right"/>
    </xf>
    <xf numFmtId="0" fontId="15" fillId="11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/>
    </xf>
    <xf numFmtId="3" fontId="18" fillId="0" borderId="0" applyAlignment="1" pivotButton="0" quotePrefix="0" xfId="0">
      <alignment horizontal="right"/>
    </xf>
    <xf numFmtId="3" fontId="18" fillId="7" borderId="0" applyAlignment="1" pivotButton="0" quotePrefix="0" xfId="0">
      <alignment horizontal="right"/>
    </xf>
    <xf numFmtId="164" fontId="15" fillId="11" borderId="10" applyAlignment="1" pivotButton="0" quotePrefix="0" xfId="0">
      <alignment horizontal="right" vertical="center"/>
    </xf>
    <xf numFmtId="3" fontId="18" fillId="0" borderId="10" applyAlignment="1" pivotButton="0" quotePrefix="0" xfId="0">
      <alignment horizontal="right"/>
    </xf>
    <xf numFmtId="169" fontId="17" fillId="12" borderId="10" applyAlignment="1" pivotButton="0" quotePrefix="0" xfId="0">
      <alignment horizontal="right"/>
    </xf>
    <xf numFmtId="164" fontId="19" fillId="11" borderId="9" applyAlignment="1" pivotButton="0" quotePrefix="0" xfId="0">
      <alignment horizontal="right" vertical="center"/>
    </xf>
    <xf numFmtId="3" fontId="18" fillId="6" borderId="5" applyAlignment="1" pivotButton="0" quotePrefix="0" xfId="0">
      <alignment horizontal="right"/>
    </xf>
    <xf numFmtId="3" fontId="16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/>
      <c r="AB8" s="35" t="n"/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81909.55</v>
      </c>
      <c r="L11" s="41" t="n">
        <v>79250.38</v>
      </c>
      <c r="M11" s="41" t="n">
        <v>96066.59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/>
      <c r="AB16" s="35" t="n"/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/>
      <c r="AB17" s="35" t="n"/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/>
      <c r="AB18" s="35" t="n"/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/>
      <c r="AB19" s="35" t="n"/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/>
      <c r="AB20" s="35" t="n"/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/>
      <c r="AB21" s="35" t="n"/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/>
      <c r="AB23" s="35" t="n"/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35374.13999999999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44824.91999999999</v>
      </c>
      <c r="I25" s="41" t="n">
        <v>40433.25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0.0318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0.004240000000000001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0.006240000000000001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5241.700000000001</v>
      </c>
      <c r="I34" s="41" t="n">
        <v>2724.2</v>
      </c>
      <c r="J34" s="41" t="n">
        <v>1834.64</v>
      </c>
      <c r="K34" s="41" t="n">
        <v>2350.79</v>
      </c>
      <c r="L34" s="41" t="n">
        <v>3297.279999999999</v>
      </c>
      <c r="M34" s="41" t="n">
        <v>2081.55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/>
      <c r="AB37" s="35" t="n"/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/>
      <c r="AB38" s="35" t="n"/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/>
      <c r="AB40" s="35" t="n"/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/>
      <c r="AB41" s="35" t="n"/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/>
      <c r="AB42" s="35" t="n"/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/>
      <c r="AB45" s="35" t="n"/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8320.059999999999</v>
      </c>
      <c r="D47" s="41" t="n">
        <v>5517.520000000001</v>
      </c>
      <c r="E47" s="41" t="n">
        <v>4392.789999999999</v>
      </c>
      <c r="F47" s="41" t="n">
        <v>8657.039999999999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4474.809999999999</v>
      </c>
      <c r="M47" s="41" t="n">
        <v>6126.900000000001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7" t="inlineStr">
        <is>
          <t>Total Direct Costs</t>
        </is>
      </c>
      <c r="B48" s="28" t="n">
        <v>41531.32</v>
      </c>
      <c r="C48" s="28" t="n">
        <v>46853.56999999999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</v>
      </c>
      <c r="J48" s="28" t="n">
        <v>45231.29</v>
      </c>
      <c r="K48" s="28" t="n">
        <v>48751.78</v>
      </c>
      <c r="L48" s="28" t="n">
        <v>45921.57</v>
      </c>
      <c r="M48" s="28" t="n">
        <v>47357.71000000001</v>
      </c>
      <c r="N48" s="35" t="n"/>
      <c r="O48" s="30" t="n"/>
      <c r="P48" s="30" t="n"/>
      <c r="Q48" s="30" t="n"/>
      <c r="R48" s="30" t="n"/>
      <c r="S48" s="30" t="n"/>
      <c r="T48" s="30" t="n"/>
      <c r="U48" s="30" t="n"/>
      <c r="V48" s="31" t="n"/>
      <c r="W48" s="31" t="n"/>
      <c r="X48" s="31" t="n"/>
      <c r="Y48" s="31" t="n"/>
      <c r="Z48" s="31" t="n"/>
      <c r="AA48" s="35" t="n"/>
      <c r="AB48" s="35" t="n"/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15985.21</v>
      </c>
      <c r="C50" s="54" t="n">
        <v>31703.78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10667.11</v>
      </c>
      <c r="J50" s="54" t="n">
        <v>13968.36</v>
      </c>
      <c r="K50" s="54" t="n">
        <v>33157.77</v>
      </c>
      <c r="L50" s="54" t="n">
        <v>33328.81</v>
      </c>
      <c r="M50" s="54" t="n">
        <v>48708.87999999999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/>
      <c r="AB60" s="35" t="n"/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15777.83</v>
      </c>
      <c r="C70" s="54" t="n">
        <v>31494.3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10399.73</v>
      </c>
      <c r="J70" s="54" t="n">
        <v>13761.58</v>
      </c>
      <c r="K70" s="54" t="n">
        <v>32819.77</v>
      </c>
      <c r="L70" s="54" t="n">
        <v>32964.98</v>
      </c>
      <c r="M70" s="54" t="n">
        <v>48166.24999999999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/>
      <c r="AB71" s="55" t="n"/>
      <c r="AC71" s="57" t="n"/>
      <c r="AD71" s="57" t="n"/>
      <c r="AE71" s="57" t="n"/>
      <c r="AF71" s="57" t="n"/>
      <c r="AG71" s="57" t="n"/>
      <c r="AH71" s="57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/>
      <c r="AB72" s="55" t="n"/>
      <c r="AC72" s="57" t="n"/>
      <c r="AD72" s="57" t="n"/>
      <c r="AE72" s="57" t="n"/>
      <c r="AF72" s="57" t="n"/>
      <c r="AG72" s="57" t="n"/>
      <c r="AH72" s="57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/>
      <c r="AB73" s="55" t="n"/>
      <c r="AC73" s="57" t="n"/>
      <c r="AD73" s="57" t="n"/>
      <c r="AE73" s="57" t="n"/>
      <c r="AF73" s="57" t="n"/>
      <c r="AG73" s="57" t="n"/>
      <c r="AH73" s="57" t="n"/>
      <c r="AJ73" s="58" t="inlineStr">
        <is>
          <t>Model assumptions 2027:</t>
        </is>
      </c>
      <c r="AN73" s="55" t="n"/>
      <c r="AO73" s="55" t="n"/>
      <c r="AP73" s="55" t="n"/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59" t="inlineStr">
        <is>
          <t>Fee Uplift not yet in calcs - offer changing this is purely on FAMLY current data</t>
        </is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/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C83" s="63" t="n"/>
      <c r="AD83" s="63" t="n"/>
      <c r="AE83" s="63" t="n"/>
      <c r="AF83" s="63" t="n"/>
      <c r="AG83" s="63" t="n"/>
      <c r="AH83" s="63" t="n"/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C86" s="64" t="n"/>
      <c r="AD86" s="64" t="n"/>
      <c r="AE86" s="64" t="n"/>
      <c r="AF86" s="64" t="n"/>
      <c r="AG86" s="64" t="n"/>
      <c r="AH86" s="64" t="n"/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C87" s="64" t="n"/>
      <c r="AD87" s="64" t="n"/>
      <c r="AE87" s="64" t="n"/>
      <c r="AF87" s="64" t="n"/>
      <c r="AG87" s="64" t="n"/>
      <c r="AH87" s="64" t="n"/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/>
      <c r="AB8" s="35" t="n"/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48602.76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/>
      <c r="AB16" s="35" t="n"/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/>
      <c r="AB17" s="35" t="n"/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/>
      <c r="AB18" s="35" t="n"/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/>
      <c r="AB20" s="35" t="n"/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/>
      <c r="AB37" s="35" t="n"/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/>
      <c r="AB38" s="35" t="n"/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/>
      <c r="AB40" s="35" t="n"/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/>
      <c r="AB41" s="35" t="n"/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4703.050000000001</v>
      </c>
      <c r="C47" s="41" t="n">
        <v>8143.23</v>
      </c>
      <c r="D47" s="41" t="n">
        <v>5927.719999999999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11626.24</v>
      </c>
      <c r="C50" s="54" t="n">
        <v>7011.790000000001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24295.09999999999</v>
      </c>
      <c r="I50" s="54" t="n">
        <v>264.9799999999996</v>
      </c>
      <c r="J50" s="54" t="n">
        <v>4455.510000000002</v>
      </c>
      <c r="K50" s="54" t="n">
        <v>4503.369999999995</v>
      </c>
      <c r="L50" s="54" t="n">
        <v>9337.049999999996</v>
      </c>
      <c r="M50" s="54" t="n">
        <v>17325.98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/>
      <c r="AB60" s="35" t="n"/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11278.46</v>
      </c>
      <c r="C70" s="54" t="n">
        <v>6705.210000000001</v>
      </c>
      <c r="D70" s="54" t="n">
        <v>35352.92</v>
      </c>
      <c r="E70" s="54" t="n">
        <v>14050.32000000001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4252.330000000002</v>
      </c>
      <c r="K70" s="54" t="n">
        <v>4043.919999999996</v>
      </c>
      <c r="L70" s="54" t="n">
        <v>9091.809999999996</v>
      </c>
      <c r="M70" s="54" t="n">
        <v>17028.98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/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  <c r="AN73" s="33" t="n"/>
      <c r="AO73" s="33" t="n"/>
      <c r="AP73" s="33" t="n"/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/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  <c r="AN74" s="33" t="n"/>
      <c r="AO74" s="33" t="n"/>
      <c r="AP74" s="33" t="n"/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/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N75" s="33" t="n"/>
      <c r="AO75" s="33" t="n"/>
      <c r="AP75" s="33" t="n"/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N81" s="59" t="n"/>
      <c r="AA81" s="59" t="n"/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/>
      <c r="AC82" s="64" t="n"/>
      <c r="AD82" s="64" t="n"/>
      <c r="AE82" s="64" t="n"/>
      <c r="AF82" s="64" t="n"/>
      <c r="AG82" s="64" t="n"/>
      <c r="AH82" s="64" t="n"/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C83" s="64" t="n"/>
      <c r="AD83" s="64" t="n"/>
      <c r="AE83" s="64" t="n"/>
      <c r="AF83" s="64" t="n"/>
      <c r="AG83" s="64" t="n"/>
      <c r="AH83" s="64" t="n"/>
    </row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/>
    <row r="87"/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/>
      <c r="AB8" s="35" t="n"/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/>
      <c r="AB16" s="35" t="n"/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/>
      <c r="AB17" s="35" t="n"/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/>
      <c r="AB18" s="35" t="n"/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/>
      <c r="AB19" s="35" t="n"/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/>
      <c r="AB20" s="35" t="n"/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/>
      <c r="AB21" s="35" t="n"/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/>
      <c r="AB23" s="35" t="n"/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66664.72000000002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81352.47000000002</v>
      </c>
      <c r="J25" s="41" t="n">
        <v>92076.14999999999</v>
      </c>
      <c r="K25" s="41" t="n">
        <v>78664.33000000002</v>
      </c>
      <c r="L25" s="41" t="n">
        <v>75195.24000000001</v>
      </c>
      <c r="M25" s="41" t="n">
        <v>73304.81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/>
      <c r="AB30" s="35" t="n"/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5324.829999999999</v>
      </c>
      <c r="C34" s="41" t="n">
        <v>7553.1</v>
      </c>
      <c r="D34" s="41" t="n">
        <v>7044.840000000001</v>
      </c>
      <c r="E34" s="41" t="n">
        <v>5409.81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5207.200000000001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/>
      <c r="AB37" s="35" t="n"/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/>
      <c r="AB38" s="35" t="n"/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/>
      <c r="AB40" s="35" t="n"/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/>
      <c r="AB41" s="35" t="n"/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/>
      <c r="AB42" s="35" t="n"/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9401.230000000001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92268.51000000001</v>
      </c>
      <c r="C48" s="22" t="n">
        <v>85615.26000000001</v>
      </c>
      <c r="D48" s="22" t="n">
        <v>87287.04999999999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90097.54999999999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63673.45999999999</v>
      </c>
      <c r="C50" s="54" t="n">
        <v>88113.21999999997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29408.76999999997</v>
      </c>
      <c r="J50" s="54" t="n">
        <v>23453.08999999998</v>
      </c>
      <c r="K50" s="54" t="n">
        <v>35100.64999999999</v>
      </c>
      <c r="L50" s="54" t="n">
        <v>89454.3</v>
      </c>
      <c r="M50" s="54" t="n">
        <v>131131.14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/>
      <c r="AB60" s="35" t="n"/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63418.50999999999</v>
      </c>
      <c r="C70" s="54" t="n">
        <v>87711.48999999998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28726.59999999998</v>
      </c>
      <c r="J70" s="54" t="n">
        <v>22810.30999999998</v>
      </c>
      <c r="K70" s="54" t="n">
        <v>34761.19</v>
      </c>
      <c r="L70" s="54" t="n">
        <v>88791.55</v>
      </c>
      <c r="M70" s="54" t="n">
        <v>130830.66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C84" s="63" t="n"/>
      <c r="AD84" s="63" t="n"/>
      <c r="AE84" s="63" t="n"/>
      <c r="AF84" s="63" t="n"/>
      <c r="AG84" s="63" t="n"/>
      <c r="AH84" s="63" t="n"/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/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/>
      <c r="AB8" s="35" t="n"/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/>
      <c r="AB16" s="35" t="n"/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/>
      <c r="AB17" s="35" t="n"/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/>
      <c r="AB18" s="35" t="n"/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/>
      <c r="AB19" s="35" t="n"/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/>
      <c r="AB21" s="35" t="n"/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0.003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2334.650000000001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/>
      <c r="AB37" s="35" t="n"/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/>
      <c r="AB38" s="35" t="n"/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/>
      <c r="AB40" s="35" t="n"/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/>
      <c r="AB41" s="35" t="n"/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566.1500000000001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7802.119999999999</v>
      </c>
      <c r="C50" s="54" t="n">
        <v>9313.829999999994</v>
      </c>
      <c r="D50" s="54" t="n">
        <v>19870.49000000001</v>
      </c>
      <c r="E50" s="54" t="n">
        <v>10041.95</v>
      </c>
      <c r="F50" s="54" t="n">
        <v>34.88000000000466</v>
      </c>
      <c r="G50" s="54" t="n">
        <v>13883.58</v>
      </c>
      <c r="H50" s="54" t="n">
        <v>17477.75</v>
      </c>
      <c r="I50" s="54" t="n">
        <v>1925.619999999999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7885.799999999996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452.6899999999999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7600.139999999999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-278.0799999999953</v>
      </c>
      <c r="G70" s="54" t="n">
        <v>13009.61</v>
      </c>
      <c r="H70" s="54" t="n">
        <v>15197.46</v>
      </c>
      <c r="I70" s="54" t="n">
        <v>84.97999999999911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7411.819999999996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/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/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/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/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/>
      <c r="AC80" s="67" t="n"/>
      <c r="AD80" s="67" t="n"/>
      <c r="AE80" s="67" t="n"/>
      <c r="AF80" s="67" t="n"/>
      <c r="AG80" s="67" t="n"/>
      <c r="AH80" s="67" t="n"/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/>
    <row r="87"/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/>
      <c r="AB8" s="35" t="n"/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/>
      <c r="AB16" s="35" t="n"/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/>
      <c r="AB17" s="35" t="n"/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/>
      <c r="AB18" s="35" t="n"/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/>
      <c r="AB19" s="35" t="n"/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/>
      <c r="AB21" s="35" t="n"/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26356.50999999999</v>
      </c>
      <c r="K25" s="41" t="n">
        <v>26819.11</v>
      </c>
      <c r="L25" s="41" t="n">
        <v>25918.13</v>
      </c>
      <c r="M25" s="41" t="n">
        <v>27401.22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/>
      <c r="AB37" s="35" t="n"/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/>
      <c r="AB38" s="35" t="n"/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2500</v>
      </c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/>
      <c r="AB40" s="35" t="n"/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/>
      <c r="AB41" s="35" t="n"/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6465.360000000001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5447.849999999999</v>
      </c>
      <c r="I47" s="41" t="n">
        <v>5311.48</v>
      </c>
      <c r="J47" s="41" t="n">
        <v>6571.339999999998</v>
      </c>
      <c r="K47" s="41" t="n">
        <v>5300.97</v>
      </c>
      <c r="L47" s="41" t="n">
        <v>5073.289999999999</v>
      </c>
      <c r="M47" s="41" t="n">
        <v>5209.6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31831.28000000001</v>
      </c>
      <c r="G48" s="22" t="n">
        <v>29807.02</v>
      </c>
      <c r="H48" s="22" t="n">
        <v>30193.16</v>
      </c>
      <c r="I48" s="22" t="n">
        <v>27984.07</v>
      </c>
      <c r="J48" s="22" t="n">
        <v>34577.26999999999</v>
      </c>
      <c r="K48" s="22" t="n">
        <v>35013.71000000001</v>
      </c>
      <c r="L48" s="22" t="n">
        <v>32589.16</v>
      </c>
      <c r="M48" s="22" t="n">
        <v>34171.99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4702.150000000005</v>
      </c>
      <c r="C50" s="54" t="n">
        <v>9830.25</v>
      </c>
      <c r="D50" s="54" t="n">
        <v>14660.06</v>
      </c>
      <c r="E50" s="54" t="n">
        <v>9405.139999999992</v>
      </c>
      <c r="F50" s="54" t="n">
        <v>3363.499999999993</v>
      </c>
      <c r="G50" s="54" t="n">
        <v>25736.44999999999</v>
      </c>
      <c r="H50" s="54" t="n">
        <v>36114.42</v>
      </c>
      <c r="I50" s="54" t="n">
        <v>14083.1</v>
      </c>
      <c r="J50" s="54" t="n">
        <v>4832.140000000014</v>
      </c>
      <c r="K50" s="54" t="n">
        <v>14782.98</v>
      </c>
      <c r="L50" s="54" t="n">
        <v>13216.52</v>
      </c>
      <c r="M50" s="54" t="n">
        <v>25856.18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4491.070000000005</v>
      </c>
      <c r="C70" s="54" t="n">
        <v>9619.17</v>
      </c>
      <c r="D70" s="54" t="n">
        <v>14388.98</v>
      </c>
      <c r="E70" s="54" t="n">
        <v>7780.539999999992</v>
      </c>
      <c r="F70" s="54" t="n">
        <v>2982.449999999993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4547.910000000014</v>
      </c>
      <c r="K70" s="54" t="n">
        <v>14005.52</v>
      </c>
      <c r="L70" s="54" t="n">
        <v>12832.86</v>
      </c>
      <c r="M70" s="54" t="n">
        <v>24719.25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/>
      <c r="AB71" s="55" t="n"/>
    </row>
    <row r="72">
      <c r="A72" s="21" t="n"/>
      <c r="AA72" s="59" t="n"/>
      <c r="AB72" s="55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B73" s="59" t="n"/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B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B75" s="59" t="n"/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/>
      <c r="AB78" s="55" t="n"/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/>
      <c r="AB79" s="55" t="n"/>
      <c r="AC79" s="55" t="n"/>
      <c r="AD79" s="55" t="n"/>
      <c r="AE79" s="55" t="n"/>
      <c r="AF79" s="55" t="n"/>
      <c r="AG79" s="55" t="n"/>
      <c r="AH79" s="55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/>
      <c r="AB80" s="55" t="n"/>
      <c r="AC80" s="55" t="n"/>
      <c r="AD80" s="55" t="n"/>
      <c r="AE80" s="55" t="n"/>
      <c r="AF80" s="55" t="n"/>
      <c r="AG80" s="55" t="n"/>
      <c r="AH80" s="55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/>
      <c r="AB81" s="55" t="n"/>
      <c r="AC81" s="55" t="n"/>
      <c r="AD81" s="55" t="n"/>
      <c r="AE81" s="55" t="n"/>
      <c r="AF81" s="55" t="n"/>
      <c r="AG81" s="55" t="n"/>
      <c r="AH81" s="55" t="n"/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/>
      <c r="AB82" s="55" t="n"/>
      <c r="AC82" s="55" t="n"/>
      <c r="AD82" s="55" t="n"/>
      <c r="AE82" s="55" t="n"/>
      <c r="AF82" s="55" t="n"/>
      <c r="AG82" s="55" t="n"/>
      <c r="AH82" s="55" t="n"/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/>
      <c r="AB83" s="55" t="n"/>
      <c r="AC83" s="55" t="n"/>
      <c r="AD83" s="55" t="n"/>
      <c r="AE83" s="55" t="n"/>
      <c r="AF83" s="55" t="n"/>
      <c r="AG83" s="55" t="n"/>
      <c r="AH83" s="55" t="n"/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/>
      <c r="AB84" s="55" t="n"/>
      <c r="AC84" s="55" t="n"/>
      <c r="AD84" s="55" t="n"/>
      <c r="AE84" s="55" t="n"/>
      <c r="AF84" s="55" t="n"/>
      <c r="AG84" s="55" t="n"/>
      <c r="AH84" s="55" t="n"/>
    </row>
    <row r="85">
      <c r="A85" s="59" t="inlineStr">
        <is>
          <t>Memo</t>
        </is>
      </c>
      <c r="AA85" s="59" t="n"/>
      <c r="AB85" s="55" t="n"/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/>
      <c r="AC92" s="63" t="n"/>
      <c r="AD92" s="63" t="n"/>
      <c r="AE92" s="63" t="n"/>
      <c r="AF92" s="63" t="n"/>
      <c r="AG92" s="63" t="n"/>
      <c r="AH92" s="63" t="n"/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</row>
    <row r="94"/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/>
      <c r="AB8" s="35" t="n"/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78535.48000000001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/>
      <c r="AB16" s="35" t="n"/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/>
      <c r="AB17" s="35" t="n"/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/>
      <c r="AB18" s="35" t="n"/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/>
      <c r="AB20" s="35" t="n"/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/>
      <c r="AB21" s="35" t="n"/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37369.00000000001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/>
      <c r="AB28" s="35" t="n"/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/>
      <c r="AB30" s="35" t="n"/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/>
      <c r="AB31" s="35" t="n"/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3448.529999999999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/>
      <c r="AB37" s="35" t="n"/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/>
      <c r="AB38" s="35" t="n"/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/>
      <c r="AB40" s="35" t="n"/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/>
      <c r="AB41" s="35" t="n"/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50256.50999999999</v>
      </c>
      <c r="I48" s="22" t="n">
        <v>47419.56</v>
      </c>
      <c r="J48" s="22" t="n">
        <v>47312.21</v>
      </c>
      <c r="K48" s="22" t="n">
        <v>41509.03999999999</v>
      </c>
      <c r="L48" s="22" t="n">
        <v>41165.17</v>
      </c>
      <c r="M48" s="22" t="n">
        <v>43747.36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6130.860000000001</v>
      </c>
      <c r="J50" s="54" t="n">
        <v>3674.260000000002</v>
      </c>
      <c r="K50" s="54" t="n">
        <v>8665.200000000004</v>
      </c>
      <c r="L50" s="54" t="n">
        <v>24390.98</v>
      </c>
      <c r="M50" s="54" t="n">
        <v>34788.12000000001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/>
      <c r="AB60" s="35" t="n"/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/>
      <c r="AB62" s="35" t="n"/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46817.39000000001</v>
      </c>
      <c r="I70" s="54" t="n">
        <v>5746.48</v>
      </c>
      <c r="J70" s="54" t="n">
        <v>3400.480000000002</v>
      </c>
      <c r="K70" s="54" t="n">
        <v>8365.140000000005</v>
      </c>
      <c r="L70" s="54" t="n">
        <v>24122.25999999999</v>
      </c>
      <c r="M70" s="54" t="n">
        <v>34355.94000000001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/>
      <c r="AB8" s="35" t="n"/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/>
      <c r="AB16" s="35" t="n"/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/>
      <c r="AB17" s="35" t="n"/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/>
      <c r="AB18" s="35" t="n"/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/>
      <c r="AB19" s="35" t="n"/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/>
      <c r="AB21" s="35" t="n"/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/>
      <c r="AB23" s="35" t="n"/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7796.090000000001</v>
      </c>
      <c r="M25" s="41" t="n">
        <v>7730.190000000001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4105.969999999999</v>
      </c>
      <c r="K34" s="41" t="n">
        <v>124.19</v>
      </c>
      <c r="L34" s="41" t="n">
        <v>177.9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0</v>
      </c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/>
      <c r="AB37" s="35" t="n"/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/>
      <c r="AB38" s="35" t="n"/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/>
      <c r="AB40" s="35" t="n"/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/>
      <c r="AB41" s="35" t="n"/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/>
      <c r="AB43" s="35" t="n"/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9156.029999999999</v>
      </c>
      <c r="H47" s="41" t="n">
        <v>3734.81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9156.029999999999</v>
      </c>
      <c r="H48" s="22" t="n">
        <v>3744.110000000001</v>
      </c>
      <c r="I48" s="22" t="n">
        <v>2372.57</v>
      </c>
      <c r="J48" s="22" t="n">
        <v>12892.24</v>
      </c>
      <c r="K48" s="22" t="n">
        <v>8634.199999999999</v>
      </c>
      <c r="L48" s="22" t="n">
        <v>9350.68</v>
      </c>
      <c r="M48" s="22" t="n">
        <v>8762.5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-9156.029999999999</v>
      </c>
      <c r="H50" s="54" t="n">
        <v>-3744.110000000001</v>
      </c>
      <c r="I50" s="54" t="n">
        <v>-2372.57</v>
      </c>
      <c r="J50" s="54" t="n">
        <v>-11368.6</v>
      </c>
      <c r="K50" s="54" t="n">
        <v>-7640.539999999999</v>
      </c>
      <c r="L50" s="54" t="n">
        <v>-1707.05</v>
      </c>
      <c r="M50" s="54" t="n">
        <v>-607.0100000000002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-9415.829999999998</v>
      </c>
      <c r="H70" s="54" t="n">
        <v>-3958.910000000001</v>
      </c>
      <c r="I70" s="54" t="n">
        <v>-2587.37</v>
      </c>
      <c r="J70" s="54" t="n">
        <v>-11592.2</v>
      </c>
      <c r="K70" s="54" t="n">
        <v>-7924.139999999999</v>
      </c>
      <c r="L70" s="54" t="n">
        <v>-1982.3</v>
      </c>
      <c r="M70" s="54" t="n">
        <v>-1002.13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/>
      <c r="AB8" s="35" t="n"/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/>
      <c r="AB16" s="35" t="n"/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/>
      <c r="AB17" s="35" t="n"/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/>
      <c r="AB18" s="35" t="n"/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/>
      <c r="AB19" s="35" t="n"/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/>
      <c r="AB21" s="35" t="n"/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/>
      <c r="AB23" s="35" t="n"/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30380.50999999999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41626.15000000001</v>
      </c>
      <c r="L25" s="41" t="n">
        <v>40639.57</v>
      </c>
      <c r="M25" s="41" t="n">
        <v>41667.54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/>
      <c r="AB37" s="35" t="n"/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/>
      <c r="AB38" s="35" t="n"/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/>
      <c r="AB40" s="35" t="n"/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/>
      <c r="AB41" s="35" t="n"/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5508.779999999999</v>
      </c>
      <c r="G47" s="41" t="n">
        <v>4280.34</v>
      </c>
      <c r="H47" s="41" t="n">
        <v>3254.25</v>
      </c>
      <c r="I47" s="41" t="n">
        <v>1856.43</v>
      </c>
      <c r="J47" s="41" t="n">
        <v>6950.940000000001</v>
      </c>
      <c r="K47" s="41" t="n">
        <v>4994.45</v>
      </c>
      <c r="L47" s="41" t="n">
        <v>5308.799999999999</v>
      </c>
      <c r="M47" s="41" t="n">
        <v>4477.679999999999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39924.80999999999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21076.90000000001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7164.869999999995</v>
      </c>
      <c r="K50" s="54" t="n">
        <v>3745.629999999997</v>
      </c>
      <c r="L50" s="54" t="n">
        <v>15267.35</v>
      </c>
      <c r="M50" s="54" t="n">
        <v>26674.6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20643.53000000001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6837.109999999995</v>
      </c>
      <c r="K70" s="54" t="n">
        <v>3148.439999999997</v>
      </c>
      <c r="L70" s="54" t="n">
        <v>14708.07</v>
      </c>
      <c r="M70" s="54" t="n">
        <v>26138.48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/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/>
      <c r="AB8" s="35" t="n"/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/>
      <c r="AB16" s="35" t="n"/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/>
      <c r="AB17" s="35" t="n"/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/>
      <c r="AB18" s="35" t="n"/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0.004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/>
      <c r="AB30" s="35" t="n"/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0.006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/>
      <c r="AB37" s="35" t="n"/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/>
      <c r="AB38" s="35" t="n"/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/>
      <c r="AB40" s="35" t="n"/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/>
      <c r="AB41" s="35" t="n"/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22226.15000000001</v>
      </c>
      <c r="M48" s="22" t="n">
        <v>20068.34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9445.139999999999</v>
      </c>
      <c r="J50" s="54" t="n">
        <v>3773.810000000001</v>
      </c>
      <c r="K50" s="54" t="n">
        <v>4362.52</v>
      </c>
      <c r="L50" s="54" t="n">
        <v>12109.82999999999</v>
      </c>
      <c r="M50" s="54" t="n">
        <v>21031.25999999999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350.5699999999999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9241.359999999999</v>
      </c>
      <c r="J70" s="54" t="n">
        <v>3552.030000000001</v>
      </c>
      <c r="K70" s="54" t="n">
        <v>3852.62</v>
      </c>
      <c r="L70" s="54" t="n">
        <v>11543.65999999999</v>
      </c>
      <c r="M70" s="54" t="n">
        <v>20768.42999999999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/>
      <c r="AB8" s="35" t="n"/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/>
      <c r="AB16" s="35" t="n"/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/>
      <c r="AB17" s="35" t="n"/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/>
      <c r="AB18" s="35" t="n"/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/>
      <c r="AB19" s="35" t="n"/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22962.82999999999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0.0624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4000</v>
      </c>
      <c r="X39" s="37" t="n">
        <v>3000</v>
      </c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/>
      <c r="AB40" s="35" t="n"/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/>
      <c r="AB41" s="35" t="n"/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27560.15000000001</v>
      </c>
      <c r="M48" s="22" t="n">
        <v>28824.44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14736.45</v>
      </c>
      <c r="C50" s="54" t="n">
        <v>10496.75999999999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4331.549999999996</v>
      </c>
      <c r="J50" s="54" t="n">
        <v>2517.939999999999</v>
      </c>
      <c r="K50" s="54" t="n">
        <v>2547.390000000007</v>
      </c>
      <c r="L50" s="54" t="n">
        <v>9147.700000000001</v>
      </c>
      <c r="M50" s="54" t="n">
        <v>8650.330000000009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14520.47</v>
      </c>
      <c r="C70" s="54" t="n">
        <v>10292.97999999999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4128.369999999995</v>
      </c>
      <c r="J70" s="54" t="n">
        <v>2294.819999999999</v>
      </c>
      <c r="K70" s="54" t="n">
        <v>2105.060000000007</v>
      </c>
      <c r="L70" s="54" t="n">
        <v>8879.41</v>
      </c>
      <c r="M70" s="54" t="n">
        <v>7885.720000000009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/>
      <c r="AB8" s="35" t="n"/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/>
      <c r="AB16" s="35" t="n"/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/>
      <c r="AB17" s="35" t="n"/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/>
      <c r="AB18" s="35" t="n"/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/>
      <c r="AB19" s="35" t="n"/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/>
      <c r="AB21" s="35" t="n"/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/>
      <c r="AB23" s="35" t="n"/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35747.46999999999</v>
      </c>
      <c r="D25" s="41" t="n">
        <v>37292.51</v>
      </c>
      <c r="E25" s="41" t="n">
        <v>44556.27</v>
      </c>
      <c r="F25" s="41" t="n">
        <v>44581.99999999999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/>
      <c r="AB30" s="35" t="n"/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3326.059999999999</v>
      </c>
      <c r="M34" s="41" t="n">
        <v>2907.57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/>
      <c r="AB37" s="35" t="n"/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/>
      <c r="AB38" s="35" t="n"/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3500</v>
      </c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/>
      <c r="AB40" s="35" t="n"/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/>
      <c r="AB41" s="35" t="n"/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9113.110000000001</v>
      </c>
      <c r="E47" s="41" t="n">
        <v>5437.920000000001</v>
      </c>
      <c r="F47" s="41" t="n">
        <v>5060.87</v>
      </c>
      <c r="G47" s="41" t="n">
        <v>6472.48</v>
      </c>
      <c r="H47" s="41" t="n">
        <v>4956.949999999999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5448.130000000001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44251.96</v>
      </c>
      <c r="C48" s="22" t="n">
        <v>43491.67999999999</v>
      </c>
      <c r="D48" s="22" t="n">
        <v>49736.96000000001</v>
      </c>
      <c r="E48" s="22" t="n">
        <v>53145.19</v>
      </c>
      <c r="F48" s="22" t="n">
        <v>53370.99999999999</v>
      </c>
      <c r="G48" s="22" t="n">
        <v>46761.42</v>
      </c>
      <c r="H48" s="22" t="n">
        <v>51645.13</v>
      </c>
      <c r="I48" s="22" t="n">
        <v>52213.53999999999</v>
      </c>
      <c r="J48" s="22" t="n">
        <v>53240.59</v>
      </c>
      <c r="K48" s="22" t="n">
        <v>56700.37</v>
      </c>
      <c r="L48" s="22" t="n">
        <v>45739.92</v>
      </c>
      <c r="M48" s="22" t="n">
        <v>45927.28999999999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54802.88000000001</v>
      </c>
      <c r="C50" s="54" t="n">
        <v>46070.28000000001</v>
      </c>
      <c r="D50" s="54" t="n">
        <v>51681.73</v>
      </c>
      <c r="E50" s="54" t="n">
        <v>52382.08</v>
      </c>
      <c r="F50" s="54" t="n">
        <v>45925.59000000001</v>
      </c>
      <c r="G50" s="54" t="n">
        <v>49640.09000000001</v>
      </c>
      <c r="H50" s="54" t="n">
        <v>96983.07999999999</v>
      </c>
      <c r="I50" s="54" t="n">
        <v>34467.90000000001</v>
      </c>
      <c r="J50" s="54" t="n">
        <v>39061.13999999999</v>
      </c>
      <c r="K50" s="54" t="n">
        <v>32091.63</v>
      </c>
      <c r="L50" s="54" t="n">
        <v>63582.40999999999</v>
      </c>
      <c r="M50" s="54" t="n">
        <v>83169.40999999999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692.6900000000001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54453.13000000001</v>
      </c>
      <c r="C70" s="54" t="n">
        <v>45737.32000000001</v>
      </c>
      <c r="D70" s="54" t="n">
        <v>51270.46</v>
      </c>
      <c r="E70" s="54" t="n">
        <v>52041.93</v>
      </c>
      <c r="F70" s="54" t="n">
        <v>45232.90000000001</v>
      </c>
      <c r="G70" s="54" t="n">
        <v>49194.22000000001</v>
      </c>
      <c r="H70" s="54" t="n">
        <v>96540.91999999998</v>
      </c>
      <c r="I70" s="54" t="n">
        <v>33958.59000000001</v>
      </c>
      <c r="J70" s="54" t="n">
        <v>38675.89999999999</v>
      </c>
      <c r="K70" s="54" t="n">
        <v>31481.03</v>
      </c>
      <c r="L70" s="54" t="n">
        <v>62841.03999999999</v>
      </c>
      <c r="M70" s="54" t="n">
        <v>82058.80999999998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A71" s="59" t="n"/>
      <c r="AB71" s="55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/>
      <c r="AB8" s="35" t="n"/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/>
      <c r="AB16" s="35" t="n"/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/>
      <c r="AB17" s="35" t="n"/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/>
      <c r="AB18" s="35" t="n"/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/>
      <c r="AB19" s="35" t="n"/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/>
      <c r="AB21" s="35" t="n"/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/>
      <c r="AB23" s="35" t="n"/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/>
      <c r="AB37" s="35" t="n"/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/>
      <c r="AB38" s="35" t="n"/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2000</v>
      </c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/>
      <c r="AB40" s="35" t="n"/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/>
      <c r="AB41" s="35" t="n"/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5016.860000000001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147.9299999999999</v>
      </c>
      <c r="K47" s="41" t="n">
        <v>4427.900000000001</v>
      </c>
      <c r="L47" s="41" t="n">
        <v>4384.09</v>
      </c>
      <c r="M47" s="41" t="n">
        <v>3489.5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7766.750000000007</v>
      </c>
      <c r="E50" s="54" t="n">
        <v>42.0099999999984</v>
      </c>
      <c r="F50" s="54" t="n">
        <v>-5053.139999999999</v>
      </c>
      <c r="G50" s="54" t="n">
        <v>5661.93</v>
      </c>
      <c r="H50" s="54" t="n">
        <v>13482.26000000001</v>
      </c>
      <c r="I50" s="54" t="n">
        <v>2075.750000000004</v>
      </c>
      <c r="J50" s="54" t="n">
        <v>5444.629999999997</v>
      </c>
      <c r="K50" s="54" t="n">
        <v>1560.769999999997</v>
      </c>
      <c r="L50" s="54" t="n">
        <v>2765.050000000003</v>
      </c>
      <c r="M50" s="54" t="n">
        <v>5973.829999999998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7263.790000000007</v>
      </c>
      <c r="E70" s="54" t="n">
        <v>-162.9700000000016</v>
      </c>
      <c r="F70" s="54" t="n">
        <v>-5365.91</v>
      </c>
      <c r="G70" s="54" t="n">
        <v>5298.070000000001</v>
      </c>
      <c r="H70" s="54" t="n">
        <v>13277.88000000001</v>
      </c>
      <c r="I70" s="54" t="n">
        <v>1871.370000000004</v>
      </c>
      <c r="J70" s="54" t="n">
        <v>5240.259999999997</v>
      </c>
      <c r="K70" s="54" t="n">
        <v>1153.089999999997</v>
      </c>
      <c r="L70" s="54" t="n">
        <v>2170.480000000003</v>
      </c>
      <c r="M70" s="54" t="n">
        <v>5416.609999999998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/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C93" s="63" t="n"/>
      <c r="AD93" s="63" t="n"/>
      <c r="AE93" s="63" t="n"/>
      <c r="AF93" s="63" t="n"/>
      <c r="AG93" s="63" t="n"/>
      <c r="AH93" s="63" t="n"/>
      <c r="AJ93" s="63" t="n"/>
      <c r="AK93" s="63" t="n"/>
      <c r="AL93" s="63" t="n"/>
      <c r="AM93" s="63" t="n"/>
      <c r="AN93" s="63" t="n"/>
      <c r="AO93" s="63" t="n"/>
      <c r="AP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/>
      <c r="AB8" s="35" t="n"/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/>
      <c r="AB16" s="35" t="n"/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/>
      <c r="AB17" s="35" t="n"/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/>
      <c r="AB18" s="35" t="n"/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/>
      <c r="AB19" s="35" t="n"/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/>
      <c r="AB21" s="35" t="n"/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35515.60000000001</v>
      </c>
      <c r="F25" s="41" t="n">
        <v>37014.82</v>
      </c>
      <c r="G25" s="41" t="n">
        <v>36110.2</v>
      </c>
      <c r="H25" s="41" t="n">
        <v>40331.65</v>
      </c>
      <c r="I25" s="41" t="n">
        <v>40312.61000000001</v>
      </c>
      <c r="J25" s="41" t="n">
        <v>44205.37999999999</v>
      </c>
      <c r="K25" s="41" t="n">
        <v>47217.03999999999</v>
      </c>
      <c r="L25" s="41" t="n">
        <v>41692.43</v>
      </c>
      <c r="M25" s="41" t="n">
        <v>40607.9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3141.140000000001</v>
      </c>
      <c r="D34" s="41" t="n">
        <v>2587.19</v>
      </c>
      <c r="E34" s="41" t="n">
        <v>2671.159999999999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/>
      <c r="AB37" s="35" t="n"/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/>
      <c r="AB38" s="35" t="n"/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>
        <v>2000</v>
      </c>
      <c r="Y39" s="37" t="n">
        <v>2000</v>
      </c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/>
      <c r="AB40" s="35" t="n"/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/>
      <c r="AB41" s="35" t="n"/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/>
      <c r="AB43" s="35" t="n"/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/>
      <c r="AB45" s="35" t="n"/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1970.299999999999</v>
      </c>
      <c r="C47" s="41" t="n">
        <v>4780.01</v>
      </c>
      <c r="D47" s="41" t="n">
        <v>6169.02</v>
      </c>
      <c r="E47" s="41" t="n">
        <v>9893.169999999998</v>
      </c>
      <c r="F47" s="41" t="n">
        <v>5336.36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48079.93</v>
      </c>
      <c r="F48" s="22" t="n">
        <v>45061.75</v>
      </c>
      <c r="G48" s="22" t="n">
        <v>41887.21</v>
      </c>
      <c r="H48" s="22" t="n">
        <v>46995.76</v>
      </c>
      <c r="I48" s="22" t="n">
        <v>45778.62000000001</v>
      </c>
      <c r="J48" s="22" t="n">
        <v>51054.04999999999</v>
      </c>
      <c r="K48" s="22" t="n">
        <v>54676.12</v>
      </c>
      <c r="L48" s="22" t="n">
        <v>47806.94</v>
      </c>
      <c r="M48" s="22" t="n">
        <v>47768.84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15223.57999999999</v>
      </c>
      <c r="C50" s="54" t="n">
        <v>17713.23</v>
      </c>
      <c r="D50" s="54" t="n">
        <v>32478.08000000002</v>
      </c>
      <c r="E50" s="54" t="n">
        <v>17947.43</v>
      </c>
      <c r="F50" s="54" t="n">
        <v>7137.43</v>
      </c>
      <c r="G50" s="54" t="n">
        <v>23971.56</v>
      </c>
      <c r="H50" s="54" t="n">
        <v>39470.94999999999</v>
      </c>
      <c r="I50" s="54" t="n">
        <v>8677.649999999994</v>
      </c>
      <c r="J50" s="54" t="n">
        <v>11286.18000000001</v>
      </c>
      <c r="K50" s="54" t="n">
        <v>7367.850000000006</v>
      </c>
      <c r="L50" s="54" t="n">
        <v>29751.17999999999</v>
      </c>
      <c r="M50" s="54" t="n">
        <v>55101.27000000001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</v>
      </c>
      <c r="F70" s="54" t="n">
        <v>6925.56</v>
      </c>
      <c r="G70" s="54" t="n">
        <v>23535.28000000001</v>
      </c>
      <c r="H70" s="54" t="n">
        <v>38823.55999999999</v>
      </c>
      <c r="I70" s="54" t="n">
        <v>8415.829999999994</v>
      </c>
      <c r="J70" s="54" t="n">
        <v>10740.90000000001</v>
      </c>
      <c r="K70" s="54" t="n">
        <v>6886.050000000006</v>
      </c>
      <c r="L70" s="54" t="n">
        <v>29431.03999999999</v>
      </c>
      <c r="M70" s="54" t="n">
        <v>53445.12000000001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/>
      <c r="AB71" s="55" t="n"/>
    </row>
    <row r="72">
      <c r="A72" s="21" t="n"/>
      <c r="AB72" s="55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B73" s="59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B74" s="59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B75" s="59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J78" t="inlineStr">
        <is>
          <t>Inflation</t>
        </is>
      </c>
      <c r="AL78" s="60" t="n">
        <v>0.06</v>
      </c>
      <c r="AM78" s="61" t="n"/>
    </row>
    <row r="79"/>
    <row r="80"/>
    <row r="81">
      <c r="A81" s="59" t="inlineStr">
        <is>
          <t>Memo</t>
        </is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/>
      <c r="AB8" s="35" t="n"/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/>
      <c r="AB16" s="35" t="n"/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/>
      <c r="AB17" s="35" t="n"/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/>
      <c r="AB18" s="35" t="n"/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/>
      <c r="AB19" s="35" t="n"/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/>
      <c r="AB21" s="35" t="n"/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/>
      <c r="AB23" s="35" t="n"/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26280.16999999999</v>
      </c>
      <c r="K25" s="41" t="n">
        <v>29836.96</v>
      </c>
      <c r="L25" s="41" t="n">
        <v>28754.76000000001</v>
      </c>
      <c r="M25" s="41" t="n">
        <v>32133.9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79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/>
      <c r="AB37" s="35" t="n"/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/>
      <c r="AB38" s="35" t="n"/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/>
      <c r="AB40" s="35" t="n"/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/>
      <c r="AB41" s="35" t="n"/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4189.690000000001</v>
      </c>
      <c r="D47" s="41" t="n">
        <v>4380.84</v>
      </c>
      <c r="E47" s="41" t="n">
        <v>3961.160000000001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31224.38999999999</v>
      </c>
      <c r="K48" s="22" t="n">
        <v>35307.81</v>
      </c>
      <c r="L48" s="22" t="n">
        <v>34001.71000000001</v>
      </c>
      <c r="M48" s="22" t="n">
        <v>36306.48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8862.019999999997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2010.810000000005</v>
      </c>
      <c r="K50" s="54" t="n">
        <v>-3943.790000000008</v>
      </c>
      <c r="L50" s="54" t="n">
        <v>11333.42999999999</v>
      </c>
      <c r="M50" s="54" t="n">
        <v>17465.84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8608.859999999997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1807.040000000005</v>
      </c>
      <c r="K70" s="54" t="n">
        <v>-4245.730000000008</v>
      </c>
      <c r="L70" s="54" t="n">
        <v>11104.48999999999</v>
      </c>
      <c r="M70" s="54" t="n">
        <v>16812.09999999999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/>
      <c r="AC80" s="63" t="n"/>
      <c r="AD80" s="63" t="n"/>
      <c r="AE80" s="63" t="n"/>
      <c r="AF80" s="63" t="n"/>
      <c r="AG80" s="63" t="n"/>
      <c r="AH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/>
      <c r="AB8" s="35" t="n"/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/>
      <c r="AB16" s="35" t="n"/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/>
      <c r="AB17" s="35" t="n"/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/>
      <c r="AB18" s="35" t="n"/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/>
      <c r="AB19" s="35" t="n"/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/>
      <c r="AB21" s="35" t="n"/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/>
      <c r="AB23" s="35" t="n"/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38381.55999999999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2451.319999999999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/>
      <c r="AB37" s="35" t="n"/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/>
      <c r="AB38" s="35" t="n"/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/>
      <c r="AB40" s="35" t="n"/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/>
      <c r="AB41" s="35" t="n"/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3948.200000000001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30964.44</v>
      </c>
      <c r="C50" s="54" t="n">
        <v>29972.41</v>
      </c>
      <c r="D50" s="54" t="n">
        <v>36620.25999999999</v>
      </c>
      <c r="E50" s="54" t="n">
        <v>20818.31000000001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19165.51000000001</v>
      </c>
      <c r="L50" s="54" t="n">
        <v>29540.50999999999</v>
      </c>
      <c r="M50" s="54" t="n">
        <v>36823.30999999999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30756.46</v>
      </c>
      <c r="C70" s="54" t="n">
        <v>29623.23</v>
      </c>
      <c r="D70" s="54" t="n">
        <v>36231.07999999999</v>
      </c>
      <c r="E70" s="54" t="n">
        <v>20319.63000000001</v>
      </c>
      <c r="F70" s="54" t="n">
        <v>29258.16</v>
      </c>
      <c r="G70" s="54" t="n">
        <v>26030.14999999999</v>
      </c>
      <c r="H70" s="54" t="n">
        <v>45442.41</v>
      </c>
      <c r="I70" s="54" t="n">
        <v>22510.72</v>
      </c>
      <c r="J70" s="54" t="n">
        <v>26882.89</v>
      </c>
      <c r="K70" s="54" t="n">
        <v>18862.26000000001</v>
      </c>
      <c r="L70" s="54" t="n">
        <v>29279.70999999999</v>
      </c>
      <c r="M70" s="54" t="n">
        <v>36324.57999999999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/>
      <c r="AB8" s="35" t="n"/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/>
      <c r="AB16" s="35" t="n"/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/>
      <c r="AB17" s="35" t="n"/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/>
      <c r="AB18" s="35" t="n"/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/>
      <c r="AB19" s="35" t="n"/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/>
      <c r="AB21" s="35" t="n"/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/>
      <c r="AB23" s="35" t="n"/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27676.99000000001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/>
      <c r="AB30" s="35" t="n"/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952.25</v>
      </c>
      <c r="L34" s="41" t="n">
        <v>992.9399999999999</v>
      </c>
      <c r="M34" s="41" t="n">
        <v>914.14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/>
      <c r="AB37" s="35" t="n"/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/>
      <c r="AB38" s="35" t="n"/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/>
      <c r="AB40" s="35" t="n"/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/>
      <c r="AB41" s="35" t="n"/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6037.919999999999</v>
      </c>
      <c r="E47" s="41" t="n">
        <v>8868.169999999998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30133.06</v>
      </c>
      <c r="C50" s="54" t="n">
        <v>21758.91000000001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6195.919999999995</v>
      </c>
      <c r="K50" s="54" t="n">
        <v>6296.490000000002</v>
      </c>
      <c r="L50" s="54" t="n">
        <v>3415.890000000003</v>
      </c>
      <c r="M50" s="54" t="n">
        <v>10865.79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29880.48</v>
      </c>
      <c r="C70" s="54" t="n">
        <v>20973.27000000001</v>
      </c>
      <c r="D70" s="54" t="n">
        <v>27548.64</v>
      </c>
      <c r="E70" s="54" t="n">
        <v>26914.55</v>
      </c>
      <c r="F70" s="54" t="n">
        <v>20444.26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5992.739999999994</v>
      </c>
      <c r="K70" s="54" t="n">
        <v>5999.500000000002</v>
      </c>
      <c r="L70" s="54" t="n">
        <v>2955.130000000003</v>
      </c>
      <c r="M70" s="54" t="n">
        <v>10649.79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/>
      <c r="O8" s="36" t="n"/>
      <c r="P8" s="36" t="n"/>
      <c r="Q8" s="36" t="n"/>
      <c r="R8" s="36" t="n"/>
      <c r="S8" s="36" t="n"/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/>
      <c r="AB8" s="35" t="n"/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/>
      <c r="O9" s="36" t="n"/>
      <c r="P9" s="36" t="n"/>
      <c r="Q9" s="36" t="n"/>
      <c r="R9" s="36" t="n"/>
      <c r="S9" s="36" t="n"/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/>
      <c r="AB16" s="35" t="n"/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/>
      <c r="AB17" s="35" t="n"/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/>
      <c r="AB18" s="35" t="n"/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/>
      <c r="AB19" s="35" t="n"/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/>
      <c r="AB21" s="35" t="n"/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/>
      <c r="AB23" s="35" t="n"/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/>
      <c r="AB30" s="35" t="n"/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815.6400000000001</v>
      </c>
      <c r="D34" s="41" t="n">
        <v>974.3000000000002</v>
      </c>
      <c r="E34" s="41" t="n">
        <v>851.04</v>
      </c>
      <c r="F34" s="41" t="n">
        <v>899.62</v>
      </c>
      <c r="G34" s="41" t="n">
        <v>683.0300000000001</v>
      </c>
      <c r="H34" s="41" t="n">
        <v>779.1600000000002</v>
      </c>
      <c r="I34" s="41" t="n">
        <v>713.29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/>
      <c r="AB37" s="35" t="n"/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/>
      <c r="AB38" s="35" t="n"/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/>
      <c r="AB40" s="35" t="n"/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/>
      <c r="AB41" s="35" t="n"/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/>
      <c r="AB45" s="35" t="n"/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3503.869999999999</v>
      </c>
      <c r="H47" s="41" t="n">
        <v>3650.799999999999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31.63000000000102</v>
      </c>
      <c r="C50" s="54" t="n">
        <v>100.1700000000019</v>
      </c>
      <c r="D50" s="54" t="n">
        <v>8840.02</v>
      </c>
      <c r="E50" s="54" t="n">
        <v>1635.790000000001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-9079.180000000004</v>
      </c>
      <c r="M50" s="54" t="n">
        <v>19054.90000000001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725.9300000000001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-172.749999999999</v>
      </c>
      <c r="C70" s="54" t="n">
        <v>-112.1499999999981</v>
      </c>
      <c r="D70" s="54" t="n">
        <v>8501.030000000001</v>
      </c>
      <c r="E70" s="54" t="n">
        <v>1268.610000000001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-9555.530000000004</v>
      </c>
      <c r="M70" s="54" t="n">
        <v>18542.83000000001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6091.440000000001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4244.740000000001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7914.050000000001</v>
      </c>
      <c r="L25" s="41" t="n">
        <v>5092.52</v>
      </c>
      <c r="M25" s="41" t="n">
        <v>2688.92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/>
      <c r="AB40" s="35" t="n"/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/>
      <c r="AB41" s="35" t="n"/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/>
      <c r="AB45" s="35" t="n"/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9865.769999999999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/>
      <c r="AB53" s="35" t="n"/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/>
      <c r="AB54" s="35" t="n"/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/>
      <c r="AB55" s="35" t="n"/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/>
      <c r="AB56" s="35" t="n"/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/>
      <c r="AB59" s="35" t="n"/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/>
      <c r="AB60" s="35" t="n"/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/>
      <c r="AB62" s="35" t="n"/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/>
      <c r="AB63" s="35" t="n"/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/>
      <c r="AB67" s="35" t="n"/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/>
      <c r="AB68" s="35" t="n"/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-124990.8</v>
      </c>
      <c r="C70" s="54" t="n">
        <v>-147887.8499999999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O75" s="59" t="inlineStr">
        <is>
          <t>Fee Uplift not yet in calcs - offer changing this is purely on FAMLY current data</t>
        </is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/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A81" s="59" t="n"/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</row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C86" s="58" t="n"/>
    </row>
    <row r="87">
      <c r="AE87" s="60" t="n"/>
      <c r="AF87" s="61" t="n"/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E88" s="60" t="n"/>
      <c r="AF88" s="61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E89" s="60" t="n"/>
      <c r="AF89" s="61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E90" s="60" t="n"/>
      <c r="AF90" s="61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E91" s="60" t="n"/>
      <c r="AF91" s="61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7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7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7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4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7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7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7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7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7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7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7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7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7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/>
      <c r="P25" s="43" t="n"/>
      <c r="Q25" s="43" t="n"/>
      <c r="R25" s="43" t="n"/>
      <c r="S25" s="43" t="n"/>
      <c r="T25" s="43" t="n"/>
      <c r="U25" s="44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7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7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7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7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7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7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7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4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7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7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/>
      <c r="P38" s="36" t="n"/>
      <c r="Q38" s="36" t="n"/>
      <c r="R38" s="36" t="n"/>
      <c r="S38" s="36" t="n"/>
      <c r="T38" s="36" t="n"/>
      <c r="U38" s="37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7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7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7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7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/>
      <c r="O43" s="36" t="n"/>
      <c r="P43" s="36" t="n"/>
      <c r="Q43" s="36" t="n"/>
      <c r="R43" s="36" t="n"/>
      <c r="S43" s="36" t="n"/>
      <c r="T43" s="36" t="n"/>
      <c r="U43" s="37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7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7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7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/>
      <c r="O47" s="43" t="n"/>
      <c r="P47" s="43" t="n"/>
      <c r="Q47" s="43" t="n"/>
      <c r="R47" s="43" t="n"/>
      <c r="S47" s="43" t="n"/>
      <c r="T47" s="43" t="n"/>
      <c r="U47" s="44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/>
      <c r="O48" s="24" t="n"/>
      <c r="P48" s="24" t="n"/>
      <c r="Q48" s="24" t="n"/>
      <c r="R48" s="24" t="n"/>
      <c r="S48" s="24" t="n"/>
      <c r="T48" s="24" t="n"/>
      <c r="U48" s="25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7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7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7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7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/>
      <c r="O57" s="36" t="n"/>
      <c r="P57" s="36" t="n"/>
      <c r="Q57" s="36" t="n"/>
      <c r="R57" s="36" t="n"/>
      <c r="S57" s="36" t="n"/>
      <c r="T57" s="36" t="n"/>
      <c r="U57" s="37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7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7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/>
      <c r="O60" s="36" t="n"/>
      <c r="P60" s="36" t="n"/>
      <c r="Q60" s="36" t="n"/>
      <c r="R60" s="36" t="n"/>
      <c r="S60" s="36" t="n"/>
      <c r="T60" s="36" t="n"/>
      <c r="U60" s="37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7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7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7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7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/>
      <c r="O65" s="36" t="n"/>
      <c r="P65" s="36" t="n"/>
      <c r="Q65" s="36" t="n"/>
      <c r="R65" s="36" t="n"/>
      <c r="S65" s="36" t="n"/>
      <c r="T65" s="36" t="n"/>
      <c r="U65" s="37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7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/>
      <c r="O67" s="36" t="n"/>
      <c r="P67" s="36" t="n"/>
      <c r="Q67" s="36" t="n"/>
      <c r="R67" s="36" t="n"/>
      <c r="S67" s="36" t="n"/>
      <c r="T67" s="36" t="n"/>
      <c r="U67" s="37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/>
      <c r="O68" s="36" t="n"/>
      <c r="P68" s="36" t="n"/>
      <c r="Q68" s="36" t="n"/>
      <c r="R68" s="36" t="n"/>
      <c r="S68" s="36" t="n"/>
      <c r="T68" s="36" t="n"/>
      <c r="U68" s="37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/>
      <c r="O69" s="43" t="n"/>
      <c r="P69" s="43" t="n"/>
      <c r="Q69" s="43" t="n"/>
      <c r="R69" s="43" t="n"/>
      <c r="S69" s="43" t="n"/>
      <c r="T69" s="43" t="n"/>
      <c r="U69" s="44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/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C88" s="63" t="n"/>
      <c r="AD88" s="63" t="n"/>
      <c r="AE88" s="63" t="n"/>
      <c r="AF88" s="63" t="n"/>
      <c r="AG88" s="63" t="n"/>
      <c r="AH88" s="63" t="n"/>
      <c r="AJ88" s="63" t="n"/>
      <c r="AK88" s="63" t="n"/>
      <c r="AL88" s="63" t="n"/>
      <c r="AM88" s="63" t="n"/>
      <c r="AN88" s="63" t="n"/>
      <c r="AO88" s="63" t="n"/>
      <c r="AP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-9641.529999999999</v>
      </c>
      <c r="C50" s="54" t="n">
        <v>-4671.809999999999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345.1100000000001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-11499.45</v>
      </c>
      <c r="C70" s="54" t="n">
        <v>-5189.969999999999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/>
      <c r="AB71" s="54" t="n"/>
      <c r="AC71" s="54" t="n"/>
      <c r="AD71" s="54" t="n"/>
      <c r="AE71" s="54" t="n"/>
      <c r="AF71" s="54" t="n"/>
      <c r="AG71" s="54" t="n"/>
      <c r="AH71" s="54" t="n"/>
      <c r="AJ71" s="54" t="n"/>
      <c r="AK71" s="54" t="n"/>
      <c r="AL71" s="54" t="n"/>
      <c r="AM71" s="54" t="n"/>
      <c r="AN71" s="54" t="n"/>
      <c r="AO71" s="54" t="n"/>
      <c r="AP71" s="54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/>
      <c r="AB72" s="55" t="n"/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/>
      <c r="AB73" s="59" t="n">
        <v>0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/>
      <c r="AB74" s="59" t="n">
        <v>102606.8643965906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/>
      <c r="AB75" s="59" t="n">
        <v>0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N78" s="59" t="n"/>
      <c r="AA78" s="59" t="n"/>
      <c r="AB78" s="55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5" t="n"/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/>
      <c r="AC85" s="63" t="n"/>
      <c r="AD85" s="63" t="n"/>
      <c r="AE85" s="63" t="n"/>
      <c r="AF85" s="63" t="n"/>
      <c r="AG85" s="63" t="n"/>
      <c r="AH85" s="63" t="n"/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/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2" t="n"/>
      <c r="W1" s="82" t="n"/>
      <c r="X1" s="82" t="n"/>
      <c r="Y1" s="82" t="n"/>
      <c r="Z1" s="82" t="n"/>
      <c r="AA1" s="6" t="n"/>
      <c r="AB1" s="6" t="n"/>
      <c r="AC1" s="83" t="n">
        <v>2027</v>
      </c>
      <c r="AD1" s="82" t="inlineStr">
        <is>
          <t>NOT COMPLETED - STRETCHED FUNDING INCOMING- NEEDS REVIEW</t>
        </is>
      </c>
      <c r="AE1" s="82" t="n"/>
      <c r="AF1" s="82" t="n"/>
      <c r="AG1" s="82" t="n"/>
      <c r="AH1" s="82" t="n"/>
      <c r="AJ1" s="84" t="inlineStr">
        <is>
          <t>Q1</t>
        </is>
      </c>
      <c r="AK1" s="85" t="inlineStr">
        <is>
          <t>Q2</t>
        </is>
      </c>
      <c r="AL1" s="85" t="inlineStr">
        <is>
          <t>Q3</t>
        </is>
      </c>
      <c r="AM1" s="84" t="inlineStr">
        <is>
          <t>Q4</t>
        </is>
      </c>
      <c r="AN1" s="9" t="n"/>
      <c r="AO1" s="86" t="inlineStr">
        <is>
          <t>FY27 Q1</t>
        </is>
      </c>
      <c r="AP1" s="86" t="inlineStr">
        <is>
          <t>FY27 Q2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4" t="inlineStr">
        <is>
          <t xml:space="preserve">12 Month Rolling Total </t>
        </is>
      </c>
      <c r="AN2" s="16" t="n"/>
      <c r="AO2" s="87" t="inlineStr">
        <is>
          <t xml:space="preserve">12 Month Rolling Total </t>
        </is>
      </c>
      <c r="AP2" s="87" t="inlineStr">
        <is>
          <t xml:space="preserve">13 Month Rolling Total 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88" t="n"/>
      <c r="AP3" s="88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89" t="n"/>
      <c r="AP4" s="89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89" t="n"/>
      <c r="AP5" s="89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0" t="n"/>
      <c r="AP6" s="90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89" t="n"/>
      <c r="AP7" s="89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5" t="n"/>
      <c r="AN8" s="39" t="n"/>
      <c r="AO8" s="91" t="n"/>
      <c r="AP8" s="91" t="n"/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5" t="n"/>
      <c r="AN9" s="39" t="n"/>
      <c r="AO9" s="91" t="n"/>
      <c r="AP9" s="91" t="n"/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5" t="n"/>
      <c r="AN10" s="39" t="n"/>
      <c r="AO10" s="91" t="n"/>
      <c r="AP10" s="91" t="n"/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92" t="n"/>
      <c r="AP11" s="9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5" t="n"/>
      <c r="AN12" s="39" t="n"/>
      <c r="AO12" s="91" t="n"/>
      <c r="AP12" s="91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J13" s="46" t="n"/>
      <c r="AK13" s="46" t="n"/>
      <c r="AL13" s="46" t="n"/>
      <c r="AM13" s="46" t="n"/>
      <c r="AN13" s="78" t="n"/>
      <c r="AO13" s="93" t="n"/>
      <c r="AP13" s="93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5" t="n"/>
      <c r="AN14" s="39" t="n"/>
      <c r="AO14" s="91" t="n"/>
      <c r="AP14" s="91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4" t="n"/>
      <c r="R15" s="94" t="n"/>
      <c r="S15" s="94" t="n"/>
      <c r="T15" s="94" t="n"/>
      <c r="U15" s="9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5" t="n"/>
      <c r="AN15" s="39" t="n"/>
      <c r="AO15" s="91" t="n"/>
      <c r="AP15" s="91" t="n"/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5" t="n"/>
      <c r="AN16" s="39" t="n"/>
      <c r="AO16" s="91" t="n"/>
      <c r="AP16" s="91" t="n"/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5" t="n"/>
      <c r="AN17" s="39" t="n"/>
      <c r="AO17" s="91" t="n"/>
      <c r="AP17" s="91" t="n"/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5" t="n"/>
      <c r="AN18" s="39" t="n"/>
      <c r="AO18" s="91" t="n"/>
      <c r="AP18" s="91" t="n"/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5" t="n"/>
      <c r="AN19" s="39" t="n"/>
      <c r="AO19" s="91" t="n"/>
      <c r="AP19" s="91" t="n"/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5" t="n"/>
      <c r="AN20" s="39" t="n"/>
      <c r="AO20" s="91" t="n"/>
      <c r="AP20" s="91" t="n"/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5" t="n"/>
      <c r="AN21" s="39" t="n"/>
      <c r="AO21" s="91" t="n"/>
      <c r="AP21" s="91" t="n"/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5" t="n"/>
      <c r="AN22" s="39" t="n"/>
      <c r="AO22" s="91" t="n"/>
      <c r="AP22" s="91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5" t="n"/>
      <c r="AN23" s="39" t="n"/>
      <c r="AO23" s="91" t="n"/>
      <c r="AP23" s="91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5" t="n"/>
      <c r="AN24" s="39" t="n"/>
      <c r="AO24" s="91" t="n"/>
      <c r="AP24" s="91" t="n"/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92" t="n"/>
      <c r="AP25" s="9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5" t="n"/>
      <c r="AN26" s="39" t="n"/>
      <c r="AO26" s="91" t="n"/>
      <c r="AP26" s="91" t="n"/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5" t="n"/>
      <c r="AN27" s="39" t="n"/>
      <c r="AO27" s="91" t="n"/>
      <c r="AP27" s="91" t="n"/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5" t="n"/>
      <c r="AN28" s="39" t="n"/>
      <c r="AO28" s="91" t="n"/>
      <c r="AP28" s="91" t="n"/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5" t="n"/>
      <c r="AN29" s="39" t="n"/>
      <c r="AO29" s="91" t="n"/>
      <c r="AP29" s="91" t="n"/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5" t="n"/>
      <c r="AN30" s="39" t="n"/>
      <c r="AO30" s="91" t="n"/>
      <c r="AP30" s="91" t="n"/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5" t="n"/>
      <c r="AN31" s="39" t="n"/>
      <c r="AO31" s="91" t="n"/>
      <c r="AP31" s="91" t="n"/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5" t="n"/>
      <c r="AN32" s="39" t="n"/>
      <c r="AO32" s="91" t="n"/>
      <c r="AP32" s="91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5" t="n"/>
      <c r="AN33" s="39" t="n"/>
      <c r="AO33" s="91" t="n"/>
      <c r="AP33" s="91" t="n"/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92" t="n"/>
      <c r="AP34" s="9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5" t="n"/>
      <c r="AN35" s="39" t="n"/>
      <c r="AO35" s="91" t="n"/>
      <c r="AP35" s="91" t="n"/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5" t="n"/>
      <c r="AN36" s="39" t="n"/>
      <c r="AO36" s="91" t="n"/>
      <c r="AP36" s="91" t="n"/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5" t="n"/>
      <c r="AN37" s="39" t="n"/>
      <c r="AO37" s="91" t="n"/>
      <c r="AP37" s="91" t="n"/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5" t="n"/>
      <c r="AN38" s="39" t="n"/>
      <c r="AO38" s="91" t="n"/>
      <c r="AP38" s="91" t="n"/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5" t="n"/>
      <c r="AN39" s="39" t="n"/>
      <c r="AO39" s="91" t="n"/>
      <c r="AP39" s="91" t="n"/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5" t="n"/>
      <c r="AN40" s="39" t="n"/>
      <c r="AO40" s="91" t="n"/>
      <c r="AP40" s="91" t="n"/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5" t="n"/>
      <c r="AN41" s="39" t="n"/>
      <c r="AO41" s="91" t="n"/>
      <c r="AP41" s="91" t="n"/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5" t="n"/>
      <c r="AN42" s="39" t="n"/>
      <c r="AO42" s="91" t="n"/>
      <c r="AP42" s="91" t="n"/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5" t="n"/>
      <c r="AN43" s="39" t="n"/>
      <c r="AO43" s="91" t="n"/>
      <c r="AP43" s="91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5" t="n"/>
      <c r="AN44" s="39" t="n"/>
      <c r="AO44" s="91" t="n"/>
      <c r="AP44" s="91" t="n"/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5" t="n"/>
      <c r="AN45" s="39" t="n"/>
      <c r="AO45" s="91" t="n"/>
      <c r="AP45" s="91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5" t="n"/>
      <c r="AN46" s="39" t="n"/>
      <c r="AO46" s="91" t="n"/>
      <c r="AP46" s="91" t="n"/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42" t="n"/>
      <c r="AB47" s="42" t="n"/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42" t="n"/>
      <c r="AN47" s="39" t="n"/>
      <c r="AO47" s="92" t="n"/>
      <c r="AP47" s="92" t="n"/>
    </row>
    <row r="48" ht="15.75" customHeight="1">
      <c r="A48" s="95" t="inlineStr">
        <is>
          <t>Total Direct Costs</t>
        </is>
      </c>
      <c r="B48" s="96" t="n">
        <v>593308.08</v>
      </c>
      <c r="C48" s="96" t="n">
        <v>601457.04</v>
      </c>
      <c r="D48" s="96" t="n">
        <v>595179.59</v>
      </c>
      <c r="E48" s="96" t="n">
        <v>657683.8300000001</v>
      </c>
      <c r="F48" s="96" t="n">
        <v>657881.76</v>
      </c>
      <c r="G48" s="96" t="n">
        <v>641450.24</v>
      </c>
      <c r="H48" s="96" t="n">
        <v>670848.8300000001</v>
      </c>
      <c r="I48" s="96" t="n">
        <v>623265.5700000001</v>
      </c>
      <c r="J48" s="96" t="n">
        <v>643907.0899999999</v>
      </c>
      <c r="K48" s="96" t="n">
        <v>658803.66</v>
      </c>
      <c r="L48" s="96" t="n">
        <v>623280.2899999999</v>
      </c>
      <c r="M48" s="96" t="n">
        <v>631531.24</v>
      </c>
      <c r="N48" s="42" t="n"/>
      <c r="O48" s="97" t="n"/>
      <c r="P48" s="97" t="n"/>
      <c r="Q48" s="97" t="n"/>
      <c r="R48" s="97" t="n"/>
      <c r="S48" s="97" t="n"/>
      <c r="T48" s="97" t="n"/>
      <c r="U48" s="97" t="n"/>
      <c r="V48" s="98" t="n"/>
      <c r="W48" s="98" t="n"/>
      <c r="X48" s="98" t="n"/>
      <c r="Y48" s="98" t="n"/>
      <c r="Z48" s="98" t="n"/>
      <c r="AA48" s="42" t="n"/>
      <c r="AB48" s="42" t="n"/>
      <c r="AC48" s="98" t="n"/>
      <c r="AD48" s="98" t="n"/>
      <c r="AE48" s="98" t="n"/>
      <c r="AF48" s="98" t="n"/>
      <c r="AG48" s="98" t="n"/>
      <c r="AH48" s="98" t="n"/>
      <c r="AJ48" s="42" t="n"/>
      <c r="AK48" s="42" t="n"/>
      <c r="AL48" s="42" t="n"/>
      <c r="AM48" s="42" t="n"/>
      <c r="AN48" s="39" t="n"/>
      <c r="AO48" s="92" t="n"/>
      <c r="AP48" s="92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/>
      <c r="AB49" s="99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5" t="n"/>
      <c r="AN49" s="39" t="n"/>
      <c r="AO49" s="91" t="n"/>
      <c r="AP49" s="91" t="n"/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100" t="n"/>
      <c r="AC50" s="54" t="n"/>
      <c r="AD50" s="54" t="n"/>
      <c r="AE50" s="54" t="n"/>
      <c r="AF50" s="54" t="n"/>
      <c r="AG50" s="54" t="n"/>
      <c r="AH50" s="54" t="n"/>
      <c r="AI50" s="55" t="n"/>
      <c r="AJ50" s="100" t="n"/>
      <c r="AK50" s="100" t="n"/>
      <c r="AL50" s="100" t="n"/>
      <c r="AM50" s="100" t="n"/>
      <c r="AN50" s="55" t="n"/>
      <c r="AO50" s="101" t="n"/>
      <c r="AP50" s="101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1" t="n"/>
      <c r="AP51" s="91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1" t="n"/>
      <c r="AP52" s="91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102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5" t="n"/>
      <c r="AN53" s="39" t="n"/>
      <c r="AO53" s="91" t="n"/>
      <c r="AP53" s="91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5" t="n"/>
      <c r="AN54" s="39" t="n"/>
      <c r="AO54" s="91" t="n"/>
      <c r="AP54" s="91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5" t="n"/>
      <c r="AN55" s="39" t="n"/>
      <c r="AO55" s="91" t="n"/>
      <c r="AP55" s="91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5" t="n"/>
      <c r="AN56" s="39" t="n"/>
      <c r="AO56" s="91" t="n"/>
      <c r="AP56" s="91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5" t="n"/>
      <c r="AN57" s="39" t="n"/>
      <c r="AO57" s="91" t="n"/>
      <c r="AP57" s="91" t="n"/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5" t="n"/>
      <c r="AN58" s="39" t="n"/>
      <c r="AO58" s="91" t="n"/>
      <c r="AP58" s="91" t="n"/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5" t="n"/>
      <c r="AN59" s="39" t="n"/>
      <c r="AO59" s="91" t="n"/>
      <c r="AP59" s="91" t="n"/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5" t="n"/>
      <c r="AN60" s="39" t="n"/>
      <c r="AO60" s="91" t="n"/>
      <c r="AP60" s="91" t="n"/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5" t="n"/>
      <c r="AN61" s="39" t="n"/>
      <c r="AO61" s="91" t="n"/>
      <c r="AP61" s="91" t="n"/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5" t="n"/>
      <c r="AN62" s="39" t="n"/>
      <c r="AO62" s="91" t="n"/>
      <c r="AP62" s="91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5" t="n"/>
      <c r="AN63" s="39" t="n"/>
      <c r="AO63" s="91" t="n"/>
      <c r="AP63" s="91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5" t="n"/>
      <c r="AN64" s="39" t="n"/>
      <c r="AO64" s="91" t="n"/>
      <c r="AP64" s="91" t="n"/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5" t="n"/>
      <c r="AN65" s="39" t="n"/>
      <c r="AO65" s="91" t="n"/>
      <c r="AP65" s="91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5" t="n"/>
      <c r="AN66" s="39" t="n"/>
      <c r="AO66" s="91" t="n"/>
      <c r="AP66" s="91" t="n"/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5" t="n"/>
      <c r="AN67" s="39" t="n"/>
      <c r="AO67" s="91" t="n"/>
      <c r="AP67" s="91" t="n"/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103" t="n"/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5" t="n"/>
      <c r="AN68" s="39" t="n"/>
      <c r="AO68" s="91" t="n"/>
      <c r="AP68" s="91" t="n"/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92" t="n"/>
      <c r="AP69" s="92" t="n"/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5" t="n"/>
      <c r="AJ70" s="54" t="n"/>
      <c r="AK70" s="54" t="n"/>
      <c r="AL70" s="54" t="n"/>
      <c r="AM70" s="54" t="n"/>
      <c r="AN70" s="55" t="n"/>
      <c r="AO70" s="104" t="inlineStr">
        <is>
          <t>NOT COMPLETED</t>
        </is>
      </c>
      <c r="AP70" s="105" t="n"/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/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/>
      <c r="AB72" s="55" t="n"/>
      <c r="AC72" s="37" t="n"/>
      <c r="AD72" s="37" t="n"/>
      <c r="AE72" s="37" t="n"/>
      <c r="AF72" s="37" t="n"/>
      <c r="AG72" s="37" t="n"/>
      <c r="AH72" s="37" t="n"/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/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/>
      <c r="AC78" s="37" t="n"/>
      <c r="AD78" s="37" t="n"/>
      <c r="AE78" s="37" t="n"/>
      <c r="AF78" s="37" t="n"/>
      <c r="AG78" s="37" t="n"/>
      <c r="AH78" s="37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/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/>
      <c r="AC79" s="37" t="n"/>
      <c r="AD79" s="37" t="n"/>
      <c r="AE79" s="37" t="n"/>
      <c r="AF79" s="37" t="n"/>
      <c r="AG79" s="37" t="n"/>
      <c r="AH79" s="37" t="n"/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/>
      <c r="AC80" s="37" t="n"/>
      <c r="AD80" s="37" t="n"/>
      <c r="AE80" s="37" t="n"/>
      <c r="AF80" s="37" t="n"/>
      <c r="AG80" s="37" t="n"/>
      <c r="AH80" s="37" t="n"/>
    </row>
    <row r="81" ht="15.75" customHeight="1">
      <c r="A81" s="106" t="n"/>
      <c r="B81" s="107" t="n">
        <v>169635.61</v>
      </c>
      <c r="C81" s="107" t="n">
        <v>186626.61</v>
      </c>
      <c r="D81" s="107" t="n">
        <v>338567.7000000001</v>
      </c>
      <c r="E81" s="107" t="n">
        <v>188295.3299999997</v>
      </c>
      <c r="F81" s="107" t="n">
        <v>98787.60000000011</v>
      </c>
      <c r="G81" s="107" t="n">
        <v>250542.7</v>
      </c>
      <c r="H81" s="107" t="n">
        <v>537622.62</v>
      </c>
      <c r="I81" s="107" t="n">
        <v>38607.06999999996</v>
      </c>
      <c r="J81" s="107" t="n">
        <v>82.80000000007567</v>
      </c>
      <c r="K81" s="107" t="n">
        <v>31871.38</v>
      </c>
      <c r="L81" s="107" t="n">
        <v>209008.3400000001</v>
      </c>
      <c r="M81" s="107" t="n">
        <v>388973.69</v>
      </c>
      <c r="N81" s="107" t="n"/>
      <c r="O81" s="107" t="n"/>
      <c r="P81" s="107" t="n"/>
      <c r="Q81" s="107" t="n"/>
      <c r="R81" s="107" t="n"/>
      <c r="S81" s="107" t="n"/>
      <c r="T81" s="107" t="n"/>
      <c r="U81" s="107" t="n"/>
      <c r="V81" s="107" t="n"/>
      <c r="W81" s="107" t="n"/>
      <c r="X81" s="107" t="n"/>
      <c r="Y81" s="107" t="n"/>
      <c r="Z81" s="107" t="n"/>
      <c r="AA81" s="107" t="n"/>
      <c r="AC81" s="107" t="n"/>
      <c r="AD81" s="107" t="n"/>
      <c r="AE81" s="107" t="n"/>
      <c r="AF81" s="107" t="n"/>
      <c r="AG81" s="107" t="n"/>
      <c r="AH81" s="107" t="n"/>
    </row>
    <row r="82">
      <c r="A82" s="21" t="n"/>
    </row>
    <row r="83"/>
    <row r="84"/>
    <row r="85">
      <c r="Q85" s="108" t="n"/>
    </row>
    <row r="86"/>
    <row r="87"/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C95" s="63" t="n"/>
      <c r="AD95" s="63" t="n"/>
      <c r="AE95" s="63" t="n"/>
      <c r="AF95" s="63" t="n"/>
      <c r="AG95" s="63" t="n"/>
      <c r="AH95" s="63" t="n"/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/>
      <c r="AB8" s="35" t="n"/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I8" s="116" t="n">
        <v>110257.62</v>
      </c>
      <c r="AJ8" s="117" t="n">
        <v>110257.62</v>
      </c>
      <c r="AK8" s="117" t="n">
        <v>110257.62</v>
      </c>
      <c r="AL8" s="117" t="n">
        <v>110257.62</v>
      </c>
      <c r="AM8" s="118" t="n">
        <v>110257.62</v>
      </c>
      <c r="AN8" s="116" t="n">
        <v>110257.62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81909.55</v>
      </c>
      <c r="L11" s="41" t="n">
        <v>79250.38</v>
      </c>
      <c r="M11" s="41" t="n">
        <v>96066.59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/>
      <c r="AB16" s="35" t="n"/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I16" s="116" t="n">
        <v>44079.43</v>
      </c>
      <c r="AJ16" s="117" t="n">
        <v>44079.43</v>
      </c>
      <c r="AK16" s="117" t="n">
        <v>44079.43</v>
      </c>
      <c r="AL16" s="117" t="n">
        <v>44079.43</v>
      </c>
      <c r="AM16" s="118" t="n">
        <v>44079.43</v>
      </c>
      <c r="AN16" s="116" t="n">
        <v>44079.43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/>
      <c r="AB17" s="35" t="n"/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I17" s="116" t="n">
        <v>4289.92</v>
      </c>
      <c r="AJ17" s="117" t="n">
        <v>4289.92</v>
      </c>
      <c r="AK17" s="117" t="n">
        <v>4289.92</v>
      </c>
      <c r="AL17" s="117" t="n">
        <v>4289.92</v>
      </c>
      <c r="AM17" s="118" t="n">
        <v>4289.92</v>
      </c>
      <c r="AN17" s="116" t="n">
        <v>4289.92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/>
      <c r="AB18" s="35" t="n"/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I18" s="116" t="n">
        <v>706.29</v>
      </c>
      <c r="AJ18" s="117" t="n">
        <v>706.29</v>
      </c>
      <c r="AK18" s="117" t="n">
        <v>706.29</v>
      </c>
      <c r="AL18" s="117" t="n">
        <v>706.29</v>
      </c>
      <c r="AM18" s="118" t="n">
        <v>706.29</v>
      </c>
      <c r="AN18" s="116" t="n">
        <v>706.29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/>
      <c r="AB19" s="35" t="n"/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I19" s="116" t="n">
        <v>173</v>
      </c>
      <c r="AJ19" s="117" t="n">
        <v>173</v>
      </c>
      <c r="AK19" s="117" t="n">
        <v>173</v>
      </c>
      <c r="AL19" s="117" t="n">
        <v>173</v>
      </c>
      <c r="AM19" s="118" t="n">
        <v>173</v>
      </c>
      <c r="AN19" s="116" t="n">
        <v>173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/>
      <c r="AB20" s="35" t="n"/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I20" s="116" t="n">
        <v>323</v>
      </c>
      <c r="AJ20" s="117" t="n">
        <v>323</v>
      </c>
      <c r="AK20" s="117" t="n">
        <v>323</v>
      </c>
      <c r="AL20" s="117" t="n">
        <v>323</v>
      </c>
      <c r="AM20" s="118" t="n">
        <v>323</v>
      </c>
      <c r="AN20" s="116" t="n">
        <v>323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/>
      <c r="AB21" s="35" t="n"/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I21" s="116" t="n">
        <v>211</v>
      </c>
      <c r="AJ21" s="117" t="n">
        <v>211</v>
      </c>
      <c r="AK21" s="117" t="n">
        <v>211</v>
      </c>
      <c r="AL21" s="117" t="n">
        <v>211</v>
      </c>
      <c r="AM21" s="118" t="n">
        <v>211</v>
      </c>
      <c r="AN21" s="116" t="n">
        <v>211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/>
      <c r="AB23" s="35" t="n"/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I23" s="116" t="n">
        <v>121</v>
      </c>
      <c r="AJ23" s="117" t="n">
        <v>121</v>
      </c>
      <c r="AK23" s="117" t="n">
        <v>121</v>
      </c>
      <c r="AL23" s="117" t="n">
        <v>121</v>
      </c>
      <c r="AM23" s="118" t="n">
        <v>121</v>
      </c>
      <c r="AN23" s="116" t="n">
        <v>121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35374.13999999999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44824.91999999999</v>
      </c>
      <c r="I25" s="41" t="n">
        <v>40433.25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5241.700000000001</v>
      </c>
      <c r="I34" s="41" t="n">
        <v>2724.2</v>
      </c>
      <c r="J34" s="41" t="n">
        <v>1834.64</v>
      </c>
      <c r="K34" s="41" t="n">
        <v>2350.79</v>
      </c>
      <c r="L34" s="41" t="n">
        <v>3297.279999999999</v>
      </c>
      <c r="M34" s="41" t="n">
        <v>2081.55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/>
      <c r="AB37" s="35" t="n"/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I37" s="116" t="n">
        <v>1823.25</v>
      </c>
      <c r="AJ37" s="117" t="n">
        <v>1823.25</v>
      </c>
      <c r="AK37" s="117" t="n">
        <v>1823.25</v>
      </c>
      <c r="AL37" s="117" t="n">
        <v>1823.25</v>
      </c>
      <c r="AM37" s="118" t="n">
        <v>1823.25</v>
      </c>
      <c r="AN37" s="116" t="n">
        <v>1823.25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/>
      <c r="AB38" s="35" t="n"/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I38" s="116" t="n">
        <v>1429</v>
      </c>
      <c r="AJ38" s="117" t="n">
        <v>1429</v>
      </c>
      <c r="AK38" s="117" t="n">
        <v>1429</v>
      </c>
      <c r="AL38" s="117" t="n">
        <v>1429</v>
      </c>
      <c r="AM38" s="118" t="n">
        <v>1429</v>
      </c>
      <c r="AN38" s="116" t="n">
        <v>1429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/>
      <c r="AB40" s="35" t="n"/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I40" s="116" t="n">
        <v>400</v>
      </c>
      <c r="AJ40" s="117" t="n">
        <v>400</v>
      </c>
      <c r="AK40" s="117" t="n">
        <v>400</v>
      </c>
      <c r="AL40" s="117" t="n">
        <v>400</v>
      </c>
      <c r="AM40" s="118" t="n">
        <v>400</v>
      </c>
      <c r="AN40" s="116" t="n">
        <v>400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/>
      <c r="AB41" s="35" t="n"/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I41" s="116" t="n">
        <v>400</v>
      </c>
      <c r="AJ41" s="117" t="n">
        <v>400</v>
      </c>
      <c r="AK41" s="117" t="n">
        <v>400</v>
      </c>
      <c r="AL41" s="117" t="n">
        <v>400</v>
      </c>
      <c r="AM41" s="118" t="n">
        <v>400</v>
      </c>
      <c r="AN41" s="116" t="n">
        <v>400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/>
      <c r="AB42" s="35" t="n"/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I42" s="116" t="n">
        <v>106</v>
      </c>
      <c r="AJ42" s="117" t="n">
        <v>106</v>
      </c>
      <c r="AK42" s="117" t="n">
        <v>106</v>
      </c>
      <c r="AL42" s="117" t="n">
        <v>106</v>
      </c>
      <c r="AM42" s="118" t="n">
        <v>106</v>
      </c>
      <c r="AN42" s="116" t="n">
        <v>106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/>
      <c r="AB45" s="35" t="n"/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I45" s="116" t="n">
        <v>106</v>
      </c>
      <c r="AJ45" s="117" t="n">
        <v>106</v>
      </c>
      <c r="AK45" s="117" t="n">
        <v>106</v>
      </c>
      <c r="AL45" s="117" t="n">
        <v>106</v>
      </c>
      <c r="AM45" s="118" t="n">
        <v>106</v>
      </c>
      <c r="AN45" s="116" t="n">
        <v>106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8320.059999999999</v>
      </c>
      <c r="D47" s="41" t="n">
        <v>5517.520000000001</v>
      </c>
      <c r="E47" s="41" t="n">
        <v>4392.789999999999</v>
      </c>
      <c r="F47" s="41" t="n">
        <v>8657.039999999999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4474.809999999999</v>
      </c>
      <c r="M47" s="41" t="n">
        <v>6126.900000000001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7" t="inlineStr">
        <is>
          <t>Total Direct Costs</t>
        </is>
      </c>
      <c r="B48" s="28" t="n">
        <v>41531.32</v>
      </c>
      <c r="C48" s="28" t="n">
        <v>46853.56999999999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</v>
      </c>
      <c r="J48" s="28" t="n">
        <v>45231.29</v>
      </c>
      <c r="K48" s="28" t="n">
        <v>48751.78</v>
      </c>
      <c r="L48" s="28" t="n">
        <v>45921.57</v>
      </c>
      <c r="M48" s="28" t="n">
        <v>47357.71000000001</v>
      </c>
      <c r="N48" s="35" t="n"/>
      <c r="O48" s="30" t="n"/>
      <c r="P48" s="30" t="n"/>
      <c r="Q48" s="30" t="n"/>
      <c r="R48" s="30" t="n"/>
      <c r="S48" s="30" t="n"/>
      <c r="T48" s="30" t="n"/>
      <c r="U48" s="30" t="n"/>
      <c r="V48" s="31" t="n"/>
      <c r="W48" s="31" t="n"/>
      <c r="X48" s="31" t="n"/>
      <c r="Y48" s="31" t="n"/>
      <c r="Z48" s="31" t="n"/>
      <c r="AA48" s="35" t="n"/>
      <c r="AB48" s="35" t="n"/>
      <c r="AC48" s="31" t="n"/>
      <c r="AD48" s="31" t="n"/>
      <c r="AE48" s="31" t="n"/>
      <c r="AF48" s="31" t="n"/>
      <c r="AG48" s="31" t="n"/>
      <c r="AH48" s="31" t="n"/>
      <c r="AI48" s="125" t="n">
        <v>0</v>
      </c>
      <c r="AJ48" s="126" t="n">
        <v>0</v>
      </c>
      <c r="AK48" s="126" t="n">
        <v>0</v>
      </c>
      <c r="AL48" s="126" t="n">
        <v>0</v>
      </c>
      <c r="AM48" s="126" t="n">
        <v>0</v>
      </c>
      <c r="AN48" s="125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15985.21</v>
      </c>
      <c r="C50" s="54" t="n">
        <v>31703.78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10667.11</v>
      </c>
      <c r="J50" s="54" t="n">
        <v>13968.36</v>
      </c>
      <c r="K50" s="54" t="n">
        <v>33157.77</v>
      </c>
      <c r="L50" s="54" t="n">
        <v>33328.81</v>
      </c>
      <c r="M50" s="54" t="n">
        <v>48708.87999999999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/>
      <c r="AB60" s="35" t="n"/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16" t="n">
        <v>5</v>
      </c>
      <c r="AJ60" s="117" t="n">
        <v>5</v>
      </c>
      <c r="AK60" s="117" t="n">
        <v>5</v>
      </c>
      <c r="AL60" s="117" t="n">
        <v>5</v>
      </c>
      <c r="AM60" s="118" t="n">
        <v>5</v>
      </c>
      <c r="AN60" s="116" t="n">
        <v>5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15777.83</v>
      </c>
      <c r="C70" s="54" t="n">
        <v>31494.3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10399.73</v>
      </c>
      <c r="J70" s="54" t="n">
        <v>13761.58</v>
      </c>
      <c r="K70" s="54" t="n">
        <v>32819.77</v>
      </c>
      <c r="L70" s="54" t="n">
        <v>32964.98</v>
      </c>
      <c r="M70" s="54" t="n">
        <v>48166.24999999999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/>
      <c r="AB71" s="55" t="n"/>
      <c r="AC71" s="57" t="n"/>
      <c r="AD71" s="57" t="n"/>
      <c r="AE71" s="57" t="n"/>
      <c r="AF71" s="57" t="n"/>
      <c r="AG71" s="57" t="n"/>
      <c r="AH71" s="57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/>
      <c r="AB72" s="55" t="n"/>
      <c r="AC72" s="57" t="n"/>
      <c r="AD72" s="57" t="n"/>
      <c r="AE72" s="57" t="n"/>
      <c r="AF72" s="57" t="n"/>
      <c r="AG72" s="57" t="n"/>
      <c r="AH72" s="57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/>
      <c r="AB73" s="55" t="n"/>
      <c r="AC73" s="57" t="n"/>
      <c r="AD73" s="57" t="n"/>
      <c r="AE73" s="57" t="n"/>
      <c r="AF73" s="57" t="n"/>
      <c r="AG73" s="57" t="n"/>
      <c r="AH73" s="57" t="n"/>
      <c r="AJ73" s="58" t="inlineStr">
        <is>
          <t>Model assumptions 2027:</t>
        </is>
      </c>
      <c r="AN73" s="55" t="n"/>
      <c r="AO73" s="55" t="n"/>
      <c r="AP73" s="55" t="n"/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59" t="inlineStr">
        <is>
          <t>Fee Uplift not yet in calcs - offer changing this is purely on FAMLY current data</t>
        </is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/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1">
        <f>SUM(AC77:AH77)+SUM(AI77:AN77)</f>
        <v/>
      </c>
      <c r="AP77" s="129">
        <f>IF(AB77&lt;&gt;0,(AO77-AB77)/ABS(AB77),0)</f>
        <v/>
      </c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1">
        <f>SUM(AC78:AH78)+SUM(AI78:AN78)</f>
        <v/>
      </c>
      <c r="AP78" s="129">
        <f>IF(AB78&lt;&gt;0,(AO78-AB78)/ABS(AB78),0)</f>
        <v/>
      </c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1">
        <f>SUM(AC80:AH80)+SUM(AI80:AN80)</f>
        <v/>
      </c>
      <c r="AP80" s="129">
        <f>IF(AB80&lt;&gt;0,(AO80-AB80)/ABS(AB80),0)</f>
        <v/>
      </c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C83" s="63" t="n"/>
      <c r="AD83" s="63" t="n"/>
      <c r="AE83" s="63" t="n"/>
      <c r="AF83" s="63" t="n"/>
      <c r="AG83" s="63" t="n"/>
      <c r="AH83" s="63" t="n"/>
      <c r="AI83" s="116" t="n">
        <v>0</v>
      </c>
      <c r="AJ83" s="116" t="n">
        <v>0</v>
      </c>
      <c r="AK83" s="116" t="n">
        <v>0</v>
      </c>
      <c r="AL83" s="116" t="n">
        <v>0</v>
      </c>
      <c r="AM83" s="116" t="n">
        <v>0</v>
      </c>
      <c r="AN83" s="116" t="n">
        <v>0</v>
      </c>
      <c r="AO83" s="134">
        <f>SUM(AC83:AH83)+SUM(AI83:AN83)</f>
        <v/>
      </c>
      <c r="AP83" s="129">
        <f>IF(AB83&lt;&gt;0,(AO83-AB83)/ABS(AB83),0)</f>
        <v/>
      </c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C86" s="64" t="n"/>
      <c r="AD86" s="64" t="n"/>
      <c r="AE86" s="64" t="n"/>
      <c r="AF86" s="64" t="n"/>
      <c r="AG86" s="64" t="n"/>
      <c r="AH86" s="64" t="n"/>
      <c r="AI86" s="116" t="n">
        <v>0</v>
      </c>
      <c r="AJ86" s="116" t="n">
        <v>0</v>
      </c>
      <c r="AK86" s="116" t="n">
        <v>0</v>
      </c>
      <c r="AL86" s="116" t="n">
        <v>0</v>
      </c>
      <c r="AM86" s="116" t="n">
        <v>0</v>
      </c>
      <c r="AN86" s="116" t="n">
        <v>0</v>
      </c>
      <c r="AO86" s="135">
        <f>SUM(AC86:AH86)+SUM(AI86:AN86)</f>
        <v/>
      </c>
      <c r="AP86" s="129">
        <f>IF(AB86&lt;&gt;0,(AO86-AB86)/ABS(AB86),0)</f>
        <v/>
      </c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C87" s="64" t="n"/>
      <c r="AD87" s="64" t="n"/>
      <c r="AE87" s="64" t="n"/>
      <c r="AF87" s="64" t="n"/>
      <c r="AG87" s="64" t="n"/>
      <c r="AH87" s="64" t="n"/>
      <c r="AI87" s="116" t="n">
        <v>0</v>
      </c>
      <c r="AJ87" s="116" t="n">
        <v>0</v>
      </c>
      <c r="AK87" s="116" t="n">
        <v>0</v>
      </c>
      <c r="AL87" s="116" t="n">
        <v>0</v>
      </c>
      <c r="AM87" s="116" t="n">
        <v>0</v>
      </c>
      <c r="AN87" s="116" t="n">
        <v>0</v>
      </c>
      <c r="AO87" s="135">
        <f>SUM(AC87:AH87)+SUM(AI87:AN87)</f>
        <v/>
      </c>
      <c r="AP87" s="129">
        <f>IF(AB87&lt;&gt;0,(AO87-AB87)/ABS(AB87),0)</f>
        <v/>
      </c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/>
      <c r="AB8" s="35" t="n"/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I8" s="116" t="n">
        <v>49227.72</v>
      </c>
      <c r="AJ8" s="117" t="n">
        <v>49227.72</v>
      </c>
      <c r="AK8" s="117" t="n">
        <v>49227.72</v>
      </c>
      <c r="AL8" s="117" t="n">
        <v>49227.72</v>
      </c>
      <c r="AM8" s="118" t="n">
        <v>49227.72</v>
      </c>
      <c r="AN8" s="116" t="n">
        <v>49227.72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48602.76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/>
      <c r="AB16" s="35" t="n"/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I16" s="116" t="n">
        <v>23226.6</v>
      </c>
      <c r="AJ16" s="117" t="n">
        <v>23226.6</v>
      </c>
      <c r="AK16" s="117" t="n">
        <v>23226.6</v>
      </c>
      <c r="AL16" s="117" t="n">
        <v>23226.6</v>
      </c>
      <c r="AM16" s="118" t="n">
        <v>23226.6</v>
      </c>
      <c r="AN16" s="116" t="n">
        <v>23226.6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/>
      <c r="AB17" s="35" t="n"/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I17" s="116" t="n">
        <v>2177.1</v>
      </c>
      <c r="AJ17" s="117" t="n">
        <v>2177.1</v>
      </c>
      <c r="AK17" s="117" t="n">
        <v>2177.1</v>
      </c>
      <c r="AL17" s="117" t="n">
        <v>2177.1</v>
      </c>
      <c r="AM17" s="118" t="n">
        <v>2177.1</v>
      </c>
      <c r="AN17" s="116" t="n">
        <v>2177.1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/>
      <c r="AB18" s="35" t="n"/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I18" s="116" t="n">
        <v>413.76</v>
      </c>
      <c r="AJ18" s="117" t="n">
        <v>413.76</v>
      </c>
      <c r="AK18" s="117" t="n">
        <v>413.76</v>
      </c>
      <c r="AL18" s="117" t="n">
        <v>413.76</v>
      </c>
      <c r="AM18" s="118" t="n">
        <v>413.76</v>
      </c>
      <c r="AN18" s="116" t="n">
        <v>413.76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/>
      <c r="AB20" s="35" t="n"/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/>
      <c r="AB37" s="35" t="n"/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I37" s="116" t="n">
        <v>1178.666666666667</v>
      </c>
      <c r="AJ37" s="117" t="n">
        <v>1178.666666666667</v>
      </c>
      <c r="AK37" s="117" t="n">
        <v>1178.666666666667</v>
      </c>
      <c r="AL37" s="117" t="n">
        <v>1178.666666666667</v>
      </c>
      <c r="AM37" s="118" t="n">
        <v>1178.666666666667</v>
      </c>
      <c r="AN37" s="116" t="n">
        <v>1178.666666666667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/>
      <c r="AB38" s="35" t="n"/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I38" s="116" t="n">
        <v>808</v>
      </c>
      <c r="AJ38" s="117" t="n">
        <v>808</v>
      </c>
      <c r="AK38" s="117" t="n">
        <v>808</v>
      </c>
      <c r="AL38" s="117" t="n">
        <v>808</v>
      </c>
      <c r="AM38" s="118" t="n">
        <v>808</v>
      </c>
      <c r="AN38" s="116" t="n">
        <v>808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/>
      <c r="AB40" s="35" t="n"/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I40" s="116" t="n">
        <v>310</v>
      </c>
      <c r="AJ40" s="117" t="n">
        <v>310</v>
      </c>
      <c r="AK40" s="117" t="n">
        <v>310</v>
      </c>
      <c r="AL40" s="117" t="n">
        <v>310</v>
      </c>
      <c r="AM40" s="118" t="n">
        <v>310</v>
      </c>
      <c r="AN40" s="116" t="n">
        <v>310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/>
      <c r="AB41" s="35" t="n"/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I41" s="116" t="n">
        <v>385</v>
      </c>
      <c r="AJ41" s="117" t="n">
        <v>385</v>
      </c>
      <c r="AK41" s="117" t="n">
        <v>385</v>
      </c>
      <c r="AL41" s="117" t="n">
        <v>385</v>
      </c>
      <c r="AM41" s="118" t="n">
        <v>385</v>
      </c>
      <c r="AN41" s="116" t="n">
        <v>385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4703.050000000001</v>
      </c>
      <c r="C47" s="41" t="n">
        <v>8143.23</v>
      </c>
      <c r="D47" s="41" t="n">
        <v>5927.719999999999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11626.24</v>
      </c>
      <c r="C50" s="54" t="n">
        <v>7011.790000000001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24295.09999999999</v>
      </c>
      <c r="I50" s="54" t="n">
        <v>264.9799999999996</v>
      </c>
      <c r="J50" s="54" t="n">
        <v>4455.510000000002</v>
      </c>
      <c r="K50" s="54" t="n">
        <v>4503.369999999995</v>
      </c>
      <c r="L50" s="54" t="n">
        <v>9337.049999999996</v>
      </c>
      <c r="M50" s="54" t="n">
        <v>17325.98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/>
      <c r="AB60" s="35" t="n"/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11278.46</v>
      </c>
      <c r="C70" s="54" t="n">
        <v>6705.210000000001</v>
      </c>
      <c r="D70" s="54" t="n">
        <v>35352.92</v>
      </c>
      <c r="E70" s="54" t="n">
        <v>14050.32000000001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4252.330000000002</v>
      </c>
      <c r="K70" s="54" t="n">
        <v>4043.919999999996</v>
      </c>
      <c r="L70" s="54" t="n">
        <v>9091.809999999996</v>
      </c>
      <c r="M70" s="54" t="n">
        <v>17028.98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/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/>
      <c r="AB73" s="55" t="n"/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1">
        <f>SUM(AC73:AH73)+SUM(AI73:AN73)</f>
        <v/>
      </c>
      <c r="AP73" s="129">
        <f>IF(AB73&lt;&gt;0,(AO73-AB73)/ABS(AB73),0)</f>
        <v/>
      </c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/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/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1">
        <f>SUM(AC74:AH74)+SUM(AI74:AN74)</f>
        <v/>
      </c>
      <c r="AP74" s="129">
        <f>IF(AB74&lt;&gt;0,(AO74-AB74)/ABS(AB74),0)</f>
        <v/>
      </c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/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/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1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1">
        <f>SUM(AC76:AH76)+SUM(AI76:AN76)</f>
        <v/>
      </c>
      <c r="AP76" s="129">
        <f>IF(AB76&lt;&gt;0,(AO76-AB76)/ABS(AB76),0)</f>
        <v/>
      </c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1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1">
        <f>SUM(AC78:AH78)+SUM(AI78:AN78)</f>
        <v/>
      </c>
      <c r="AP78" s="129">
        <f>IF(AB78&lt;&gt;0,(AO78-AB78)/ABS(AB78),0)</f>
        <v/>
      </c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C79" s="67" t="n"/>
      <c r="AD79" s="67" t="n"/>
      <c r="AE79" s="67" t="n"/>
      <c r="AF79" s="67" t="n"/>
      <c r="AG79" s="67" t="n"/>
      <c r="AH79" s="6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1">
        <f>SUM(AC79:AH79)+SUM(AI79:AN79)</f>
        <v/>
      </c>
      <c r="AP79" s="12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1">
        <f>SUM(AC80:AH80)+SUM(AI80:AN80)</f>
        <v/>
      </c>
      <c r="AP80" s="129">
        <f>IF(AB80&lt;&gt;0,(AO80-AB80)/ABS(AB80),0)</f>
        <v/>
      </c>
    </row>
    <row r="81">
      <c r="N81" s="59" t="n"/>
      <c r="AA81" s="59" t="n"/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/>
      <c r="AC82" s="64" t="n"/>
      <c r="AD82" s="64" t="n"/>
      <c r="AE82" s="64" t="n"/>
      <c r="AF82" s="64" t="n"/>
      <c r="AG82" s="64" t="n"/>
      <c r="AH82" s="64" t="n"/>
      <c r="AI82" s="116" t="n">
        <v>0</v>
      </c>
      <c r="AJ82" s="116" t="n">
        <v>0</v>
      </c>
      <c r="AK82" s="116" t="n">
        <v>0</v>
      </c>
      <c r="AL82" s="116" t="n">
        <v>0</v>
      </c>
      <c r="AM82" s="116" t="n">
        <v>0</v>
      </c>
      <c r="AN82" s="116" t="n">
        <v>0</v>
      </c>
      <c r="AO82" s="135">
        <f>SUM(AC82:AH82)+SUM(AI82:AN82)</f>
        <v/>
      </c>
      <c r="AP82" s="129">
        <f>IF(AB82&lt;&gt;0,(AO82-AB82)/ABS(AB82),0)</f>
        <v/>
      </c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C83" s="64" t="n"/>
      <c r="AD83" s="64" t="n"/>
      <c r="AE83" s="64" t="n"/>
      <c r="AF83" s="64" t="n"/>
      <c r="AG83" s="64" t="n"/>
      <c r="AH83" s="64" t="n"/>
      <c r="AI83" s="116" t="n">
        <v>0</v>
      </c>
      <c r="AJ83" s="116" t="n">
        <v>0</v>
      </c>
      <c r="AK83" s="116" t="n">
        <v>0</v>
      </c>
      <c r="AL83" s="116" t="n">
        <v>0</v>
      </c>
      <c r="AM83" s="116" t="n">
        <v>0</v>
      </c>
      <c r="AN83" s="116" t="n">
        <v>0</v>
      </c>
      <c r="AO83" s="135">
        <f>SUM(AC83:AH83)+SUM(AI83:AN83)</f>
        <v/>
      </c>
      <c r="AP83" s="129">
        <f>IF(AB83&lt;&gt;0,(AO83-AB83)/ABS(AB83),0)</f>
        <v/>
      </c>
    </row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/>
    <row r="87"/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/>
      <c r="AB8" s="35" t="n"/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I8" s="116" t="n">
        <v>153396.96</v>
      </c>
      <c r="AJ8" s="117" t="n">
        <v>153396.96</v>
      </c>
      <c r="AK8" s="117" t="n">
        <v>153396.96</v>
      </c>
      <c r="AL8" s="117" t="n">
        <v>153396.96</v>
      </c>
      <c r="AM8" s="118" t="n">
        <v>153396.96</v>
      </c>
      <c r="AN8" s="116" t="n">
        <v>153396.96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/>
      <c r="AB16" s="35" t="n"/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I16" s="116" t="n">
        <v>67043.3</v>
      </c>
      <c r="AJ16" s="117" t="n">
        <v>67043.3</v>
      </c>
      <c r="AK16" s="117" t="n">
        <v>67043.3</v>
      </c>
      <c r="AL16" s="117" t="n">
        <v>67043.3</v>
      </c>
      <c r="AM16" s="118" t="n">
        <v>67043.3</v>
      </c>
      <c r="AN16" s="116" t="n">
        <v>67043.3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/>
      <c r="AB17" s="35" t="n"/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I17" s="116" t="n">
        <v>6517.08</v>
      </c>
      <c r="AJ17" s="117" t="n">
        <v>6517.08</v>
      </c>
      <c r="AK17" s="117" t="n">
        <v>6517.08</v>
      </c>
      <c r="AL17" s="117" t="n">
        <v>6517.08</v>
      </c>
      <c r="AM17" s="118" t="n">
        <v>6517.08</v>
      </c>
      <c r="AN17" s="116" t="n">
        <v>6517.08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/>
      <c r="AB18" s="35" t="n"/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I18" s="116" t="n">
        <v>1087.65</v>
      </c>
      <c r="AJ18" s="117" t="n">
        <v>1087.65</v>
      </c>
      <c r="AK18" s="117" t="n">
        <v>1087.65</v>
      </c>
      <c r="AL18" s="117" t="n">
        <v>1087.65</v>
      </c>
      <c r="AM18" s="118" t="n">
        <v>1087.65</v>
      </c>
      <c r="AN18" s="116" t="n">
        <v>1087.65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/>
      <c r="AB19" s="35" t="n"/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I19" s="116" t="n">
        <v>176</v>
      </c>
      <c r="AJ19" s="117" t="n">
        <v>176</v>
      </c>
      <c r="AK19" s="117" t="n">
        <v>176</v>
      </c>
      <c r="AL19" s="117" t="n">
        <v>176</v>
      </c>
      <c r="AM19" s="118" t="n">
        <v>176</v>
      </c>
      <c r="AN19" s="116" t="n">
        <v>176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/>
      <c r="AB20" s="35" t="n"/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I20" s="116" t="n">
        <v>500</v>
      </c>
      <c r="AJ20" s="117" t="n">
        <v>500</v>
      </c>
      <c r="AK20" s="117" t="n">
        <v>500</v>
      </c>
      <c r="AL20" s="117" t="n">
        <v>500</v>
      </c>
      <c r="AM20" s="118" t="n">
        <v>500</v>
      </c>
      <c r="AN20" s="116" t="n">
        <v>500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/>
      <c r="AB21" s="35" t="n"/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I21" s="116" t="n">
        <v>360</v>
      </c>
      <c r="AJ21" s="117" t="n">
        <v>360</v>
      </c>
      <c r="AK21" s="117" t="n">
        <v>360</v>
      </c>
      <c r="AL21" s="117" t="n">
        <v>360</v>
      </c>
      <c r="AM21" s="118" t="n">
        <v>360</v>
      </c>
      <c r="AN21" s="116" t="n">
        <v>360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/>
      <c r="AB23" s="35" t="n"/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I23" s="116" t="n">
        <v>150</v>
      </c>
      <c r="AJ23" s="117" t="n">
        <v>150</v>
      </c>
      <c r="AK23" s="117" t="n">
        <v>150</v>
      </c>
      <c r="AL23" s="117" t="n">
        <v>150</v>
      </c>
      <c r="AM23" s="118" t="n">
        <v>150</v>
      </c>
      <c r="AN23" s="116" t="n">
        <v>150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66664.72000000002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81352.47000000002</v>
      </c>
      <c r="J25" s="41" t="n">
        <v>92076.14999999999</v>
      </c>
      <c r="K25" s="41" t="n">
        <v>78664.33000000002</v>
      </c>
      <c r="L25" s="41" t="n">
        <v>75195.24000000001</v>
      </c>
      <c r="M25" s="41" t="n">
        <v>73304.81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/>
      <c r="AB30" s="35" t="n"/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I30" s="116" t="n">
        <v>278</v>
      </c>
      <c r="AJ30" s="117" t="n">
        <v>278</v>
      </c>
      <c r="AK30" s="117" t="n">
        <v>278</v>
      </c>
      <c r="AL30" s="117" t="n">
        <v>278</v>
      </c>
      <c r="AM30" s="118" t="n">
        <v>278</v>
      </c>
      <c r="AN30" s="116" t="n">
        <v>278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5324.829999999999</v>
      </c>
      <c r="C34" s="41" t="n">
        <v>7553.1</v>
      </c>
      <c r="D34" s="41" t="n">
        <v>7044.840000000001</v>
      </c>
      <c r="E34" s="41" t="n">
        <v>5409.81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5207.200000000001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/>
      <c r="AB37" s="35" t="n"/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I37" s="116" t="n">
        <v>3123.75</v>
      </c>
      <c r="AJ37" s="117" t="n">
        <v>3123.75</v>
      </c>
      <c r="AK37" s="117" t="n">
        <v>3123.75</v>
      </c>
      <c r="AL37" s="117" t="n">
        <v>3123.75</v>
      </c>
      <c r="AM37" s="118" t="n">
        <v>3123.75</v>
      </c>
      <c r="AN37" s="116" t="n">
        <v>3123.75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/>
      <c r="AB38" s="35" t="n"/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I38" s="116" t="n">
        <v>3138</v>
      </c>
      <c r="AJ38" s="117" t="n">
        <v>3138</v>
      </c>
      <c r="AK38" s="117" t="n">
        <v>3138</v>
      </c>
      <c r="AL38" s="117" t="n">
        <v>3138</v>
      </c>
      <c r="AM38" s="118" t="n">
        <v>3138</v>
      </c>
      <c r="AN38" s="116" t="n">
        <v>3138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/>
      <c r="AB40" s="35" t="n"/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I40" s="116" t="n">
        <v>4300</v>
      </c>
      <c r="AJ40" s="117" t="n">
        <v>4300</v>
      </c>
      <c r="AK40" s="117" t="n">
        <v>4300</v>
      </c>
      <c r="AL40" s="117" t="n">
        <v>4300</v>
      </c>
      <c r="AM40" s="118" t="n">
        <v>4300</v>
      </c>
      <c r="AN40" s="116" t="n">
        <v>4300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/>
      <c r="AB41" s="35" t="n"/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I41" s="116" t="n">
        <v>746</v>
      </c>
      <c r="AJ41" s="117" t="n">
        <v>746</v>
      </c>
      <c r="AK41" s="117" t="n">
        <v>746</v>
      </c>
      <c r="AL41" s="117" t="n">
        <v>746</v>
      </c>
      <c r="AM41" s="118" t="n">
        <v>746</v>
      </c>
      <c r="AN41" s="116" t="n">
        <v>746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/>
      <c r="AB42" s="35" t="n"/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I42" s="116" t="n">
        <v>150</v>
      </c>
      <c r="AJ42" s="117" t="n">
        <v>150</v>
      </c>
      <c r="AK42" s="117" t="n">
        <v>150</v>
      </c>
      <c r="AL42" s="117" t="n">
        <v>150</v>
      </c>
      <c r="AM42" s="118" t="n">
        <v>150</v>
      </c>
      <c r="AN42" s="116" t="n">
        <v>150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9401.230000000001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92268.51000000001</v>
      </c>
      <c r="C48" s="22" t="n">
        <v>85615.26000000001</v>
      </c>
      <c r="D48" s="22" t="n">
        <v>87287.04999999999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90097.54999999999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63673.45999999999</v>
      </c>
      <c r="C50" s="54" t="n">
        <v>88113.21999999997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29408.76999999997</v>
      </c>
      <c r="J50" s="54" t="n">
        <v>23453.08999999998</v>
      </c>
      <c r="K50" s="54" t="n">
        <v>35100.64999999999</v>
      </c>
      <c r="L50" s="54" t="n">
        <v>89454.3</v>
      </c>
      <c r="M50" s="54" t="n">
        <v>131131.14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/>
      <c r="AB53" s="35" t="n"/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/>
      <c r="AB54" s="35" t="n"/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/>
      <c r="AB55" s="35" t="n"/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/>
      <c r="AB56" s="35" t="n"/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/>
      <c r="AB60" s="35" t="n"/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I60" s="116" t="n">
        <v>3.6</v>
      </c>
      <c r="AJ60" s="117" t="n">
        <v>3.6</v>
      </c>
      <c r="AK60" s="117" t="n">
        <v>3.6</v>
      </c>
      <c r="AL60" s="117" t="n">
        <v>3.6</v>
      </c>
      <c r="AM60" s="118" t="n">
        <v>3.6</v>
      </c>
      <c r="AN60" s="116" t="n">
        <v>3.6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/>
      <c r="AB62" s="35" t="n"/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/>
      <c r="AB63" s="35" t="n"/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/>
      <c r="AB64" s="35" t="n"/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/>
      <c r="AB65" s="35" t="n"/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/>
      <c r="AB67" s="35" t="n"/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/>
      <c r="AB68" s="35" t="n"/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63418.50999999999</v>
      </c>
      <c r="C70" s="54" t="n">
        <v>87711.48999999998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28726.59999999998</v>
      </c>
      <c r="J70" s="54" t="n">
        <v>22810.30999999998</v>
      </c>
      <c r="K70" s="54" t="n">
        <v>34761.19</v>
      </c>
      <c r="L70" s="54" t="n">
        <v>88791.55</v>
      </c>
      <c r="M70" s="54" t="n">
        <v>130830.66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1">
        <f>SUM(AC78:AH78)+SUM(AI78:AN78)</f>
        <v/>
      </c>
      <c r="AP78" s="129">
        <f>IF(AB78&lt;&gt;0,(AO78-AB78)/ABS(AB78),0)</f>
        <v/>
      </c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/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1">
        <f>SUM(AC80:AH80)+SUM(AI80:AN80)</f>
        <v/>
      </c>
      <c r="AP80" s="129">
        <f>IF(AB80&lt;&gt;0,(AO80-AB80)/ABS(AB80),0)</f>
        <v/>
      </c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C84" s="63" t="n"/>
      <c r="AD84" s="63" t="n"/>
      <c r="AE84" s="63" t="n"/>
      <c r="AF84" s="63" t="n"/>
      <c r="AG84" s="63" t="n"/>
      <c r="AH84" s="63" t="n"/>
      <c r="AI84" s="116" t="n">
        <v>0</v>
      </c>
      <c r="AJ84" s="116" t="n">
        <v>0</v>
      </c>
      <c r="AK84" s="116" t="n">
        <v>0</v>
      </c>
      <c r="AL84" s="116" t="n">
        <v>0</v>
      </c>
      <c r="AM84" s="116" t="n">
        <v>0</v>
      </c>
      <c r="AN84" s="116" t="n">
        <v>0</v>
      </c>
      <c r="AO84" s="134">
        <f>SUM(AC84:AH84)+SUM(AI84:AN84)</f>
        <v/>
      </c>
      <c r="AP84" s="129">
        <f>IF(AB84&lt;&gt;0,(AO84-AB84)/ABS(AB84),0)</f>
        <v/>
      </c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I85" s="132" t="n">
        <v>0</v>
      </c>
      <c r="AJ85" s="132" t="n">
        <v>0</v>
      </c>
      <c r="AK85" s="132" t="n">
        <v>0</v>
      </c>
      <c r="AL85" s="132" t="n">
        <v>0</v>
      </c>
      <c r="AM85" s="132" t="n">
        <v>0</v>
      </c>
      <c r="AN85" s="132" t="n">
        <v>0</v>
      </c>
      <c r="AO85" s="133">
        <f>SUM(AC85:AH85)+SUM(AI85:AN85)</f>
        <v/>
      </c>
      <c r="AP85" s="129">
        <f>IF(AB85&lt;&gt;0,(AO85-AB85)/ABS(AB85),0)</f>
        <v/>
      </c>
    </row>
    <row r="86"/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/>
      <c r="AB8" s="35" t="n"/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I8" s="116" t="n">
        <v>33002.04</v>
      </c>
      <c r="AJ8" s="117" t="n">
        <v>33002.04</v>
      </c>
      <c r="AK8" s="117" t="n">
        <v>33002.04</v>
      </c>
      <c r="AL8" s="117" t="n">
        <v>33002.04</v>
      </c>
      <c r="AM8" s="118" t="n">
        <v>33002.04</v>
      </c>
      <c r="AN8" s="116" t="n">
        <v>33002.04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/>
      <c r="AB16" s="35" t="n"/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I16" s="116" t="n">
        <v>22510.48</v>
      </c>
      <c r="AJ16" s="117" t="n">
        <v>22510.48</v>
      </c>
      <c r="AK16" s="117" t="n">
        <v>22510.48</v>
      </c>
      <c r="AL16" s="117" t="n">
        <v>22510.48</v>
      </c>
      <c r="AM16" s="118" t="n">
        <v>22510.48</v>
      </c>
      <c r="AN16" s="116" t="n">
        <v>22510.48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/>
      <c r="AB17" s="35" t="n"/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I17" s="116" t="n">
        <v>2763.77</v>
      </c>
      <c r="AJ17" s="117" t="n">
        <v>2763.77</v>
      </c>
      <c r="AK17" s="117" t="n">
        <v>2763.77</v>
      </c>
      <c r="AL17" s="117" t="n">
        <v>2763.77</v>
      </c>
      <c r="AM17" s="118" t="n">
        <v>2763.77</v>
      </c>
      <c r="AN17" s="116" t="n">
        <v>2763.77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/>
      <c r="AB18" s="35" t="n"/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I18" s="116" t="n">
        <v>478.22</v>
      </c>
      <c r="AJ18" s="117" t="n">
        <v>478.22</v>
      </c>
      <c r="AK18" s="117" t="n">
        <v>478.22</v>
      </c>
      <c r="AL18" s="117" t="n">
        <v>478.22</v>
      </c>
      <c r="AM18" s="118" t="n">
        <v>478.22</v>
      </c>
      <c r="AN18" s="116" t="n">
        <v>478.22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/>
      <c r="AB19" s="35" t="n"/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I19" s="116" t="n">
        <v>6.99</v>
      </c>
      <c r="AJ19" s="117" t="n">
        <v>6.99</v>
      </c>
      <c r="AK19" s="117" t="n">
        <v>6.99</v>
      </c>
      <c r="AL19" s="117" t="n">
        <v>6.99</v>
      </c>
      <c r="AM19" s="118" t="n">
        <v>6.99</v>
      </c>
      <c r="AN19" s="116" t="n">
        <v>6.99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/>
      <c r="AB21" s="35" t="n"/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16" t="n">
        <v>150</v>
      </c>
      <c r="AJ21" s="117" t="n">
        <v>150</v>
      </c>
      <c r="AK21" s="117" t="n">
        <v>150</v>
      </c>
      <c r="AL21" s="117" t="n">
        <v>150</v>
      </c>
      <c r="AM21" s="118" t="n">
        <v>150</v>
      </c>
      <c r="AN21" s="116" t="n">
        <v>150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/>
      <c r="AB31" s="35" t="n"/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16" t="n">
        <v>100</v>
      </c>
      <c r="AJ31" s="117" t="n">
        <v>100</v>
      </c>
      <c r="AK31" s="117" t="n">
        <v>100</v>
      </c>
      <c r="AL31" s="117" t="n">
        <v>100</v>
      </c>
      <c r="AM31" s="118" t="n">
        <v>100</v>
      </c>
      <c r="AN31" s="116" t="n">
        <v>100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2334.650000000001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/>
      <c r="AB37" s="35" t="n"/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I37" s="116" t="n">
        <v>736.67</v>
      </c>
      <c r="AJ37" s="117" t="n">
        <v>736.67</v>
      </c>
      <c r="AK37" s="117" t="n">
        <v>736.67</v>
      </c>
      <c r="AL37" s="117" t="n">
        <v>736.67</v>
      </c>
      <c r="AM37" s="118" t="n">
        <v>736.67</v>
      </c>
      <c r="AN37" s="116" t="n">
        <v>736.67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/>
      <c r="AB38" s="35" t="n"/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I38" s="116" t="n">
        <v>448</v>
      </c>
      <c r="AJ38" s="117" t="n">
        <v>448</v>
      </c>
      <c r="AK38" s="117" t="n">
        <v>448</v>
      </c>
      <c r="AL38" s="117" t="n">
        <v>448</v>
      </c>
      <c r="AM38" s="118" t="n">
        <v>448</v>
      </c>
      <c r="AN38" s="116" t="n">
        <v>448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/>
      <c r="AB40" s="35" t="n"/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I40" s="116" t="n">
        <v>210</v>
      </c>
      <c r="AJ40" s="117" t="n">
        <v>210</v>
      </c>
      <c r="AK40" s="117" t="n">
        <v>210</v>
      </c>
      <c r="AL40" s="117" t="n">
        <v>210</v>
      </c>
      <c r="AM40" s="118" t="n">
        <v>210</v>
      </c>
      <c r="AN40" s="116" t="n">
        <v>210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/>
      <c r="AB41" s="35" t="n"/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I41" s="116" t="n">
        <v>300</v>
      </c>
      <c r="AJ41" s="117" t="n">
        <v>300</v>
      </c>
      <c r="AK41" s="117" t="n">
        <v>300</v>
      </c>
      <c r="AL41" s="117" t="n">
        <v>300</v>
      </c>
      <c r="AM41" s="118" t="n">
        <v>300</v>
      </c>
      <c r="AN41" s="116" t="n">
        <v>300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566.1500000000001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7802.119999999999</v>
      </c>
      <c r="C50" s="54" t="n">
        <v>9313.829999999994</v>
      </c>
      <c r="D50" s="54" t="n">
        <v>19870.49000000001</v>
      </c>
      <c r="E50" s="54" t="n">
        <v>10041.95</v>
      </c>
      <c r="F50" s="54" t="n">
        <v>34.88000000000466</v>
      </c>
      <c r="G50" s="54" t="n">
        <v>13883.58</v>
      </c>
      <c r="H50" s="54" t="n">
        <v>17477.75</v>
      </c>
      <c r="I50" s="54" t="n">
        <v>1925.619999999999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7885.799999999996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452.6899999999999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7600.139999999999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-278.0799999999953</v>
      </c>
      <c r="G70" s="54" t="n">
        <v>13009.61</v>
      </c>
      <c r="H70" s="54" t="n">
        <v>15197.46</v>
      </c>
      <c r="I70" s="54" t="n">
        <v>84.97999999999911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7411.819999999996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/>
      <c r="AB73" s="55" t="n"/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/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1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/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1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/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1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/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1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1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/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/>
      <c r="AC79" s="19" t="n"/>
      <c r="AD79" s="19" t="n"/>
      <c r="AE79" s="19" t="n"/>
      <c r="AF79" s="19" t="n"/>
      <c r="AG79" s="19" t="n"/>
      <c r="AH79" s="19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1">
        <f>SUM(AC79:AH79)+SUM(AI79:AN79)</f>
        <v/>
      </c>
      <c r="AP79" s="129">
        <f>IF(AB79&lt;&gt;0,(AO79-AB79)/ABS(AB79),0)</f>
        <v/>
      </c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/>
      <c r="AC80" s="67" t="n"/>
      <c r="AD80" s="67" t="n"/>
      <c r="AE80" s="67" t="n"/>
      <c r="AF80" s="67" t="n"/>
      <c r="AG80" s="67" t="n"/>
      <c r="AH80" s="67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1">
        <f>SUM(AC80:AH80)+SUM(AI80:AN80)</f>
        <v/>
      </c>
      <c r="AP80" s="129">
        <f>IF(AB80&lt;&gt;0,(AO80-AB80)/ABS(AB80),0)</f>
        <v/>
      </c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/>
    <row r="87"/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/>
      <c r="AB8" s="35" t="n"/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I8" s="116" t="n">
        <v>34163.18</v>
      </c>
      <c r="AJ8" s="117" t="n">
        <v>34163.18</v>
      </c>
      <c r="AK8" s="117" t="n">
        <v>34163.18</v>
      </c>
      <c r="AL8" s="117" t="n">
        <v>34163.18</v>
      </c>
      <c r="AM8" s="118" t="n">
        <v>34163.18</v>
      </c>
      <c r="AN8" s="116" t="n">
        <v>34163.18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/>
      <c r="AB16" s="35" t="n"/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I16" s="116" t="n">
        <v>24045</v>
      </c>
      <c r="AJ16" s="117" t="n">
        <v>24045</v>
      </c>
      <c r="AK16" s="117" t="n">
        <v>24045</v>
      </c>
      <c r="AL16" s="117" t="n">
        <v>24045</v>
      </c>
      <c r="AM16" s="118" t="n">
        <v>24045</v>
      </c>
      <c r="AN16" s="116" t="n">
        <v>24045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/>
      <c r="AB17" s="35" t="n"/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I17" s="116" t="n">
        <v>2713</v>
      </c>
      <c r="AJ17" s="117" t="n">
        <v>2713</v>
      </c>
      <c r="AK17" s="117" t="n">
        <v>2713</v>
      </c>
      <c r="AL17" s="117" t="n">
        <v>2713</v>
      </c>
      <c r="AM17" s="118" t="n">
        <v>2713</v>
      </c>
      <c r="AN17" s="116" t="n">
        <v>2713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/>
      <c r="AB18" s="35" t="n"/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I18" s="116" t="n">
        <v>453</v>
      </c>
      <c r="AJ18" s="117" t="n">
        <v>453</v>
      </c>
      <c r="AK18" s="117" t="n">
        <v>453</v>
      </c>
      <c r="AL18" s="117" t="n">
        <v>453</v>
      </c>
      <c r="AM18" s="118" t="n">
        <v>453</v>
      </c>
      <c r="AN18" s="116" t="n">
        <v>453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/>
      <c r="AB19" s="35" t="n"/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16" t="n">
        <v>49</v>
      </c>
      <c r="AJ19" s="117" t="n">
        <v>49</v>
      </c>
      <c r="AK19" s="117" t="n">
        <v>49</v>
      </c>
      <c r="AL19" s="117" t="n">
        <v>49</v>
      </c>
      <c r="AM19" s="118" t="n">
        <v>49</v>
      </c>
      <c r="AN19" s="116" t="n">
        <v>49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/>
      <c r="AB21" s="35" t="n"/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16" t="n">
        <v>100</v>
      </c>
      <c r="AJ21" s="117" t="n">
        <v>100</v>
      </c>
      <c r="AK21" s="117" t="n">
        <v>100</v>
      </c>
      <c r="AL21" s="117" t="n">
        <v>100</v>
      </c>
      <c r="AM21" s="118" t="n">
        <v>100</v>
      </c>
      <c r="AN21" s="116" t="n">
        <v>100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26356.50999999999</v>
      </c>
      <c r="K25" s="41" t="n">
        <v>26819.11</v>
      </c>
      <c r="L25" s="41" t="n">
        <v>25918.13</v>
      </c>
      <c r="M25" s="41" t="n">
        <v>27401.22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/>
      <c r="AB37" s="35" t="n"/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I37" s="116" t="n">
        <v>567</v>
      </c>
      <c r="AJ37" s="117" t="n">
        <v>567</v>
      </c>
      <c r="AK37" s="117" t="n">
        <v>567</v>
      </c>
      <c r="AL37" s="117" t="n">
        <v>567</v>
      </c>
      <c r="AM37" s="118" t="n">
        <v>567</v>
      </c>
      <c r="AN37" s="116" t="n">
        <v>567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/>
      <c r="AB38" s="35" t="n"/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I38" s="116" t="n">
        <v>370</v>
      </c>
      <c r="AJ38" s="117" t="n">
        <v>370</v>
      </c>
      <c r="AK38" s="117" t="n">
        <v>370</v>
      </c>
      <c r="AL38" s="117" t="n">
        <v>370</v>
      </c>
      <c r="AM38" s="118" t="n">
        <v>370</v>
      </c>
      <c r="AN38" s="116" t="n">
        <v>370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2500</v>
      </c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/>
      <c r="AB40" s="35" t="n"/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I40" s="116" t="n">
        <v>240</v>
      </c>
      <c r="AJ40" s="117" t="n">
        <v>240</v>
      </c>
      <c r="AK40" s="117" t="n">
        <v>240</v>
      </c>
      <c r="AL40" s="117" t="n">
        <v>240</v>
      </c>
      <c r="AM40" s="118" t="n">
        <v>240</v>
      </c>
      <c r="AN40" s="116" t="n">
        <v>240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/>
      <c r="AB41" s="35" t="n"/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I41" s="116" t="n">
        <v>395</v>
      </c>
      <c r="AJ41" s="117" t="n">
        <v>395</v>
      </c>
      <c r="AK41" s="117" t="n">
        <v>395</v>
      </c>
      <c r="AL41" s="117" t="n">
        <v>395</v>
      </c>
      <c r="AM41" s="118" t="n">
        <v>395</v>
      </c>
      <c r="AN41" s="116" t="n">
        <v>395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6465.360000000001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5447.849999999999</v>
      </c>
      <c r="I47" s="41" t="n">
        <v>5311.48</v>
      </c>
      <c r="J47" s="41" t="n">
        <v>6571.339999999998</v>
      </c>
      <c r="K47" s="41" t="n">
        <v>5300.97</v>
      </c>
      <c r="L47" s="41" t="n">
        <v>5073.289999999999</v>
      </c>
      <c r="M47" s="41" t="n">
        <v>5209.6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31831.28000000001</v>
      </c>
      <c r="G48" s="22" t="n">
        <v>29807.02</v>
      </c>
      <c r="H48" s="22" t="n">
        <v>30193.16</v>
      </c>
      <c r="I48" s="22" t="n">
        <v>27984.07</v>
      </c>
      <c r="J48" s="22" t="n">
        <v>34577.26999999999</v>
      </c>
      <c r="K48" s="22" t="n">
        <v>35013.71000000001</v>
      </c>
      <c r="L48" s="22" t="n">
        <v>32589.16</v>
      </c>
      <c r="M48" s="22" t="n">
        <v>34171.99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4702.150000000005</v>
      </c>
      <c r="C50" s="54" t="n">
        <v>9830.25</v>
      </c>
      <c r="D50" s="54" t="n">
        <v>14660.06</v>
      </c>
      <c r="E50" s="54" t="n">
        <v>9405.139999999992</v>
      </c>
      <c r="F50" s="54" t="n">
        <v>3363.499999999993</v>
      </c>
      <c r="G50" s="54" t="n">
        <v>25736.44999999999</v>
      </c>
      <c r="H50" s="54" t="n">
        <v>36114.42</v>
      </c>
      <c r="I50" s="54" t="n">
        <v>14083.1</v>
      </c>
      <c r="J50" s="54" t="n">
        <v>4832.140000000014</v>
      </c>
      <c r="K50" s="54" t="n">
        <v>14782.98</v>
      </c>
      <c r="L50" s="54" t="n">
        <v>13216.52</v>
      </c>
      <c r="M50" s="54" t="n">
        <v>25856.18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4491.070000000005</v>
      </c>
      <c r="C70" s="54" t="n">
        <v>9619.17</v>
      </c>
      <c r="D70" s="54" t="n">
        <v>14388.98</v>
      </c>
      <c r="E70" s="54" t="n">
        <v>7780.539999999992</v>
      </c>
      <c r="F70" s="54" t="n">
        <v>2982.449999999993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4547.910000000014</v>
      </c>
      <c r="K70" s="54" t="n">
        <v>14005.52</v>
      </c>
      <c r="L70" s="54" t="n">
        <v>12832.86</v>
      </c>
      <c r="M70" s="54" t="n">
        <v>24719.25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N71" s="59" t="n"/>
      <c r="AA71" s="59" t="n"/>
      <c r="AB71" s="55" t="n"/>
    </row>
    <row r="72">
      <c r="A72" s="21" t="n"/>
      <c r="AA72" s="59" t="n"/>
      <c r="AB72" s="55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B73" s="59" t="n"/>
      <c r="AI73" s="132" t="n">
        <v>0</v>
      </c>
      <c r="AJ73" s="132" t="n">
        <v>0</v>
      </c>
      <c r="AK73" s="132" t="n">
        <v>0</v>
      </c>
      <c r="AL73" s="132" t="n">
        <v>0</v>
      </c>
      <c r="AM73" s="132" t="n">
        <v>0</v>
      </c>
      <c r="AN73" s="132" t="n">
        <v>0</v>
      </c>
      <c r="AO73" s="133">
        <f>SUM(AC73:AH73)+SUM(AI73:AN73)</f>
        <v/>
      </c>
      <c r="AP73" s="12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B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B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/>
      <c r="AB78" s="55" t="n"/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/>
      <c r="AB79" s="55" t="n"/>
      <c r="AC79" s="55" t="n"/>
      <c r="AD79" s="55" t="n"/>
      <c r="AE79" s="55" t="n"/>
      <c r="AF79" s="55" t="n"/>
      <c r="AG79" s="55" t="n"/>
      <c r="AH79" s="55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/>
      <c r="AB80" s="55" t="n"/>
      <c r="AC80" s="55" t="n"/>
      <c r="AD80" s="55" t="n"/>
      <c r="AE80" s="55" t="n"/>
      <c r="AF80" s="55" t="n"/>
      <c r="AG80" s="55" t="n"/>
      <c r="AH80" s="55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/>
      <c r="AB81" s="55" t="n"/>
      <c r="AC81" s="55" t="n"/>
      <c r="AD81" s="55" t="n"/>
      <c r="AE81" s="55" t="n"/>
      <c r="AF81" s="55" t="n"/>
      <c r="AG81" s="55" t="n"/>
      <c r="AH81" s="55" t="n"/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/>
      <c r="AB82" s="55" t="n"/>
      <c r="AC82" s="55" t="n"/>
      <c r="AD82" s="55" t="n"/>
      <c r="AE82" s="55" t="n"/>
      <c r="AF82" s="55" t="n"/>
      <c r="AG82" s="55" t="n"/>
      <c r="AH82" s="55" t="n"/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/>
      <c r="AB83" s="55" t="n"/>
      <c r="AC83" s="55" t="n"/>
      <c r="AD83" s="55" t="n"/>
      <c r="AE83" s="55" t="n"/>
      <c r="AF83" s="55" t="n"/>
      <c r="AG83" s="55" t="n"/>
      <c r="AH83" s="55" t="n"/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/>
      <c r="AB84" s="55" t="n"/>
      <c r="AC84" s="55" t="n"/>
      <c r="AD84" s="55" t="n"/>
      <c r="AE84" s="55" t="n"/>
      <c r="AF84" s="55" t="n"/>
      <c r="AG84" s="55" t="n"/>
      <c r="AH84" s="55" t="n"/>
    </row>
    <row r="85">
      <c r="A85" s="59" t="inlineStr">
        <is>
          <t>Memo</t>
        </is>
      </c>
      <c r="AA85" s="59" t="n"/>
      <c r="AB85" s="55" t="n"/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I86" s="132" t="n">
        <v>0</v>
      </c>
      <c r="AJ86" s="132" t="n">
        <v>0</v>
      </c>
      <c r="AK86" s="132" t="n">
        <v>0</v>
      </c>
      <c r="AL86" s="132" t="n">
        <v>0</v>
      </c>
      <c r="AM86" s="132" t="n">
        <v>0</v>
      </c>
      <c r="AN86" s="132" t="n">
        <v>0</v>
      </c>
      <c r="AO86" s="133">
        <f>SUM(AC86:AH86)+SUM(AI86:AN86)</f>
        <v/>
      </c>
      <c r="AP86" s="129">
        <f>IF(AB86&lt;&gt;0,(AO86-AB86)/ABS(AB86),0)</f>
        <v/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/>
      <c r="AC92" s="63" t="n"/>
      <c r="AD92" s="63" t="n"/>
      <c r="AE92" s="63" t="n"/>
      <c r="AF92" s="63" t="n"/>
      <c r="AG92" s="63" t="n"/>
      <c r="AH92" s="63" t="n"/>
      <c r="AI92" s="116" t="n">
        <v>0</v>
      </c>
      <c r="AJ92" s="116" t="n">
        <v>0</v>
      </c>
      <c r="AK92" s="116" t="n">
        <v>0</v>
      </c>
      <c r="AL92" s="116" t="n">
        <v>0</v>
      </c>
      <c r="AM92" s="116" t="n">
        <v>0</v>
      </c>
      <c r="AN92" s="116" t="n">
        <v>0</v>
      </c>
      <c r="AO92" s="134">
        <f>SUM(AC92:AH92)+SUM(AI92:AN92)</f>
        <v/>
      </c>
      <c r="AP92" s="129">
        <f>IF(AB92&lt;&gt;0,(AO92-AB92)/ABS(AB92),0)</f>
        <v/>
      </c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/>
      <c r="AI93" s="132" t="n">
        <v>0</v>
      </c>
      <c r="AJ93" s="132" t="n">
        <v>0</v>
      </c>
      <c r="AK93" s="132" t="n">
        <v>0</v>
      </c>
      <c r="AL93" s="132" t="n">
        <v>0</v>
      </c>
      <c r="AM93" s="132" t="n">
        <v>0</v>
      </c>
      <c r="AN93" s="132" t="n">
        <v>0</v>
      </c>
      <c r="AO93" s="133">
        <f>SUM(AC93:AH93)+SUM(AI93:AN93)</f>
        <v/>
      </c>
      <c r="AP93" s="129">
        <f>IF(AB93&lt;&gt;0,(AO93-AB93)/ABS(AB93),0)</f>
        <v/>
      </c>
    </row>
    <row r="94"/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I95" s="132" t="n">
        <v>0</v>
      </c>
      <c r="AJ95" s="132" t="n">
        <v>0</v>
      </c>
      <c r="AK95" s="132" t="n">
        <v>0</v>
      </c>
      <c r="AL95" s="132" t="n">
        <v>0</v>
      </c>
      <c r="AM95" s="132" t="n">
        <v>0</v>
      </c>
      <c r="AN95" s="132" t="n">
        <v>0</v>
      </c>
      <c r="AO95" s="133">
        <f>SUM(AC95:AH95)+SUM(AI95:AN95)</f>
        <v/>
      </c>
      <c r="AP95" s="129">
        <f>IF(AB95&lt;&gt;0,(AO95-AB95)/ABS(AB95),0)</f>
        <v/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/>
      <c r="AB8" s="35" t="n"/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I8" s="116" t="n">
        <v>47158.84</v>
      </c>
      <c r="AJ8" s="117" t="n">
        <v>47158.84</v>
      </c>
      <c r="AK8" s="117" t="n">
        <v>47158.84</v>
      </c>
      <c r="AL8" s="117" t="n">
        <v>47158.84</v>
      </c>
      <c r="AM8" s="118" t="n">
        <v>47158.84</v>
      </c>
      <c r="AN8" s="116" t="n">
        <v>47158.84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78535.48000000001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/>
      <c r="AB16" s="35" t="n"/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I16" s="116" t="n">
        <v>25386.13</v>
      </c>
      <c r="AJ16" s="117" t="n">
        <v>25386.13</v>
      </c>
      <c r="AK16" s="117" t="n">
        <v>25386.13</v>
      </c>
      <c r="AL16" s="117" t="n">
        <v>25386.13</v>
      </c>
      <c r="AM16" s="118" t="n">
        <v>25386.13</v>
      </c>
      <c r="AN16" s="116" t="n">
        <v>25386.13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/>
      <c r="AB17" s="35" t="n"/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I17" s="116" t="n">
        <v>2708.66</v>
      </c>
      <c r="AJ17" s="117" t="n">
        <v>2708.66</v>
      </c>
      <c r="AK17" s="117" t="n">
        <v>2708.66</v>
      </c>
      <c r="AL17" s="117" t="n">
        <v>2708.66</v>
      </c>
      <c r="AM17" s="118" t="n">
        <v>2708.66</v>
      </c>
      <c r="AN17" s="116" t="n">
        <v>2708.66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/>
      <c r="AB18" s="35" t="n"/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I18" s="116" t="n">
        <v>513.88</v>
      </c>
      <c r="AJ18" s="117" t="n">
        <v>513.88</v>
      </c>
      <c r="AK18" s="117" t="n">
        <v>513.88</v>
      </c>
      <c r="AL18" s="117" t="n">
        <v>513.88</v>
      </c>
      <c r="AM18" s="118" t="n">
        <v>513.88</v>
      </c>
      <c r="AN18" s="116" t="n">
        <v>513.88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/>
      <c r="AB20" s="35" t="n"/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/>
      <c r="AB21" s="35" t="n"/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I21" s="116" t="n">
        <v>132.69</v>
      </c>
      <c r="AJ21" s="117" t="n">
        <v>132.69</v>
      </c>
      <c r="AK21" s="117" t="n">
        <v>132.69</v>
      </c>
      <c r="AL21" s="117" t="n">
        <v>132.69</v>
      </c>
      <c r="AM21" s="118" t="n">
        <v>132.69</v>
      </c>
      <c r="AN21" s="116" t="n">
        <v>132.69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37369.00000000001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/>
      <c r="AB28" s="35" t="n"/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I28" s="116" t="n">
        <v>53</v>
      </c>
      <c r="AJ28" s="117" t="n">
        <v>53</v>
      </c>
      <c r="AK28" s="117" t="n">
        <v>53</v>
      </c>
      <c r="AL28" s="117" t="n">
        <v>53</v>
      </c>
      <c r="AM28" s="118" t="n">
        <v>53</v>
      </c>
      <c r="AN28" s="116" t="n">
        <v>53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/>
      <c r="AB30" s="35" t="n"/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I30" s="116" t="n">
        <v>98</v>
      </c>
      <c r="AJ30" s="117" t="n">
        <v>98</v>
      </c>
      <c r="AK30" s="117" t="n">
        <v>98</v>
      </c>
      <c r="AL30" s="117" t="n">
        <v>98</v>
      </c>
      <c r="AM30" s="118" t="n">
        <v>98</v>
      </c>
      <c r="AN30" s="116" t="n">
        <v>98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/>
      <c r="AB31" s="35" t="n"/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I31" s="116" t="n">
        <v>53</v>
      </c>
      <c r="AJ31" s="117" t="n">
        <v>53</v>
      </c>
      <c r="AK31" s="117" t="n">
        <v>53</v>
      </c>
      <c r="AL31" s="117" t="n">
        <v>53</v>
      </c>
      <c r="AM31" s="118" t="n">
        <v>53</v>
      </c>
      <c r="AN31" s="116" t="n">
        <v>53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3448.529999999999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/>
      <c r="AB37" s="35" t="n"/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I37" s="116" t="n">
        <v>3082.92</v>
      </c>
      <c r="AJ37" s="117" t="n">
        <v>3082.92</v>
      </c>
      <c r="AK37" s="117" t="n">
        <v>3082.92</v>
      </c>
      <c r="AL37" s="117" t="n">
        <v>3082.92</v>
      </c>
      <c r="AM37" s="118" t="n">
        <v>3082.92</v>
      </c>
      <c r="AN37" s="116" t="n">
        <v>3082.92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/>
      <c r="AB38" s="35" t="n"/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I38" s="116" t="n">
        <v>300</v>
      </c>
      <c r="AJ38" s="117" t="n">
        <v>300</v>
      </c>
      <c r="AK38" s="117" t="n">
        <v>300</v>
      </c>
      <c r="AL38" s="117" t="n">
        <v>300</v>
      </c>
      <c r="AM38" s="118" t="n">
        <v>300</v>
      </c>
      <c r="AN38" s="116" t="n">
        <v>300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/>
      <c r="AB40" s="35" t="n"/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I40" s="116" t="n">
        <v>1107</v>
      </c>
      <c r="AJ40" s="117" t="n">
        <v>1107</v>
      </c>
      <c r="AK40" s="117" t="n">
        <v>1107</v>
      </c>
      <c r="AL40" s="117" t="n">
        <v>1107</v>
      </c>
      <c r="AM40" s="118" t="n">
        <v>1107</v>
      </c>
      <c r="AN40" s="116" t="n">
        <v>1107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/>
      <c r="AB41" s="35" t="n"/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I41" s="116" t="n">
        <v>423</v>
      </c>
      <c r="AJ41" s="117" t="n">
        <v>423</v>
      </c>
      <c r="AK41" s="117" t="n">
        <v>423</v>
      </c>
      <c r="AL41" s="117" t="n">
        <v>423</v>
      </c>
      <c r="AM41" s="118" t="n">
        <v>423</v>
      </c>
      <c r="AN41" s="116" t="n">
        <v>423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50256.50999999999</v>
      </c>
      <c r="I48" s="22" t="n">
        <v>47419.56</v>
      </c>
      <c r="J48" s="22" t="n">
        <v>47312.21</v>
      </c>
      <c r="K48" s="22" t="n">
        <v>41509.03999999999</v>
      </c>
      <c r="L48" s="22" t="n">
        <v>41165.17</v>
      </c>
      <c r="M48" s="22" t="n">
        <v>43747.36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6130.860000000001</v>
      </c>
      <c r="J50" s="54" t="n">
        <v>3674.260000000002</v>
      </c>
      <c r="K50" s="54" t="n">
        <v>8665.200000000004</v>
      </c>
      <c r="L50" s="54" t="n">
        <v>24390.98</v>
      </c>
      <c r="M50" s="54" t="n">
        <v>34788.12000000001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/>
      <c r="AB60" s="35" t="n"/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16" t="n">
        <v>5</v>
      </c>
      <c r="AJ60" s="117" t="n">
        <v>5</v>
      </c>
      <c r="AK60" s="117" t="n">
        <v>5</v>
      </c>
      <c r="AL60" s="117" t="n">
        <v>5</v>
      </c>
      <c r="AM60" s="118" t="n">
        <v>5</v>
      </c>
      <c r="AN60" s="116" t="n">
        <v>5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/>
      <c r="AB62" s="35" t="n"/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I62" s="116" t="n">
        <v>100</v>
      </c>
      <c r="AJ62" s="117" t="n">
        <v>100</v>
      </c>
      <c r="AK62" s="117" t="n">
        <v>100</v>
      </c>
      <c r="AL62" s="117" t="n">
        <v>100</v>
      </c>
      <c r="AM62" s="118" t="n">
        <v>100</v>
      </c>
      <c r="AN62" s="116" t="n">
        <v>100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46817.39000000001</v>
      </c>
      <c r="I70" s="54" t="n">
        <v>5746.48</v>
      </c>
      <c r="J70" s="54" t="n">
        <v>3400.480000000002</v>
      </c>
      <c r="K70" s="54" t="n">
        <v>8365.140000000005</v>
      </c>
      <c r="L70" s="54" t="n">
        <v>24122.25999999999</v>
      </c>
      <c r="M70" s="54" t="n">
        <v>34355.94000000001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I76" s="132" t="n">
        <v>0</v>
      </c>
      <c r="AJ76" s="132" t="n">
        <v>0</v>
      </c>
      <c r="AK76" s="132" t="n">
        <v>0</v>
      </c>
      <c r="AL76" s="132" t="n">
        <v>0</v>
      </c>
      <c r="AM76" s="132" t="n">
        <v>0</v>
      </c>
      <c r="AN76" s="132" t="n">
        <v>0</v>
      </c>
      <c r="AO76" s="133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I77" s="132" t="n">
        <v>0</v>
      </c>
      <c r="AJ77" s="132" t="n">
        <v>0</v>
      </c>
      <c r="AK77" s="132" t="n">
        <v>0</v>
      </c>
      <c r="AL77" s="132" t="n">
        <v>0</v>
      </c>
      <c r="AM77" s="132" t="n">
        <v>0</v>
      </c>
      <c r="AN77" s="132" t="n">
        <v>0</v>
      </c>
      <c r="AO77" s="133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I78" s="132" t="n">
        <v>0</v>
      </c>
      <c r="AJ78" s="132" t="n">
        <v>0</v>
      </c>
      <c r="AK78" s="132" t="n">
        <v>0</v>
      </c>
      <c r="AL78" s="132" t="n">
        <v>0</v>
      </c>
      <c r="AM78" s="132" t="n">
        <v>0</v>
      </c>
      <c r="AN78" s="132" t="n">
        <v>0</v>
      </c>
      <c r="AO78" s="133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36" t="n">
        <v>0</v>
      </c>
      <c r="AK80" s="136" t="n">
        <v>0</v>
      </c>
      <c r="AL80" s="136" t="n">
        <v>0</v>
      </c>
      <c r="AM80" s="136" t="n">
        <v>0</v>
      </c>
      <c r="AN80" s="136" t="n">
        <v>0</v>
      </c>
      <c r="AO80" s="137">
        <f>SUM(AC80:AH80)+SUM(AI80:AN80)</f>
        <v/>
      </c>
      <c r="AP80" s="13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/>
      <c r="AB8" s="35" t="n"/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I8" s="116" t="n">
        <v>27182.25</v>
      </c>
      <c r="AJ8" s="117" t="n">
        <v>27182.25</v>
      </c>
      <c r="AK8" s="117" t="n">
        <v>27182.25</v>
      </c>
      <c r="AL8" s="117" t="n">
        <v>27182.25</v>
      </c>
      <c r="AM8" s="118" t="n">
        <v>27182.25</v>
      </c>
      <c r="AN8" s="116" t="n">
        <v>27182.25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/>
      <c r="AB16" s="35" t="n"/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I16" s="116" t="n">
        <v>9114</v>
      </c>
      <c r="AJ16" s="117" t="n">
        <v>9114</v>
      </c>
      <c r="AK16" s="117" t="n">
        <v>9114</v>
      </c>
      <c r="AL16" s="117" t="n">
        <v>9114</v>
      </c>
      <c r="AM16" s="118" t="n">
        <v>9114</v>
      </c>
      <c r="AN16" s="116" t="n">
        <v>9114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/>
      <c r="AB17" s="35" t="n"/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I17" s="116" t="n">
        <v>871</v>
      </c>
      <c r="AJ17" s="117" t="n">
        <v>871</v>
      </c>
      <c r="AK17" s="117" t="n">
        <v>871</v>
      </c>
      <c r="AL17" s="117" t="n">
        <v>871</v>
      </c>
      <c r="AM17" s="118" t="n">
        <v>871</v>
      </c>
      <c r="AN17" s="116" t="n">
        <v>871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/>
      <c r="AB18" s="35" t="n"/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I18" s="116" t="n">
        <v>143.99</v>
      </c>
      <c r="AJ18" s="117" t="n">
        <v>143.99</v>
      </c>
      <c r="AK18" s="117" t="n">
        <v>143.99</v>
      </c>
      <c r="AL18" s="117" t="n">
        <v>143.99</v>
      </c>
      <c r="AM18" s="118" t="n">
        <v>143.99</v>
      </c>
      <c r="AN18" s="116" t="n">
        <v>143.99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/>
      <c r="AB19" s="35" t="n"/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I19" s="116" t="n">
        <v>20</v>
      </c>
      <c r="AJ19" s="117" t="n">
        <v>20</v>
      </c>
      <c r="AK19" s="117" t="n">
        <v>20</v>
      </c>
      <c r="AL19" s="117" t="n">
        <v>20</v>
      </c>
      <c r="AM19" s="118" t="n">
        <v>20</v>
      </c>
      <c r="AN19" s="116" t="n">
        <v>20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/>
      <c r="AB21" s="35" t="n"/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I21" s="116" t="n">
        <v>40</v>
      </c>
      <c r="AJ21" s="117" t="n">
        <v>40</v>
      </c>
      <c r="AK21" s="117" t="n">
        <v>40</v>
      </c>
      <c r="AL21" s="117" t="n">
        <v>40</v>
      </c>
      <c r="AM21" s="118" t="n">
        <v>40</v>
      </c>
      <c r="AN21" s="116" t="n">
        <v>40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/>
      <c r="AB23" s="35" t="n"/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I23" s="116" t="n">
        <v>17</v>
      </c>
      <c r="AJ23" s="117" t="n">
        <v>17</v>
      </c>
      <c r="AK23" s="117" t="n">
        <v>17</v>
      </c>
      <c r="AL23" s="117" t="n">
        <v>17</v>
      </c>
      <c r="AM23" s="118" t="n">
        <v>17</v>
      </c>
      <c r="AN23" s="116" t="n">
        <v>17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7796.090000000001</v>
      </c>
      <c r="M25" s="41" t="n">
        <v>7730.190000000001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4105.969999999999</v>
      </c>
      <c r="K34" s="41" t="n">
        <v>124.19</v>
      </c>
      <c r="L34" s="41" t="n">
        <v>177.9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>
        <v>0</v>
      </c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/>
      <c r="AB37" s="35" t="n"/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I37" s="116" t="n">
        <v>459</v>
      </c>
      <c r="AJ37" s="117" t="n">
        <v>459</v>
      </c>
      <c r="AK37" s="117" t="n">
        <v>459</v>
      </c>
      <c r="AL37" s="117" t="n">
        <v>459</v>
      </c>
      <c r="AM37" s="118" t="n">
        <v>459</v>
      </c>
      <c r="AN37" s="116" t="n">
        <v>459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/>
      <c r="AB38" s="35" t="n"/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I38" s="116" t="n">
        <v>260</v>
      </c>
      <c r="AJ38" s="117" t="n">
        <v>260</v>
      </c>
      <c r="AK38" s="117" t="n">
        <v>260</v>
      </c>
      <c r="AL38" s="117" t="n">
        <v>260</v>
      </c>
      <c r="AM38" s="118" t="n">
        <v>260</v>
      </c>
      <c r="AN38" s="116" t="n">
        <v>260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/>
      <c r="AB40" s="35" t="n"/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I40" s="116" t="n">
        <v>160</v>
      </c>
      <c r="AJ40" s="117" t="n">
        <v>160</v>
      </c>
      <c r="AK40" s="117" t="n">
        <v>160</v>
      </c>
      <c r="AL40" s="117" t="n">
        <v>160</v>
      </c>
      <c r="AM40" s="118" t="n">
        <v>160</v>
      </c>
      <c r="AN40" s="116" t="n">
        <v>160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/>
      <c r="AB41" s="35" t="n"/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I41" s="116" t="n">
        <v>200</v>
      </c>
      <c r="AJ41" s="117" t="n">
        <v>200</v>
      </c>
      <c r="AK41" s="117" t="n">
        <v>200</v>
      </c>
      <c r="AL41" s="117" t="n">
        <v>200</v>
      </c>
      <c r="AM41" s="118" t="n">
        <v>200</v>
      </c>
      <c r="AN41" s="116" t="n">
        <v>200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/>
      <c r="AB43" s="35" t="n"/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I43" s="116" t="n">
        <v>10</v>
      </c>
      <c r="AJ43" s="117" t="n">
        <v>10</v>
      </c>
      <c r="AK43" s="117" t="n">
        <v>10</v>
      </c>
      <c r="AL43" s="117" t="n">
        <v>10</v>
      </c>
      <c r="AM43" s="118" t="n">
        <v>10</v>
      </c>
      <c r="AN43" s="116" t="n">
        <v>10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9156.029999999999</v>
      </c>
      <c r="H47" s="41" t="n">
        <v>3734.81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9156.029999999999</v>
      </c>
      <c r="H48" s="22" t="n">
        <v>3744.110000000001</v>
      </c>
      <c r="I48" s="22" t="n">
        <v>2372.57</v>
      </c>
      <c r="J48" s="22" t="n">
        <v>12892.24</v>
      </c>
      <c r="K48" s="22" t="n">
        <v>8634.199999999999</v>
      </c>
      <c r="L48" s="22" t="n">
        <v>9350.68</v>
      </c>
      <c r="M48" s="22" t="n">
        <v>8762.5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-9156.029999999999</v>
      </c>
      <c r="H50" s="54" t="n">
        <v>-3744.110000000001</v>
      </c>
      <c r="I50" s="54" t="n">
        <v>-2372.57</v>
      </c>
      <c r="J50" s="54" t="n">
        <v>-11368.6</v>
      </c>
      <c r="K50" s="54" t="n">
        <v>-7640.539999999999</v>
      </c>
      <c r="L50" s="54" t="n">
        <v>-1707.05</v>
      </c>
      <c r="M50" s="54" t="n">
        <v>-607.0100000000002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-9415.829999999998</v>
      </c>
      <c r="H70" s="54" t="n">
        <v>-3958.910000000001</v>
      </c>
      <c r="I70" s="54" t="n">
        <v>-2587.37</v>
      </c>
      <c r="J70" s="54" t="n">
        <v>-11592.2</v>
      </c>
      <c r="K70" s="54" t="n">
        <v>-7924.139999999999</v>
      </c>
      <c r="L70" s="54" t="n">
        <v>-1982.3</v>
      </c>
      <c r="M70" s="54" t="n">
        <v>-1002.13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I76" s="132" t="n">
        <v>0</v>
      </c>
      <c r="AJ76" s="132" t="n">
        <v>0</v>
      </c>
      <c r="AK76" s="132" t="n">
        <v>0</v>
      </c>
      <c r="AL76" s="132" t="n">
        <v>0</v>
      </c>
      <c r="AM76" s="132" t="n">
        <v>0</v>
      </c>
      <c r="AN76" s="132" t="n">
        <v>0</v>
      </c>
      <c r="AO76" s="133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I77" s="132" t="n">
        <v>0</v>
      </c>
      <c r="AJ77" s="132" t="n">
        <v>0</v>
      </c>
      <c r="AK77" s="132" t="n">
        <v>0</v>
      </c>
      <c r="AL77" s="132" t="n">
        <v>0</v>
      </c>
      <c r="AM77" s="132" t="n">
        <v>0</v>
      </c>
      <c r="AN77" s="132" t="n">
        <v>0</v>
      </c>
      <c r="AO77" s="133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I78" s="132" t="n">
        <v>0</v>
      </c>
      <c r="AJ78" s="132" t="n">
        <v>0</v>
      </c>
      <c r="AK78" s="132" t="n">
        <v>0</v>
      </c>
      <c r="AL78" s="132" t="n">
        <v>0</v>
      </c>
      <c r="AM78" s="132" t="n">
        <v>0</v>
      </c>
      <c r="AN78" s="132" t="n">
        <v>0</v>
      </c>
      <c r="AO78" s="133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36" t="n">
        <v>0</v>
      </c>
      <c r="AK80" s="136" t="n">
        <v>0</v>
      </c>
      <c r="AL80" s="136" t="n">
        <v>0</v>
      </c>
      <c r="AM80" s="136" t="n">
        <v>0</v>
      </c>
      <c r="AN80" s="136" t="n">
        <v>0</v>
      </c>
      <c r="AO80" s="137">
        <f>SUM(AC80:AH80)+SUM(AI80:AN80)</f>
        <v/>
      </c>
      <c r="AP80" s="13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/>
      <c r="AB8" s="35" t="n"/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I8" s="116" t="n">
        <v>75234.78999999999</v>
      </c>
      <c r="AJ8" s="117" t="n">
        <v>75234.78999999999</v>
      </c>
      <c r="AK8" s="117" t="n">
        <v>75234.78999999999</v>
      </c>
      <c r="AL8" s="117" t="n">
        <v>75234.78999999999</v>
      </c>
      <c r="AM8" s="118" t="n">
        <v>75234.78999999999</v>
      </c>
      <c r="AN8" s="116" t="n">
        <v>75234.78999999999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/>
      <c r="AB16" s="35" t="n"/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I16" s="116" t="n">
        <v>33483.36</v>
      </c>
      <c r="AJ16" s="117" t="n">
        <v>33483.36</v>
      </c>
      <c r="AK16" s="117" t="n">
        <v>33483.36</v>
      </c>
      <c r="AL16" s="117" t="n">
        <v>33483.36</v>
      </c>
      <c r="AM16" s="118" t="n">
        <v>33483.36</v>
      </c>
      <c r="AN16" s="116" t="n">
        <v>33483.36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/>
      <c r="AB17" s="35" t="n"/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I17" s="116" t="n">
        <v>3939.99</v>
      </c>
      <c r="AJ17" s="117" t="n">
        <v>3939.99</v>
      </c>
      <c r="AK17" s="117" t="n">
        <v>3939.99</v>
      </c>
      <c r="AL17" s="117" t="n">
        <v>3939.99</v>
      </c>
      <c r="AM17" s="118" t="n">
        <v>3939.99</v>
      </c>
      <c r="AN17" s="116" t="n">
        <v>3939.99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/>
      <c r="AB18" s="35" t="n"/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I18" s="116" t="n">
        <v>747.79</v>
      </c>
      <c r="AJ18" s="117" t="n">
        <v>747.79</v>
      </c>
      <c r="AK18" s="117" t="n">
        <v>747.79</v>
      </c>
      <c r="AL18" s="117" t="n">
        <v>747.79</v>
      </c>
      <c r="AM18" s="118" t="n">
        <v>747.79</v>
      </c>
      <c r="AN18" s="116" t="n">
        <v>747.79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/>
      <c r="AB19" s="35" t="n"/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I19" s="116" t="n">
        <v>83</v>
      </c>
      <c r="AJ19" s="117" t="n">
        <v>83</v>
      </c>
      <c r="AK19" s="117" t="n">
        <v>83</v>
      </c>
      <c r="AL19" s="117" t="n">
        <v>83</v>
      </c>
      <c r="AM19" s="118" t="n">
        <v>83</v>
      </c>
      <c r="AN19" s="116" t="n">
        <v>83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/>
      <c r="AB21" s="35" t="n"/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I21" s="116" t="n">
        <v>170</v>
      </c>
      <c r="AJ21" s="117" t="n">
        <v>170</v>
      </c>
      <c r="AK21" s="117" t="n">
        <v>170</v>
      </c>
      <c r="AL21" s="117" t="n">
        <v>170</v>
      </c>
      <c r="AM21" s="118" t="n">
        <v>170</v>
      </c>
      <c r="AN21" s="116" t="n">
        <v>170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/>
      <c r="AB23" s="35" t="n"/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I23" s="116" t="n">
        <v>71</v>
      </c>
      <c r="AJ23" s="117" t="n">
        <v>71</v>
      </c>
      <c r="AK23" s="117" t="n">
        <v>71</v>
      </c>
      <c r="AL23" s="117" t="n">
        <v>71</v>
      </c>
      <c r="AM23" s="118" t="n">
        <v>71</v>
      </c>
      <c r="AN23" s="116" t="n">
        <v>71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30380.50999999999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41626.15000000001</v>
      </c>
      <c r="L25" s="41" t="n">
        <v>40639.57</v>
      </c>
      <c r="M25" s="41" t="n">
        <v>41667.54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/>
      <c r="AB28" s="35" t="n"/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16" t="n">
        <v>100</v>
      </c>
      <c r="AJ28" s="117" t="n">
        <v>100</v>
      </c>
      <c r="AK28" s="117" t="n">
        <v>100</v>
      </c>
      <c r="AL28" s="117" t="n">
        <v>100</v>
      </c>
      <c r="AM28" s="118" t="n">
        <v>100</v>
      </c>
      <c r="AN28" s="116" t="n">
        <v>100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/>
      <c r="AB37" s="35" t="n"/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I37" s="116" t="n">
        <v>2128.03</v>
      </c>
      <c r="AJ37" s="117" t="n">
        <v>2128.03</v>
      </c>
      <c r="AK37" s="117" t="n">
        <v>2128.03</v>
      </c>
      <c r="AL37" s="117" t="n">
        <v>2128.03</v>
      </c>
      <c r="AM37" s="118" t="n">
        <v>2128.03</v>
      </c>
      <c r="AN37" s="116" t="n">
        <v>2128.03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/>
      <c r="AB38" s="35" t="n"/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I38" s="116" t="n">
        <v>1625</v>
      </c>
      <c r="AJ38" s="117" t="n">
        <v>1625</v>
      </c>
      <c r="AK38" s="117" t="n">
        <v>1625</v>
      </c>
      <c r="AL38" s="117" t="n">
        <v>1625</v>
      </c>
      <c r="AM38" s="118" t="n">
        <v>1625</v>
      </c>
      <c r="AN38" s="116" t="n">
        <v>1625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/>
      <c r="AB40" s="35" t="n"/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I40" s="116" t="n">
        <v>221</v>
      </c>
      <c r="AJ40" s="117" t="n">
        <v>221</v>
      </c>
      <c r="AK40" s="117" t="n">
        <v>221</v>
      </c>
      <c r="AL40" s="117" t="n">
        <v>221</v>
      </c>
      <c r="AM40" s="118" t="n">
        <v>221</v>
      </c>
      <c r="AN40" s="116" t="n">
        <v>221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/>
      <c r="AB41" s="35" t="n"/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I41" s="116" t="n">
        <v>389</v>
      </c>
      <c r="AJ41" s="117" t="n">
        <v>389</v>
      </c>
      <c r="AK41" s="117" t="n">
        <v>389</v>
      </c>
      <c r="AL41" s="117" t="n">
        <v>389</v>
      </c>
      <c r="AM41" s="118" t="n">
        <v>389</v>
      </c>
      <c r="AN41" s="116" t="n">
        <v>389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5508.779999999999</v>
      </c>
      <c r="G47" s="41" t="n">
        <v>4280.34</v>
      </c>
      <c r="H47" s="41" t="n">
        <v>3254.25</v>
      </c>
      <c r="I47" s="41" t="n">
        <v>1856.43</v>
      </c>
      <c r="J47" s="41" t="n">
        <v>6950.940000000001</v>
      </c>
      <c r="K47" s="41" t="n">
        <v>4994.45</v>
      </c>
      <c r="L47" s="41" t="n">
        <v>5308.799999999999</v>
      </c>
      <c r="M47" s="41" t="n">
        <v>4477.679999999999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39924.80999999999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21076.90000000001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7164.869999999995</v>
      </c>
      <c r="K50" s="54" t="n">
        <v>3745.629999999997</v>
      </c>
      <c r="L50" s="54" t="n">
        <v>15267.35</v>
      </c>
      <c r="M50" s="54" t="n">
        <v>26674.6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20643.53000000001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6837.109999999995</v>
      </c>
      <c r="K70" s="54" t="n">
        <v>3148.439999999997</v>
      </c>
      <c r="L70" s="54" t="n">
        <v>14708.07</v>
      </c>
      <c r="M70" s="54" t="n">
        <v>26138.48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/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4">
        <f>SUM(AC93:AH93)+SUM(AI93:AN93)</f>
        <v/>
      </c>
      <c r="AP93" s="12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/>
      <c r="AB8" s="35" t="n"/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I8" s="116" t="n">
        <v>43952.64</v>
      </c>
      <c r="AJ8" s="117" t="n">
        <v>43952.64</v>
      </c>
      <c r="AK8" s="117" t="n">
        <v>43952.64</v>
      </c>
      <c r="AL8" s="117" t="n">
        <v>43952.64</v>
      </c>
      <c r="AM8" s="118" t="n">
        <v>43952.64</v>
      </c>
      <c r="AN8" s="116" t="n">
        <v>43952.64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/>
      <c r="AB16" s="35" t="n"/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I16" s="116" t="n">
        <v>16231.3</v>
      </c>
      <c r="AJ16" s="117" t="n">
        <v>16231.3</v>
      </c>
      <c r="AK16" s="117" t="n">
        <v>16231.3</v>
      </c>
      <c r="AL16" s="117" t="n">
        <v>16231.3</v>
      </c>
      <c r="AM16" s="118" t="n">
        <v>16231.3</v>
      </c>
      <c r="AN16" s="116" t="n">
        <v>16231.3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/>
      <c r="AB17" s="35" t="n"/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I17" s="116" t="n">
        <v>1608.31</v>
      </c>
      <c r="AJ17" s="117" t="n">
        <v>1608.31</v>
      </c>
      <c r="AK17" s="117" t="n">
        <v>1608.31</v>
      </c>
      <c r="AL17" s="117" t="n">
        <v>1608.31</v>
      </c>
      <c r="AM17" s="118" t="n">
        <v>1608.31</v>
      </c>
      <c r="AN17" s="116" t="n">
        <v>1608.31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/>
      <c r="AB18" s="35" t="n"/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I18" s="116" t="n">
        <v>303.09</v>
      </c>
      <c r="AJ18" s="117" t="n">
        <v>303.09</v>
      </c>
      <c r="AK18" s="117" t="n">
        <v>303.09</v>
      </c>
      <c r="AL18" s="117" t="n">
        <v>303.09</v>
      </c>
      <c r="AM18" s="118" t="n">
        <v>303.09</v>
      </c>
      <c r="AN18" s="116" t="n">
        <v>303.09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/>
      <c r="AB19" s="35" t="n"/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16" t="n">
        <v>50</v>
      </c>
      <c r="AJ19" s="117" t="n">
        <v>50</v>
      </c>
      <c r="AK19" s="117" t="n">
        <v>50</v>
      </c>
      <c r="AL19" s="117" t="n">
        <v>50</v>
      </c>
      <c r="AM19" s="118" t="n">
        <v>50</v>
      </c>
      <c r="AN19" s="116" t="n">
        <v>50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/>
      <c r="AB30" s="35" t="n"/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I30" s="116" t="n">
        <v>75</v>
      </c>
      <c r="AJ30" s="117" t="n">
        <v>75</v>
      </c>
      <c r="AK30" s="117" t="n">
        <v>75</v>
      </c>
      <c r="AL30" s="117" t="n">
        <v>75</v>
      </c>
      <c r="AM30" s="118" t="n">
        <v>75</v>
      </c>
      <c r="AN30" s="116" t="n">
        <v>75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/>
      <c r="AB37" s="35" t="n"/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I37" s="116" t="n">
        <v>682</v>
      </c>
      <c r="AJ37" s="117" t="n">
        <v>682</v>
      </c>
      <c r="AK37" s="117" t="n">
        <v>682</v>
      </c>
      <c r="AL37" s="117" t="n">
        <v>682</v>
      </c>
      <c r="AM37" s="118" t="n">
        <v>682</v>
      </c>
      <c r="AN37" s="116" t="n">
        <v>682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/>
      <c r="AB38" s="35" t="n"/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I38" s="116" t="n">
        <v>755</v>
      </c>
      <c r="AJ38" s="117" t="n">
        <v>755</v>
      </c>
      <c r="AK38" s="117" t="n">
        <v>755</v>
      </c>
      <c r="AL38" s="117" t="n">
        <v>755</v>
      </c>
      <c r="AM38" s="118" t="n">
        <v>755</v>
      </c>
      <c r="AN38" s="116" t="n">
        <v>755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/>
      <c r="AB40" s="35" t="n"/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I40" s="116" t="n">
        <v>185</v>
      </c>
      <c r="AJ40" s="117" t="n">
        <v>185</v>
      </c>
      <c r="AK40" s="117" t="n">
        <v>185</v>
      </c>
      <c r="AL40" s="117" t="n">
        <v>185</v>
      </c>
      <c r="AM40" s="118" t="n">
        <v>185</v>
      </c>
      <c r="AN40" s="116" t="n">
        <v>185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/>
      <c r="AB41" s="35" t="n"/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I41" s="116" t="n">
        <v>422</v>
      </c>
      <c r="AJ41" s="117" t="n">
        <v>422</v>
      </c>
      <c r="AK41" s="117" t="n">
        <v>422</v>
      </c>
      <c r="AL41" s="117" t="n">
        <v>422</v>
      </c>
      <c r="AM41" s="118" t="n">
        <v>422</v>
      </c>
      <c r="AN41" s="116" t="n">
        <v>422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22226.15000000001</v>
      </c>
      <c r="M48" s="22" t="n">
        <v>20068.34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9445.139999999999</v>
      </c>
      <c r="J50" s="54" t="n">
        <v>3773.810000000001</v>
      </c>
      <c r="K50" s="54" t="n">
        <v>4362.52</v>
      </c>
      <c r="L50" s="54" t="n">
        <v>12109.82999999999</v>
      </c>
      <c r="M50" s="54" t="n">
        <v>21031.25999999999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350.5699999999999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9241.359999999999</v>
      </c>
      <c r="J70" s="54" t="n">
        <v>3552.030000000001</v>
      </c>
      <c r="K70" s="54" t="n">
        <v>3852.62</v>
      </c>
      <c r="L70" s="54" t="n">
        <v>11543.65999999999</v>
      </c>
      <c r="M70" s="54" t="n">
        <v>20768.42999999999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4">
        <f>SUM(AC93:AH93)+SUM(AI93:AN93)</f>
        <v/>
      </c>
      <c r="AP93" s="12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/>
      <c r="AB8" s="35" t="n"/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I8" s="116" t="n">
        <v>36606.08</v>
      </c>
      <c r="AJ8" s="117" t="n">
        <v>36606.08</v>
      </c>
      <c r="AK8" s="117" t="n">
        <v>36606.08</v>
      </c>
      <c r="AL8" s="117" t="n">
        <v>36606.08</v>
      </c>
      <c r="AM8" s="118" t="n">
        <v>36606.08</v>
      </c>
      <c r="AN8" s="116" t="n">
        <v>36606.08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/>
      <c r="AB16" s="35" t="n"/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I16" s="116" t="n">
        <v>24326</v>
      </c>
      <c r="AJ16" s="117" t="n">
        <v>24326</v>
      </c>
      <c r="AK16" s="117" t="n">
        <v>24326</v>
      </c>
      <c r="AL16" s="117" t="n">
        <v>24326</v>
      </c>
      <c r="AM16" s="118" t="n">
        <v>24326</v>
      </c>
      <c r="AN16" s="116" t="n">
        <v>24326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/>
      <c r="AB17" s="35" t="n"/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I17" s="116" t="n">
        <v>2730</v>
      </c>
      <c r="AJ17" s="117" t="n">
        <v>2730</v>
      </c>
      <c r="AK17" s="117" t="n">
        <v>2730</v>
      </c>
      <c r="AL17" s="117" t="n">
        <v>2730</v>
      </c>
      <c r="AM17" s="118" t="n">
        <v>2730</v>
      </c>
      <c r="AN17" s="116" t="n">
        <v>2730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/>
      <c r="AB18" s="35" t="n"/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I18" s="116" t="n">
        <v>478.5</v>
      </c>
      <c r="AJ18" s="117" t="n">
        <v>478.5</v>
      </c>
      <c r="AK18" s="117" t="n">
        <v>478.5</v>
      </c>
      <c r="AL18" s="117" t="n">
        <v>478.5</v>
      </c>
      <c r="AM18" s="118" t="n">
        <v>478.5</v>
      </c>
      <c r="AN18" s="116" t="n">
        <v>478.5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/>
      <c r="AB19" s="35" t="n"/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I19" s="116" t="n">
        <v>39</v>
      </c>
      <c r="AJ19" s="117" t="n">
        <v>39</v>
      </c>
      <c r="AK19" s="117" t="n">
        <v>39</v>
      </c>
      <c r="AL19" s="117" t="n">
        <v>39</v>
      </c>
      <c r="AM19" s="118" t="n">
        <v>39</v>
      </c>
      <c r="AN19" s="116" t="n">
        <v>39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/>
      <c r="AB21" s="35" t="n"/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16" t="n">
        <v>80</v>
      </c>
      <c r="AJ21" s="117" t="n">
        <v>80</v>
      </c>
      <c r="AK21" s="117" t="n">
        <v>80</v>
      </c>
      <c r="AL21" s="117" t="n">
        <v>80</v>
      </c>
      <c r="AM21" s="118" t="n">
        <v>80</v>
      </c>
      <c r="AN21" s="116" t="n">
        <v>80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/>
      <c r="AB23" s="35" t="n"/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16" t="n">
        <v>33</v>
      </c>
      <c r="AJ23" s="117" t="n">
        <v>33</v>
      </c>
      <c r="AK23" s="117" t="n">
        <v>33</v>
      </c>
      <c r="AL23" s="117" t="n">
        <v>33</v>
      </c>
      <c r="AM23" s="118" t="n">
        <v>33</v>
      </c>
      <c r="AN23" s="116" t="n">
        <v>33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22962.82999999999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4000</v>
      </c>
      <c r="X39" s="37" t="n">
        <v>3000</v>
      </c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/>
      <c r="AB40" s="35" t="n"/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I40" s="116" t="n">
        <v>200</v>
      </c>
      <c r="AJ40" s="117" t="n">
        <v>200</v>
      </c>
      <c r="AK40" s="117" t="n">
        <v>200</v>
      </c>
      <c r="AL40" s="117" t="n">
        <v>200</v>
      </c>
      <c r="AM40" s="118" t="n">
        <v>200</v>
      </c>
      <c r="AN40" s="116" t="n">
        <v>200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/>
      <c r="AB41" s="35" t="n"/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I41" s="116" t="n">
        <v>426</v>
      </c>
      <c r="AJ41" s="117" t="n">
        <v>426</v>
      </c>
      <c r="AK41" s="117" t="n">
        <v>426</v>
      </c>
      <c r="AL41" s="117" t="n">
        <v>426</v>
      </c>
      <c r="AM41" s="118" t="n">
        <v>426</v>
      </c>
      <c r="AN41" s="116" t="n">
        <v>426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27560.15000000001</v>
      </c>
      <c r="M48" s="22" t="n">
        <v>28824.44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14736.45</v>
      </c>
      <c r="C50" s="54" t="n">
        <v>10496.75999999999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4331.549999999996</v>
      </c>
      <c r="J50" s="54" t="n">
        <v>2517.939999999999</v>
      </c>
      <c r="K50" s="54" t="n">
        <v>2547.390000000007</v>
      </c>
      <c r="L50" s="54" t="n">
        <v>9147.700000000001</v>
      </c>
      <c r="M50" s="54" t="n">
        <v>8650.330000000009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14520.47</v>
      </c>
      <c r="C70" s="54" t="n">
        <v>10292.97999999999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4128.369999999995</v>
      </c>
      <c r="J70" s="54" t="n">
        <v>2294.819999999999</v>
      </c>
      <c r="K70" s="54" t="n">
        <v>2105.060000000007</v>
      </c>
      <c r="L70" s="54" t="n">
        <v>8879.41</v>
      </c>
      <c r="M70" s="54" t="n">
        <v>7885.720000000009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4">
        <f>SUM(AC93:AH93)+SUM(AI93:AN93)</f>
        <v/>
      </c>
      <c r="AP93" s="12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/>
      <c r="AB8" s="35" t="n"/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I8" s="116" t="n">
        <v>91076.72</v>
      </c>
      <c r="AJ8" s="117" t="n">
        <v>91076.72</v>
      </c>
      <c r="AK8" s="117" t="n">
        <v>91076.72</v>
      </c>
      <c r="AL8" s="117" t="n">
        <v>91076.72</v>
      </c>
      <c r="AM8" s="118" t="n">
        <v>91076.72</v>
      </c>
      <c r="AN8" s="116" t="n">
        <v>91076.72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/>
      <c r="AB16" s="35" t="n"/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I16" s="116" t="n">
        <v>38831.14</v>
      </c>
      <c r="AJ16" s="117" t="n">
        <v>38831.14</v>
      </c>
      <c r="AK16" s="117" t="n">
        <v>38831.14</v>
      </c>
      <c r="AL16" s="117" t="n">
        <v>38831.14</v>
      </c>
      <c r="AM16" s="118" t="n">
        <v>38831.14</v>
      </c>
      <c r="AN16" s="116" t="n">
        <v>38831.14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/>
      <c r="AB17" s="35" t="n"/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I17" s="116" t="n">
        <v>3476.28</v>
      </c>
      <c r="AJ17" s="117" t="n">
        <v>3476.28</v>
      </c>
      <c r="AK17" s="117" t="n">
        <v>3476.28</v>
      </c>
      <c r="AL17" s="117" t="n">
        <v>3476.28</v>
      </c>
      <c r="AM17" s="118" t="n">
        <v>3476.28</v>
      </c>
      <c r="AN17" s="116" t="n">
        <v>3476.28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/>
      <c r="AB18" s="35" t="n"/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I18" s="116" t="n">
        <v>523.85</v>
      </c>
      <c r="AJ18" s="117" t="n">
        <v>523.85</v>
      </c>
      <c r="AK18" s="117" t="n">
        <v>523.85</v>
      </c>
      <c r="AL18" s="117" t="n">
        <v>523.85</v>
      </c>
      <c r="AM18" s="118" t="n">
        <v>523.85</v>
      </c>
      <c r="AN18" s="116" t="n">
        <v>523.85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/>
      <c r="AB19" s="35" t="n"/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I19" s="116" t="n">
        <v>88</v>
      </c>
      <c r="AJ19" s="117" t="n">
        <v>88</v>
      </c>
      <c r="AK19" s="117" t="n">
        <v>88</v>
      </c>
      <c r="AL19" s="117" t="n">
        <v>88</v>
      </c>
      <c r="AM19" s="118" t="n">
        <v>88</v>
      </c>
      <c r="AN19" s="116" t="n">
        <v>88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/>
      <c r="AB21" s="35" t="n"/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I21" s="116" t="n">
        <v>180</v>
      </c>
      <c r="AJ21" s="117" t="n">
        <v>180</v>
      </c>
      <c r="AK21" s="117" t="n">
        <v>180</v>
      </c>
      <c r="AL21" s="117" t="n">
        <v>180</v>
      </c>
      <c r="AM21" s="118" t="n">
        <v>180</v>
      </c>
      <c r="AN21" s="116" t="n">
        <v>180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/>
      <c r="AB23" s="35" t="n"/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I23" s="116" t="n">
        <v>75</v>
      </c>
      <c r="AJ23" s="117" t="n">
        <v>75</v>
      </c>
      <c r="AK23" s="117" t="n">
        <v>75</v>
      </c>
      <c r="AL23" s="117" t="n">
        <v>75</v>
      </c>
      <c r="AM23" s="118" t="n">
        <v>75</v>
      </c>
      <c r="AN23" s="116" t="n">
        <v>75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35747.46999999999</v>
      </c>
      <c r="D25" s="41" t="n">
        <v>37292.51</v>
      </c>
      <c r="E25" s="41" t="n">
        <v>44556.27</v>
      </c>
      <c r="F25" s="41" t="n">
        <v>44581.99999999999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/>
      <c r="AB30" s="35" t="n"/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I30" s="116" t="n">
        <v>90</v>
      </c>
      <c r="AJ30" s="117" t="n">
        <v>90</v>
      </c>
      <c r="AK30" s="117" t="n">
        <v>90</v>
      </c>
      <c r="AL30" s="117" t="n">
        <v>90</v>
      </c>
      <c r="AM30" s="118" t="n">
        <v>90</v>
      </c>
      <c r="AN30" s="116" t="n">
        <v>90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3326.059999999999</v>
      </c>
      <c r="M34" s="41" t="n">
        <v>2907.57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/>
      <c r="AB37" s="35" t="n"/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I37" s="116" t="n">
        <v>3022</v>
      </c>
      <c r="AJ37" s="117" t="n">
        <v>3022</v>
      </c>
      <c r="AK37" s="117" t="n">
        <v>3022</v>
      </c>
      <c r="AL37" s="117" t="n">
        <v>3022</v>
      </c>
      <c r="AM37" s="118" t="n">
        <v>3022</v>
      </c>
      <c r="AN37" s="116" t="n">
        <v>3022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/>
      <c r="AB38" s="35" t="n"/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I38" s="116" t="n">
        <v>996</v>
      </c>
      <c r="AJ38" s="117" t="n">
        <v>996</v>
      </c>
      <c r="AK38" s="117" t="n">
        <v>996</v>
      </c>
      <c r="AL38" s="117" t="n">
        <v>996</v>
      </c>
      <c r="AM38" s="118" t="n">
        <v>996</v>
      </c>
      <c r="AN38" s="116" t="n">
        <v>996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>
        <v>3500</v>
      </c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/>
      <c r="AB40" s="35" t="n"/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I40" s="116" t="n">
        <v>333</v>
      </c>
      <c r="AJ40" s="117" t="n">
        <v>333</v>
      </c>
      <c r="AK40" s="117" t="n">
        <v>333</v>
      </c>
      <c r="AL40" s="117" t="n">
        <v>333</v>
      </c>
      <c r="AM40" s="118" t="n">
        <v>333</v>
      </c>
      <c r="AN40" s="116" t="n">
        <v>333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/>
      <c r="AB41" s="35" t="n"/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I41" s="116" t="n">
        <v>474</v>
      </c>
      <c r="AJ41" s="117" t="n">
        <v>474</v>
      </c>
      <c r="AK41" s="117" t="n">
        <v>474</v>
      </c>
      <c r="AL41" s="117" t="n">
        <v>474</v>
      </c>
      <c r="AM41" s="118" t="n">
        <v>474</v>
      </c>
      <c r="AN41" s="116" t="n">
        <v>474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9113.110000000001</v>
      </c>
      <c r="E47" s="41" t="n">
        <v>5437.920000000001</v>
      </c>
      <c r="F47" s="41" t="n">
        <v>5060.87</v>
      </c>
      <c r="G47" s="41" t="n">
        <v>6472.48</v>
      </c>
      <c r="H47" s="41" t="n">
        <v>4956.949999999999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5448.130000000001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44251.96</v>
      </c>
      <c r="C48" s="22" t="n">
        <v>43491.67999999999</v>
      </c>
      <c r="D48" s="22" t="n">
        <v>49736.96000000001</v>
      </c>
      <c r="E48" s="22" t="n">
        <v>53145.19</v>
      </c>
      <c r="F48" s="22" t="n">
        <v>53370.99999999999</v>
      </c>
      <c r="G48" s="22" t="n">
        <v>46761.42</v>
      </c>
      <c r="H48" s="22" t="n">
        <v>51645.13</v>
      </c>
      <c r="I48" s="22" t="n">
        <v>52213.53999999999</v>
      </c>
      <c r="J48" s="22" t="n">
        <v>53240.59</v>
      </c>
      <c r="K48" s="22" t="n">
        <v>56700.37</v>
      </c>
      <c r="L48" s="22" t="n">
        <v>45739.92</v>
      </c>
      <c r="M48" s="22" t="n">
        <v>45927.28999999999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54802.88000000001</v>
      </c>
      <c r="C50" s="54" t="n">
        <v>46070.28000000001</v>
      </c>
      <c r="D50" s="54" t="n">
        <v>51681.73</v>
      </c>
      <c r="E50" s="54" t="n">
        <v>52382.08</v>
      </c>
      <c r="F50" s="54" t="n">
        <v>45925.59000000001</v>
      </c>
      <c r="G50" s="54" t="n">
        <v>49640.09000000001</v>
      </c>
      <c r="H50" s="54" t="n">
        <v>96983.07999999999</v>
      </c>
      <c r="I50" s="54" t="n">
        <v>34467.90000000001</v>
      </c>
      <c r="J50" s="54" t="n">
        <v>39061.13999999999</v>
      </c>
      <c r="K50" s="54" t="n">
        <v>32091.63</v>
      </c>
      <c r="L50" s="54" t="n">
        <v>63582.40999999999</v>
      </c>
      <c r="M50" s="54" t="n">
        <v>83169.40999999999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692.6900000000001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54453.13000000001</v>
      </c>
      <c r="C70" s="54" t="n">
        <v>45737.32000000001</v>
      </c>
      <c r="D70" s="54" t="n">
        <v>51270.46</v>
      </c>
      <c r="E70" s="54" t="n">
        <v>52041.93</v>
      </c>
      <c r="F70" s="54" t="n">
        <v>45232.90000000001</v>
      </c>
      <c r="G70" s="54" t="n">
        <v>49194.22000000001</v>
      </c>
      <c r="H70" s="54" t="n">
        <v>96540.91999999998</v>
      </c>
      <c r="I70" s="54" t="n">
        <v>33958.59000000001</v>
      </c>
      <c r="J70" s="54" t="n">
        <v>38675.89999999999</v>
      </c>
      <c r="K70" s="54" t="n">
        <v>31481.03</v>
      </c>
      <c r="L70" s="54" t="n">
        <v>62841.03999999999</v>
      </c>
      <c r="M70" s="54" t="n">
        <v>82058.80999999998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A71" s="59" t="n"/>
      <c r="AB71" s="55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I76" s="132" t="n">
        <v>0</v>
      </c>
      <c r="AJ76" s="132" t="n">
        <v>0</v>
      </c>
      <c r="AK76" s="132" t="n">
        <v>0</v>
      </c>
      <c r="AL76" s="132" t="n">
        <v>0</v>
      </c>
      <c r="AM76" s="132" t="n">
        <v>0</v>
      </c>
      <c r="AN76" s="132" t="n">
        <v>0</v>
      </c>
      <c r="AO76" s="133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I77" s="132" t="n">
        <v>0</v>
      </c>
      <c r="AJ77" s="132" t="n">
        <v>0</v>
      </c>
      <c r="AK77" s="132" t="n">
        <v>0</v>
      </c>
      <c r="AL77" s="132" t="n">
        <v>0</v>
      </c>
      <c r="AM77" s="132" t="n">
        <v>0</v>
      </c>
      <c r="AN77" s="132" t="n">
        <v>0</v>
      </c>
      <c r="AO77" s="133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I78" s="132" t="n">
        <v>0</v>
      </c>
      <c r="AJ78" s="132" t="n">
        <v>0</v>
      </c>
      <c r="AK78" s="132" t="n">
        <v>0</v>
      </c>
      <c r="AL78" s="132" t="n">
        <v>0</v>
      </c>
      <c r="AM78" s="132" t="n">
        <v>0</v>
      </c>
      <c r="AN78" s="132" t="n">
        <v>0</v>
      </c>
      <c r="AO78" s="133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36" t="n">
        <v>0</v>
      </c>
      <c r="AK80" s="136" t="n">
        <v>0</v>
      </c>
      <c r="AL80" s="136" t="n">
        <v>0</v>
      </c>
      <c r="AM80" s="136" t="n">
        <v>0</v>
      </c>
      <c r="AN80" s="136" t="n">
        <v>0</v>
      </c>
      <c r="AO80" s="137">
        <f>SUM(AC80:AH80)+SUM(AI80:AN80)</f>
        <v/>
      </c>
      <c r="AP80" s="13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/>
      <c r="AB8" s="35" t="n"/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I8" s="116" t="n">
        <v>38834.29</v>
      </c>
      <c r="AJ8" s="117" t="n">
        <v>38834.29</v>
      </c>
      <c r="AK8" s="117" t="n">
        <v>38834.29</v>
      </c>
      <c r="AL8" s="117" t="n">
        <v>38834.29</v>
      </c>
      <c r="AM8" s="118" t="n">
        <v>38834.29</v>
      </c>
      <c r="AN8" s="116" t="n">
        <v>38834.29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/>
      <c r="AB16" s="35" t="n"/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I16" s="116" t="n">
        <v>20507.25</v>
      </c>
      <c r="AJ16" s="117" t="n">
        <v>20507.25</v>
      </c>
      <c r="AK16" s="117" t="n">
        <v>20507.25</v>
      </c>
      <c r="AL16" s="117" t="n">
        <v>20507.25</v>
      </c>
      <c r="AM16" s="118" t="n">
        <v>20507.25</v>
      </c>
      <c r="AN16" s="116" t="n">
        <v>20507.25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/>
      <c r="AB17" s="35" t="n"/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I17" s="116" t="n">
        <v>2095.05</v>
      </c>
      <c r="AJ17" s="117" t="n">
        <v>2095.05</v>
      </c>
      <c r="AK17" s="117" t="n">
        <v>2095.05</v>
      </c>
      <c r="AL17" s="117" t="n">
        <v>2095.05</v>
      </c>
      <c r="AM17" s="118" t="n">
        <v>2095.05</v>
      </c>
      <c r="AN17" s="116" t="n">
        <v>2095.05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/>
      <c r="AB18" s="35" t="n"/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I18" s="116" t="n">
        <v>345.35</v>
      </c>
      <c r="AJ18" s="117" t="n">
        <v>345.35</v>
      </c>
      <c r="AK18" s="117" t="n">
        <v>345.35</v>
      </c>
      <c r="AL18" s="117" t="n">
        <v>345.35</v>
      </c>
      <c r="AM18" s="118" t="n">
        <v>345.35</v>
      </c>
      <c r="AN18" s="116" t="n">
        <v>345.35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/>
      <c r="AB19" s="35" t="n"/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16" t="n">
        <v>34</v>
      </c>
      <c r="AJ19" s="117" t="n">
        <v>34</v>
      </c>
      <c r="AK19" s="117" t="n">
        <v>34</v>
      </c>
      <c r="AL19" s="117" t="n">
        <v>34</v>
      </c>
      <c r="AM19" s="118" t="n">
        <v>34</v>
      </c>
      <c r="AN19" s="116" t="n">
        <v>34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/>
      <c r="AB21" s="35" t="n"/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16" t="n">
        <v>70</v>
      </c>
      <c r="AJ21" s="117" t="n">
        <v>70</v>
      </c>
      <c r="AK21" s="117" t="n">
        <v>70</v>
      </c>
      <c r="AL21" s="117" t="n">
        <v>70</v>
      </c>
      <c r="AM21" s="118" t="n">
        <v>70</v>
      </c>
      <c r="AN21" s="116" t="n">
        <v>70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/>
      <c r="AB23" s="35" t="n"/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16" t="n">
        <v>29</v>
      </c>
      <c r="AJ23" s="117" t="n">
        <v>29</v>
      </c>
      <c r="AK23" s="117" t="n">
        <v>29</v>
      </c>
      <c r="AL23" s="117" t="n">
        <v>29</v>
      </c>
      <c r="AM23" s="118" t="n">
        <v>29</v>
      </c>
      <c r="AN23" s="116" t="n">
        <v>29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/>
      <c r="AB37" s="35" t="n"/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I37" s="116" t="n">
        <v>1267</v>
      </c>
      <c r="AJ37" s="117" t="n">
        <v>1267</v>
      </c>
      <c r="AK37" s="117" t="n">
        <v>1267</v>
      </c>
      <c r="AL37" s="117" t="n">
        <v>1267</v>
      </c>
      <c r="AM37" s="118" t="n">
        <v>1267</v>
      </c>
      <c r="AN37" s="116" t="n">
        <v>1267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/>
      <c r="AB38" s="35" t="n"/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I38" s="116" t="n">
        <v>2300</v>
      </c>
      <c r="AJ38" s="117" t="n">
        <v>2300</v>
      </c>
      <c r="AK38" s="117" t="n">
        <v>2300</v>
      </c>
      <c r="AL38" s="117" t="n">
        <v>2300</v>
      </c>
      <c r="AM38" s="118" t="n">
        <v>2300</v>
      </c>
      <c r="AN38" s="116" t="n">
        <v>2300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2000</v>
      </c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/>
      <c r="AB40" s="35" t="n"/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I40" s="116" t="n">
        <v>165</v>
      </c>
      <c r="AJ40" s="117" t="n">
        <v>165</v>
      </c>
      <c r="AK40" s="117" t="n">
        <v>165</v>
      </c>
      <c r="AL40" s="117" t="n">
        <v>165</v>
      </c>
      <c r="AM40" s="118" t="n">
        <v>165</v>
      </c>
      <c r="AN40" s="116" t="n">
        <v>165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/>
      <c r="AB41" s="35" t="n"/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I41" s="116" t="n">
        <v>370</v>
      </c>
      <c r="AJ41" s="117" t="n">
        <v>370</v>
      </c>
      <c r="AK41" s="117" t="n">
        <v>370</v>
      </c>
      <c r="AL41" s="117" t="n">
        <v>370</v>
      </c>
      <c r="AM41" s="118" t="n">
        <v>370</v>
      </c>
      <c r="AN41" s="116" t="n">
        <v>370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5016.860000000001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147.9299999999999</v>
      </c>
      <c r="K47" s="41" t="n">
        <v>4427.900000000001</v>
      </c>
      <c r="L47" s="41" t="n">
        <v>4384.09</v>
      </c>
      <c r="M47" s="41" t="n">
        <v>3489.5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7766.750000000007</v>
      </c>
      <c r="E50" s="54" t="n">
        <v>42.0099999999984</v>
      </c>
      <c r="F50" s="54" t="n">
        <v>-5053.139999999999</v>
      </c>
      <c r="G50" s="54" t="n">
        <v>5661.93</v>
      </c>
      <c r="H50" s="54" t="n">
        <v>13482.26000000001</v>
      </c>
      <c r="I50" s="54" t="n">
        <v>2075.750000000004</v>
      </c>
      <c r="J50" s="54" t="n">
        <v>5444.629999999997</v>
      </c>
      <c r="K50" s="54" t="n">
        <v>1560.769999999997</v>
      </c>
      <c r="L50" s="54" t="n">
        <v>2765.050000000003</v>
      </c>
      <c r="M50" s="54" t="n">
        <v>5973.829999999998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7263.790000000007</v>
      </c>
      <c r="E70" s="54" t="n">
        <v>-162.9700000000016</v>
      </c>
      <c r="F70" s="54" t="n">
        <v>-5365.91</v>
      </c>
      <c r="G70" s="54" t="n">
        <v>5298.070000000001</v>
      </c>
      <c r="H70" s="54" t="n">
        <v>13277.88000000001</v>
      </c>
      <c r="I70" s="54" t="n">
        <v>1871.370000000004</v>
      </c>
      <c r="J70" s="54" t="n">
        <v>5240.259999999997</v>
      </c>
      <c r="K70" s="54" t="n">
        <v>1153.089999999997</v>
      </c>
      <c r="L70" s="54" t="n">
        <v>2170.480000000003</v>
      </c>
      <c r="M70" s="54" t="n">
        <v>5416.609999999998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/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36" t="n">
        <v>0</v>
      </c>
      <c r="AK93" s="136" t="n">
        <v>0</v>
      </c>
      <c r="AL93" s="136" t="n">
        <v>0</v>
      </c>
      <c r="AM93" s="136" t="n">
        <v>0</v>
      </c>
      <c r="AN93" s="136" t="n">
        <v>0</v>
      </c>
      <c r="AO93" s="137">
        <f>SUM(AC93:AH93)+SUM(AI93:AN93)</f>
        <v/>
      </c>
      <c r="AP93" s="138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/>
      <c r="AB8" s="35" t="n"/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I8" s="116" t="n">
        <v>83711.62</v>
      </c>
      <c r="AJ8" s="117" t="n">
        <v>83711.62</v>
      </c>
      <c r="AK8" s="117" t="n">
        <v>83711.62</v>
      </c>
      <c r="AL8" s="117" t="n">
        <v>83711.62</v>
      </c>
      <c r="AM8" s="118" t="n">
        <v>83711.62</v>
      </c>
      <c r="AN8" s="116" t="n">
        <v>83711.62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/>
      <c r="AB16" s="35" t="n"/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I16" s="116" t="n">
        <v>47153.07</v>
      </c>
      <c r="AJ16" s="117" t="n">
        <v>47153.07</v>
      </c>
      <c r="AK16" s="117" t="n">
        <v>47153.07</v>
      </c>
      <c r="AL16" s="117" t="n">
        <v>47153.07</v>
      </c>
      <c r="AM16" s="118" t="n">
        <v>47153.07</v>
      </c>
      <c r="AN16" s="116" t="n">
        <v>47153.07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/>
      <c r="AB17" s="35" t="n"/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I17" s="116" t="n">
        <v>4813.83</v>
      </c>
      <c r="AJ17" s="117" t="n">
        <v>4813.83</v>
      </c>
      <c r="AK17" s="117" t="n">
        <v>4813.83</v>
      </c>
      <c r="AL17" s="117" t="n">
        <v>4813.83</v>
      </c>
      <c r="AM17" s="118" t="n">
        <v>4813.83</v>
      </c>
      <c r="AN17" s="116" t="n">
        <v>4813.83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/>
      <c r="AB18" s="35" t="n"/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I18" s="116" t="n">
        <v>843.4</v>
      </c>
      <c r="AJ18" s="117" t="n">
        <v>843.4</v>
      </c>
      <c r="AK18" s="117" t="n">
        <v>843.4</v>
      </c>
      <c r="AL18" s="117" t="n">
        <v>843.4</v>
      </c>
      <c r="AM18" s="118" t="n">
        <v>843.4</v>
      </c>
      <c r="AN18" s="116" t="n">
        <v>843.4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/>
      <c r="AB19" s="35" t="n"/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16" t="n">
        <v>49</v>
      </c>
      <c r="AJ19" s="117" t="n">
        <v>49</v>
      </c>
      <c r="AK19" s="117" t="n">
        <v>49</v>
      </c>
      <c r="AL19" s="117" t="n">
        <v>49</v>
      </c>
      <c r="AM19" s="118" t="n">
        <v>49</v>
      </c>
      <c r="AN19" s="116" t="n">
        <v>49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/>
      <c r="AB21" s="35" t="n"/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16" t="n">
        <v>100</v>
      </c>
      <c r="AJ21" s="117" t="n">
        <v>100</v>
      </c>
      <c r="AK21" s="117" t="n">
        <v>100</v>
      </c>
      <c r="AL21" s="117" t="n">
        <v>100</v>
      </c>
      <c r="AM21" s="118" t="n">
        <v>100</v>
      </c>
      <c r="AN21" s="116" t="n">
        <v>100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/>
      <c r="AB23" s="35" t="n"/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16" t="n">
        <v>42</v>
      </c>
      <c r="AJ23" s="117" t="n">
        <v>42</v>
      </c>
      <c r="AK23" s="117" t="n">
        <v>42</v>
      </c>
      <c r="AL23" s="117" t="n">
        <v>42</v>
      </c>
      <c r="AM23" s="118" t="n">
        <v>42</v>
      </c>
      <c r="AN23" s="116" t="n">
        <v>42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35515.60000000001</v>
      </c>
      <c r="F25" s="41" t="n">
        <v>37014.82</v>
      </c>
      <c r="G25" s="41" t="n">
        <v>36110.2</v>
      </c>
      <c r="H25" s="41" t="n">
        <v>40331.65</v>
      </c>
      <c r="I25" s="41" t="n">
        <v>40312.61000000001</v>
      </c>
      <c r="J25" s="41" t="n">
        <v>44205.37999999999</v>
      </c>
      <c r="K25" s="41" t="n">
        <v>47217.03999999999</v>
      </c>
      <c r="L25" s="41" t="n">
        <v>41692.43</v>
      </c>
      <c r="M25" s="41" t="n">
        <v>40607.9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3141.140000000001</v>
      </c>
      <c r="D34" s="41" t="n">
        <v>2587.19</v>
      </c>
      <c r="E34" s="41" t="n">
        <v>2671.159999999999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/>
      <c r="AB37" s="35" t="n"/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I37" s="116" t="n">
        <v>873</v>
      </c>
      <c r="AJ37" s="117" t="n">
        <v>873</v>
      </c>
      <c r="AK37" s="117" t="n">
        <v>873</v>
      </c>
      <c r="AL37" s="117" t="n">
        <v>873</v>
      </c>
      <c r="AM37" s="118" t="n">
        <v>873</v>
      </c>
      <c r="AN37" s="116" t="n">
        <v>873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/>
      <c r="AB38" s="35" t="n"/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I38" s="116" t="n">
        <v>950</v>
      </c>
      <c r="AJ38" s="117" t="n">
        <v>950</v>
      </c>
      <c r="AK38" s="117" t="n">
        <v>950</v>
      </c>
      <c r="AL38" s="117" t="n">
        <v>950</v>
      </c>
      <c r="AM38" s="118" t="n">
        <v>950</v>
      </c>
      <c r="AN38" s="116" t="n">
        <v>950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>
        <v>2000</v>
      </c>
      <c r="Y39" s="37" t="n">
        <v>2000</v>
      </c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/>
      <c r="AB40" s="35" t="n"/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I40" s="116" t="n">
        <v>1232</v>
      </c>
      <c r="AJ40" s="117" t="n">
        <v>1232</v>
      </c>
      <c r="AK40" s="117" t="n">
        <v>1232</v>
      </c>
      <c r="AL40" s="117" t="n">
        <v>1232</v>
      </c>
      <c r="AM40" s="118" t="n">
        <v>1232</v>
      </c>
      <c r="AN40" s="116" t="n">
        <v>1232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/>
      <c r="AB41" s="35" t="n"/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I41" s="116" t="n">
        <v>413</v>
      </c>
      <c r="AJ41" s="117" t="n">
        <v>413</v>
      </c>
      <c r="AK41" s="117" t="n">
        <v>413</v>
      </c>
      <c r="AL41" s="117" t="n">
        <v>413</v>
      </c>
      <c r="AM41" s="118" t="n">
        <v>413</v>
      </c>
      <c r="AN41" s="116" t="n">
        <v>413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/>
      <c r="AB43" s="35" t="n"/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I43" s="116" t="n">
        <v>153</v>
      </c>
      <c r="AJ43" s="117" t="n">
        <v>153</v>
      </c>
      <c r="AK43" s="117" t="n">
        <v>153</v>
      </c>
      <c r="AL43" s="117" t="n">
        <v>153</v>
      </c>
      <c r="AM43" s="118" t="n">
        <v>153</v>
      </c>
      <c r="AN43" s="116" t="n">
        <v>153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/>
      <c r="AB45" s="35" t="n"/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1970.299999999999</v>
      </c>
      <c r="C47" s="41" t="n">
        <v>4780.01</v>
      </c>
      <c r="D47" s="41" t="n">
        <v>6169.02</v>
      </c>
      <c r="E47" s="41" t="n">
        <v>9893.169999999998</v>
      </c>
      <c r="F47" s="41" t="n">
        <v>5336.36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48079.93</v>
      </c>
      <c r="F48" s="22" t="n">
        <v>45061.75</v>
      </c>
      <c r="G48" s="22" t="n">
        <v>41887.21</v>
      </c>
      <c r="H48" s="22" t="n">
        <v>46995.76</v>
      </c>
      <c r="I48" s="22" t="n">
        <v>45778.62000000001</v>
      </c>
      <c r="J48" s="22" t="n">
        <v>51054.04999999999</v>
      </c>
      <c r="K48" s="22" t="n">
        <v>54676.12</v>
      </c>
      <c r="L48" s="22" t="n">
        <v>47806.94</v>
      </c>
      <c r="M48" s="22" t="n">
        <v>47768.84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15223.57999999999</v>
      </c>
      <c r="C50" s="54" t="n">
        <v>17713.23</v>
      </c>
      <c r="D50" s="54" t="n">
        <v>32478.08000000002</v>
      </c>
      <c r="E50" s="54" t="n">
        <v>17947.43</v>
      </c>
      <c r="F50" s="54" t="n">
        <v>7137.43</v>
      </c>
      <c r="G50" s="54" t="n">
        <v>23971.56</v>
      </c>
      <c r="H50" s="54" t="n">
        <v>39470.94999999999</v>
      </c>
      <c r="I50" s="54" t="n">
        <v>8677.649999999994</v>
      </c>
      <c r="J50" s="54" t="n">
        <v>11286.18000000001</v>
      </c>
      <c r="K50" s="54" t="n">
        <v>7367.850000000006</v>
      </c>
      <c r="L50" s="54" t="n">
        <v>29751.17999999999</v>
      </c>
      <c r="M50" s="54" t="n">
        <v>55101.27000000001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</v>
      </c>
      <c r="F70" s="54" t="n">
        <v>6925.56</v>
      </c>
      <c r="G70" s="54" t="n">
        <v>23535.28000000001</v>
      </c>
      <c r="H70" s="54" t="n">
        <v>38823.55999999999</v>
      </c>
      <c r="I70" s="54" t="n">
        <v>8415.829999999994</v>
      </c>
      <c r="J70" s="54" t="n">
        <v>10740.90000000001</v>
      </c>
      <c r="K70" s="54" t="n">
        <v>6886.050000000006</v>
      </c>
      <c r="L70" s="54" t="n">
        <v>29431.03999999999</v>
      </c>
      <c r="M70" s="54" t="n">
        <v>53445.12000000001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N71" s="59" t="n"/>
      <c r="AA71" s="59" t="n"/>
      <c r="AB71" s="55" t="n"/>
    </row>
    <row r="72">
      <c r="A72" s="21" t="n"/>
      <c r="AB72" s="55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B73" s="59" t="n"/>
      <c r="AI73" s="132" t="n">
        <v>0</v>
      </c>
      <c r="AJ73" s="132" t="n">
        <v>0</v>
      </c>
      <c r="AK73" s="132" t="n">
        <v>0</v>
      </c>
      <c r="AL73" s="132" t="n">
        <v>0</v>
      </c>
      <c r="AM73" s="132" t="n">
        <v>0</v>
      </c>
      <c r="AN73" s="132" t="n">
        <v>0</v>
      </c>
      <c r="AO73" s="133">
        <f>SUM(AC73:AH73)+SUM(AI73:AN73)</f>
        <v/>
      </c>
      <c r="AP73" s="12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B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B75" s="59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J78" t="inlineStr">
        <is>
          <t>Inflation</t>
        </is>
      </c>
      <c r="AL78" s="60" t="n">
        <v>0.06</v>
      </c>
      <c r="AM78" s="61" t="n"/>
    </row>
    <row r="79"/>
    <row r="80"/>
    <row r="81">
      <c r="A81" s="59" t="inlineStr">
        <is>
          <t>Memo</t>
        </is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I85" s="132" t="n">
        <v>0</v>
      </c>
      <c r="AJ85" s="132" t="n">
        <v>0</v>
      </c>
      <c r="AK85" s="132" t="n">
        <v>0</v>
      </c>
      <c r="AL85" s="132" t="n">
        <v>0</v>
      </c>
      <c r="AM85" s="132" t="n">
        <v>0</v>
      </c>
      <c r="AN85" s="132" t="n">
        <v>0</v>
      </c>
      <c r="AO85" s="133">
        <f>SUM(AC85:AH85)+SUM(AI85:AN85)</f>
        <v/>
      </c>
      <c r="AP85" s="129">
        <f>IF(AB85&lt;&gt;0,(AO85-AB85)/ABS(AB85),0)</f>
        <v/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I86" s="132" t="n">
        <v>0</v>
      </c>
      <c r="AJ86" s="132" t="n">
        <v>0</v>
      </c>
      <c r="AK86" s="132" t="n">
        <v>0</v>
      </c>
      <c r="AL86" s="132" t="n">
        <v>0</v>
      </c>
      <c r="AM86" s="132" t="n">
        <v>0</v>
      </c>
      <c r="AN86" s="132" t="n">
        <v>0</v>
      </c>
      <c r="AO86" s="133">
        <f>SUM(AC86:AH86)+SUM(AI86:AN86)</f>
        <v/>
      </c>
      <c r="AP86" s="129">
        <f>IF(AB86&lt;&gt;0,(AO86-AB86)/ABS(AB86),0)</f>
        <v/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16" t="n">
        <v>0</v>
      </c>
      <c r="AK88" s="116" t="n">
        <v>0</v>
      </c>
      <c r="AL88" s="116" t="n">
        <v>0</v>
      </c>
      <c r="AM88" s="116" t="n">
        <v>0</v>
      </c>
      <c r="AN88" s="116" t="n">
        <v>0</v>
      </c>
      <c r="AO88" s="134">
        <f>SUM(AC88:AH88)+SUM(AI88:AN88)</f>
        <v/>
      </c>
      <c r="AP88" s="12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/>
      <c r="AB8" s="35" t="n"/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I8" s="116" t="n">
        <v>51026.35</v>
      </c>
      <c r="AJ8" s="117" t="n">
        <v>51026.35</v>
      </c>
      <c r="AK8" s="117" t="n">
        <v>51026.35</v>
      </c>
      <c r="AL8" s="117" t="n">
        <v>51026.35</v>
      </c>
      <c r="AM8" s="118" t="n">
        <v>51026.35</v>
      </c>
      <c r="AN8" s="116" t="n">
        <v>51026.35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/>
      <c r="AB16" s="35" t="n"/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I16" s="116" t="n">
        <v>36454.3</v>
      </c>
      <c r="AJ16" s="117" t="n">
        <v>36454.3</v>
      </c>
      <c r="AK16" s="117" t="n">
        <v>36454.3</v>
      </c>
      <c r="AL16" s="117" t="n">
        <v>36454.3</v>
      </c>
      <c r="AM16" s="118" t="n">
        <v>36454.3</v>
      </c>
      <c r="AN16" s="116" t="n">
        <v>36454.3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/>
      <c r="AB17" s="35" t="n"/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I17" s="116" t="n">
        <v>4331.47</v>
      </c>
      <c r="AJ17" s="117" t="n">
        <v>4331.47</v>
      </c>
      <c r="AK17" s="117" t="n">
        <v>4331.47</v>
      </c>
      <c r="AL17" s="117" t="n">
        <v>4331.47</v>
      </c>
      <c r="AM17" s="118" t="n">
        <v>4331.47</v>
      </c>
      <c r="AN17" s="116" t="n">
        <v>4331.47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/>
      <c r="AB18" s="35" t="n"/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I18" s="116" t="n">
        <v>650.65</v>
      </c>
      <c r="AJ18" s="117" t="n">
        <v>650.65</v>
      </c>
      <c r="AK18" s="117" t="n">
        <v>650.65</v>
      </c>
      <c r="AL18" s="117" t="n">
        <v>650.65</v>
      </c>
      <c r="AM18" s="118" t="n">
        <v>650.65</v>
      </c>
      <c r="AN18" s="116" t="n">
        <v>650.65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/>
      <c r="AB19" s="35" t="n"/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I19" s="116" t="n">
        <v>73.35000000000001</v>
      </c>
      <c r="AJ19" s="117" t="n">
        <v>73.35000000000001</v>
      </c>
      <c r="AK19" s="117" t="n">
        <v>73.35000000000001</v>
      </c>
      <c r="AL19" s="117" t="n">
        <v>73.35000000000001</v>
      </c>
      <c r="AM19" s="118" t="n">
        <v>73.35000000000001</v>
      </c>
      <c r="AN19" s="116" t="n">
        <v>73.35000000000001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/>
      <c r="AB21" s="35" t="n"/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16" t="n">
        <v>150</v>
      </c>
      <c r="AJ21" s="117" t="n">
        <v>150</v>
      </c>
      <c r="AK21" s="117" t="n">
        <v>150</v>
      </c>
      <c r="AL21" s="117" t="n">
        <v>150</v>
      </c>
      <c r="AM21" s="118" t="n">
        <v>150</v>
      </c>
      <c r="AN21" s="116" t="n">
        <v>150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/>
      <c r="AB23" s="35" t="n"/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I23" s="116" t="n">
        <v>63</v>
      </c>
      <c r="AJ23" s="117" t="n">
        <v>63</v>
      </c>
      <c r="AK23" s="117" t="n">
        <v>63</v>
      </c>
      <c r="AL23" s="117" t="n">
        <v>63</v>
      </c>
      <c r="AM23" s="118" t="n">
        <v>63</v>
      </c>
      <c r="AN23" s="116" t="n">
        <v>63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26280.16999999999</v>
      </c>
      <c r="K25" s="41" t="n">
        <v>29836.96</v>
      </c>
      <c r="L25" s="41" t="n">
        <v>28754.76000000001</v>
      </c>
      <c r="M25" s="41" t="n">
        <v>32133.9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/>
      <c r="AB30" s="35" t="n"/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16" t="n">
        <v>100</v>
      </c>
      <c r="AJ30" s="117" t="n">
        <v>100</v>
      </c>
      <c r="AK30" s="117" t="n">
        <v>100</v>
      </c>
      <c r="AL30" s="117" t="n">
        <v>100</v>
      </c>
      <c r="AM30" s="118" t="n">
        <v>100</v>
      </c>
      <c r="AN30" s="116" t="n">
        <v>100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/>
      <c r="AB37" s="35" t="n"/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I37" s="116" t="n">
        <v>1503</v>
      </c>
      <c r="AJ37" s="117" t="n">
        <v>1503</v>
      </c>
      <c r="AK37" s="117" t="n">
        <v>1503</v>
      </c>
      <c r="AL37" s="117" t="n">
        <v>1503</v>
      </c>
      <c r="AM37" s="118" t="n">
        <v>1503</v>
      </c>
      <c r="AN37" s="116" t="n">
        <v>1503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/>
      <c r="AB38" s="35" t="n"/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I38" s="116" t="n">
        <v>840</v>
      </c>
      <c r="AJ38" s="117" t="n">
        <v>840</v>
      </c>
      <c r="AK38" s="117" t="n">
        <v>840</v>
      </c>
      <c r="AL38" s="117" t="n">
        <v>840</v>
      </c>
      <c r="AM38" s="118" t="n">
        <v>840</v>
      </c>
      <c r="AN38" s="116" t="n">
        <v>840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/>
      <c r="AB40" s="35" t="n"/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I40" s="116" t="n">
        <v>242</v>
      </c>
      <c r="AJ40" s="117" t="n">
        <v>242</v>
      </c>
      <c r="AK40" s="117" t="n">
        <v>242</v>
      </c>
      <c r="AL40" s="117" t="n">
        <v>242</v>
      </c>
      <c r="AM40" s="118" t="n">
        <v>242</v>
      </c>
      <c r="AN40" s="116" t="n">
        <v>242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/>
      <c r="AB41" s="35" t="n"/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I41" s="116" t="n">
        <v>298</v>
      </c>
      <c r="AJ41" s="117" t="n">
        <v>298</v>
      </c>
      <c r="AK41" s="117" t="n">
        <v>298</v>
      </c>
      <c r="AL41" s="117" t="n">
        <v>298</v>
      </c>
      <c r="AM41" s="118" t="n">
        <v>298</v>
      </c>
      <c r="AN41" s="116" t="n">
        <v>298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4189.690000000001</v>
      </c>
      <c r="D47" s="41" t="n">
        <v>4380.84</v>
      </c>
      <c r="E47" s="41" t="n">
        <v>3961.160000000001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31224.38999999999</v>
      </c>
      <c r="K48" s="22" t="n">
        <v>35307.81</v>
      </c>
      <c r="L48" s="22" t="n">
        <v>34001.71000000001</v>
      </c>
      <c r="M48" s="22" t="n">
        <v>36306.48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8862.019999999997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2010.810000000005</v>
      </c>
      <c r="K50" s="54" t="n">
        <v>-3943.790000000008</v>
      </c>
      <c r="L50" s="54" t="n">
        <v>11333.42999999999</v>
      </c>
      <c r="M50" s="54" t="n">
        <v>17465.84</v>
      </c>
      <c r="N50" s="54" t="n"/>
      <c r="O50" s="54" t="n"/>
      <c r="P50" s="54" t="n"/>
      <c r="Q50" s="54" t="n"/>
      <c r="R50" s="54" t="n"/>
      <c r="S50" s="54" t="n"/>
      <c r="T50" s="54" t="n"/>
      <c r="U50" s="55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8608.859999999997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1807.040000000005</v>
      </c>
      <c r="K70" s="54" t="n">
        <v>-4245.730000000008</v>
      </c>
      <c r="L70" s="54" t="n">
        <v>11104.48999999999</v>
      </c>
      <c r="M70" s="54" t="n">
        <v>16812.09999999999</v>
      </c>
      <c r="N70" s="54" t="n"/>
      <c r="O70" s="54" t="n"/>
      <c r="P70" s="54" t="n"/>
      <c r="Q70" s="54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I76" s="132" t="n">
        <v>0</v>
      </c>
      <c r="AJ76" s="132" t="n">
        <v>0</v>
      </c>
      <c r="AK76" s="132" t="n">
        <v>0</v>
      </c>
      <c r="AL76" s="132" t="n">
        <v>0</v>
      </c>
      <c r="AM76" s="132" t="n">
        <v>0</v>
      </c>
      <c r="AN76" s="132" t="n">
        <v>0</v>
      </c>
      <c r="AO76" s="133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I77" s="132" t="n">
        <v>0</v>
      </c>
      <c r="AJ77" s="132" t="n">
        <v>0</v>
      </c>
      <c r="AK77" s="132" t="n">
        <v>0</v>
      </c>
      <c r="AL77" s="132" t="n">
        <v>0</v>
      </c>
      <c r="AM77" s="132" t="n">
        <v>0</v>
      </c>
      <c r="AN77" s="132" t="n">
        <v>0</v>
      </c>
      <c r="AO77" s="133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I78" s="132" t="n">
        <v>0</v>
      </c>
      <c r="AJ78" s="132" t="n">
        <v>0</v>
      </c>
      <c r="AK78" s="132" t="n">
        <v>0</v>
      </c>
      <c r="AL78" s="132" t="n">
        <v>0</v>
      </c>
      <c r="AM78" s="132" t="n">
        <v>0</v>
      </c>
      <c r="AN78" s="132" t="n">
        <v>0</v>
      </c>
      <c r="AO78" s="133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/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4">
        <f>SUM(AC80:AH80)+SUM(AI80:AN80)</f>
        <v/>
      </c>
      <c r="AP80" s="129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/>
      <c r="AB8" s="35" t="n"/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I8" s="116" t="n">
        <v>39588.43</v>
      </c>
      <c r="AJ8" s="117" t="n">
        <v>39588.43</v>
      </c>
      <c r="AK8" s="117" t="n">
        <v>39588.43</v>
      </c>
      <c r="AL8" s="117" t="n">
        <v>39588.43</v>
      </c>
      <c r="AM8" s="118" t="n">
        <v>39588.43</v>
      </c>
      <c r="AN8" s="116" t="n">
        <v>39588.43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/>
      <c r="AB16" s="35" t="n"/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I16" s="116" t="n">
        <v>23764.36</v>
      </c>
      <c r="AJ16" s="117" t="n">
        <v>23764.36</v>
      </c>
      <c r="AK16" s="117" t="n">
        <v>23764.36</v>
      </c>
      <c r="AL16" s="117" t="n">
        <v>23764.36</v>
      </c>
      <c r="AM16" s="118" t="n">
        <v>23764.36</v>
      </c>
      <c r="AN16" s="116" t="n">
        <v>23764.36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/>
      <c r="AB17" s="35" t="n"/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I17" s="116" t="n">
        <v>2504.85</v>
      </c>
      <c r="AJ17" s="117" t="n">
        <v>2504.85</v>
      </c>
      <c r="AK17" s="117" t="n">
        <v>2504.85</v>
      </c>
      <c r="AL17" s="117" t="n">
        <v>2504.85</v>
      </c>
      <c r="AM17" s="118" t="n">
        <v>2504.85</v>
      </c>
      <c r="AN17" s="116" t="n">
        <v>2504.85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/>
      <c r="AB18" s="35" t="n"/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I18" s="116" t="n">
        <v>417</v>
      </c>
      <c r="AJ18" s="117" t="n">
        <v>417</v>
      </c>
      <c r="AK18" s="117" t="n">
        <v>417</v>
      </c>
      <c r="AL18" s="117" t="n">
        <v>417</v>
      </c>
      <c r="AM18" s="118" t="n">
        <v>417</v>
      </c>
      <c r="AN18" s="116" t="n">
        <v>417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/>
      <c r="AB19" s="35" t="n"/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I19" s="116" t="n">
        <v>60</v>
      </c>
      <c r="AJ19" s="117" t="n">
        <v>60</v>
      </c>
      <c r="AK19" s="117" t="n">
        <v>60</v>
      </c>
      <c r="AL19" s="117" t="n">
        <v>60</v>
      </c>
      <c r="AM19" s="118" t="n">
        <v>60</v>
      </c>
      <c r="AN19" s="116" t="n">
        <v>60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/>
      <c r="AB20" s="35" t="n"/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16" t="n">
        <v>100</v>
      </c>
      <c r="AJ20" s="117" t="n">
        <v>100</v>
      </c>
      <c r="AK20" s="117" t="n">
        <v>100</v>
      </c>
      <c r="AL20" s="117" t="n">
        <v>100</v>
      </c>
      <c r="AM20" s="118" t="n">
        <v>100</v>
      </c>
      <c r="AN20" s="116" t="n">
        <v>100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/>
      <c r="AB21" s="35" t="n"/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16" t="n">
        <v>120</v>
      </c>
      <c r="AJ21" s="117" t="n">
        <v>120</v>
      </c>
      <c r="AK21" s="117" t="n">
        <v>120</v>
      </c>
      <c r="AL21" s="117" t="n">
        <v>120</v>
      </c>
      <c r="AM21" s="118" t="n">
        <v>120</v>
      </c>
      <c r="AN21" s="116" t="n">
        <v>120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/>
      <c r="AB23" s="35" t="n"/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16" t="n">
        <v>50</v>
      </c>
      <c r="AJ23" s="117" t="n">
        <v>50</v>
      </c>
      <c r="AK23" s="117" t="n">
        <v>50</v>
      </c>
      <c r="AL23" s="117" t="n">
        <v>50</v>
      </c>
      <c r="AM23" s="118" t="n">
        <v>50</v>
      </c>
      <c r="AN23" s="116" t="n">
        <v>50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38381.55999999999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/>
      <c r="AB30" s="35" t="n"/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16" t="n">
        <v>50</v>
      </c>
      <c r="AJ30" s="117" t="n">
        <v>50</v>
      </c>
      <c r="AK30" s="117" t="n">
        <v>50</v>
      </c>
      <c r="AL30" s="117" t="n">
        <v>50</v>
      </c>
      <c r="AM30" s="118" t="n">
        <v>50</v>
      </c>
      <c r="AN30" s="116" t="n">
        <v>50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2451.319999999999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/>
      <c r="AB37" s="35" t="n"/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I37" s="116" t="n">
        <v>1500.96</v>
      </c>
      <c r="AJ37" s="117" t="n">
        <v>1500.96</v>
      </c>
      <c r="AK37" s="117" t="n">
        <v>1500.96</v>
      </c>
      <c r="AL37" s="117" t="n">
        <v>1500.96</v>
      </c>
      <c r="AM37" s="118" t="n">
        <v>1500.96</v>
      </c>
      <c r="AN37" s="116" t="n">
        <v>1500.96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/>
      <c r="AB38" s="35" t="n"/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I38" s="116" t="n">
        <v>1038</v>
      </c>
      <c r="AJ38" s="117" t="n">
        <v>1038</v>
      </c>
      <c r="AK38" s="117" t="n">
        <v>1038</v>
      </c>
      <c r="AL38" s="117" t="n">
        <v>1038</v>
      </c>
      <c r="AM38" s="118" t="n">
        <v>1038</v>
      </c>
      <c r="AN38" s="116" t="n">
        <v>1038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/>
      <c r="AB40" s="35" t="n"/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I40" s="116" t="n">
        <v>257</v>
      </c>
      <c r="AJ40" s="117" t="n">
        <v>257</v>
      </c>
      <c r="AK40" s="117" t="n">
        <v>257</v>
      </c>
      <c r="AL40" s="117" t="n">
        <v>257</v>
      </c>
      <c r="AM40" s="118" t="n">
        <v>257</v>
      </c>
      <c r="AN40" s="116" t="n">
        <v>257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/>
      <c r="AB41" s="35" t="n"/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I41" s="116" t="n">
        <v>330</v>
      </c>
      <c r="AJ41" s="117" t="n">
        <v>330</v>
      </c>
      <c r="AK41" s="117" t="n">
        <v>330</v>
      </c>
      <c r="AL41" s="117" t="n">
        <v>330</v>
      </c>
      <c r="AM41" s="118" t="n">
        <v>330</v>
      </c>
      <c r="AN41" s="116" t="n">
        <v>330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3948.200000000001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30964.44</v>
      </c>
      <c r="C50" s="54" t="n">
        <v>29972.41</v>
      </c>
      <c r="D50" s="54" t="n">
        <v>36620.25999999999</v>
      </c>
      <c r="E50" s="54" t="n">
        <v>20818.31000000001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19165.51000000001</v>
      </c>
      <c r="L50" s="54" t="n">
        <v>29540.50999999999</v>
      </c>
      <c r="M50" s="54" t="n">
        <v>36823.30999999999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30756.46</v>
      </c>
      <c r="C70" s="54" t="n">
        <v>29623.23</v>
      </c>
      <c r="D70" s="54" t="n">
        <v>36231.07999999999</v>
      </c>
      <c r="E70" s="54" t="n">
        <v>20319.63000000001</v>
      </c>
      <c r="F70" s="54" t="n">
        <v>29258.16</v>
      </c>
      <c r="G70" s="54" t="n">
        <v>26030.14999999999</v>
      </c>
      <c r="H70" s="54" t="n">
        <v>45442.41</v>
      </c>
      <c r="I70" s="54" t="n">
        <v>22510.72</v>
      </c>
      <c r="J70" s="54" t="n">
        <v>26882.89</v>
      </c>
      <c r="K70" s="54" t="n">
        <v>18862.26000000001</v>
      </c>
      <c r="L70" s="54" t="n">
        <v>29279.70999999999</v>
      </c>
      <c r="M70" s="54" t="n">
        <v>36324.57999999999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/>
      <c r="AB72" s="55" t="n"/>
    </row>
    <row r="73">
      <c r="A73" s="59" t="inlineStr">
        <is>
          <t>Memo</t>
        </is>
      </c>
      <c r="AA73" s="59" t="n"/>
      <c r="AB73" s="55" t="n"/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I74" s="132" t="n">
        <v>0</v>
      </c>
      <c r="AJ74" s="132" t="n">
        <v>0</v>
      </c>
      <c r="AK74" s="132" t="n">
        <v>0</v>
      </c>
      <c r="AL74" s="132" t="n">
        <v>0</v>
      </c>
      <c r="AM74" s="132" t="n">
        <v>0</v>
      </c>
      <c r="AN74" s="132" t="n">
        <v>0</v>
      </c>
      <c r="AO74" s="133">
        <f>SUM(AC74:AH74)+SUM(AI74:AN74)</f>
        <v/>
      </c>
      <c r="AP74" s="129">
        <f>IF(AB74&lt;&gt;0,(AO74-AB74)/ABS(AB74),0)</f>
        <v/>
      </c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I75" s="132" t="n">
        <v>0</v>
      </c>
      <c r="AJ75" s="132" t="n">
        <v>0</v>
      </c>
      <c r="AK75" s="132" t="n">
        <v>0</v>
      </c>
      <c r="AL75" s="132" t="n">
        <v>0</v>
      </c>
      <c r="AM75" s="132" t="n">
        <v>0</v>
      </c>
      <c r="AN75" s="132" t="n">
        <v>0</v>
      </c>
      <c r="AO75" s="133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I76" s="132" t="n">
        <v>0</v>
      </c>
      <c r="AJ76" s="132" t="n">
        <v>0</v>
      </c>
      <c r="AK76" s="132" t="n">
        <v>0</v>
      </c>
      <c r="AL76" s="132" t="n">
        <v>0</v>
      </c>
      <c r="AM76" s="132" t="n">
        <v>0</v>
      </c>
      <c r="AN76" s="132" t="n">
        <v>0</v>
      </c>
      <c r="AO76" s="133">
        <f>SUM(AC76:AH76)+SUM(AI76:AN76)</f>
        <v/>
      </c>
      <c r="AP76" s="12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I77" s="132" t="n">
        <v>0</v>
      </c>
      <c r="AJ77" s="132" t="n">
        <v>0</v>
      </c>
      <c r="AK77" s="132" t="n">
        <v>0</v>
      </c>
      <c r="AL77" s="132" t="n">
        <v>0</v>
      </c>
      <c r="AM77" s="132" t="n">
        <v>0</v>
      </c>
      <c r="AN77" s="132" t="n">
        <v>0</v>
      </c>
      <c r="AO77" s="133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I78" s="132" t="n">
        <v>0</v>
      </c>
      <c r="AJ78" s="132" t="n">
        <v>0</v>
      </c>
      <c r="AK78" s="132" t="n">
        <v>0</v>
      </c>
      <c r="AL78" s="132" t="n">
        <v>0</v>
      </c>
      <c r="AM78" s="132" t="n">
        <v>0</v>
      </c>
      <c r="AN78" s="132" t="n">
        <v>0</v>
      </c>
      <c r="AO78" s="133">
        <f>SUM(AC78:AH78)+SUM(AI78:AN78)</f>
        <v/>
      </c>
      <c r="AP78" s="129">
        <f>IF(AB78&lt;&gt;0,(AO78-AB78)/ABS(AB78),0)</f>
        <v/>
      </c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C80" s="63" t="n"/>
      <c r="AD80" s="63" t="n"/>
      <c r="AE80" s="63" t="n"/>
      <c r="AF80" s="63" t="n"/>
      <c r="AG80" s="63" t="n"/>
      <c r="AH80" s="63" t="n"/>
      <c r="AI80" s="116" t="n">
        <v>0</v>
      </c>
      <c r="AJ80" s="136" t="n">
        <v>0</v>
      </c>
      <c r="AK80" s="136" t="n">
        <v>0</v>
      </c>
      <c r="AL80" s="136" t="n">
        <v>0</v>
      </c>
      <c r="AM80" s="136" t="n">
        <v>0</v>
      </c>
      <c r="AN80" s="136" t="n">
        <v>0</v>
      </c>
      <c r="AO80" s="137">
        <f>SUM(AC80:AH80)+SUM(AI80:AN80)</f>
        <v/>
      </c>
      <c r="AP80" s="13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/>
      <c r="AB8" s="35" t="n"/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I8" s="116" t="n">
        <v>46211.46</v>
      </c>
      <c r="AJ8" s="117" t="n">
        <v>46211.46</v>
      </c>
      <c r="AK8" s="117" t="n">
        <v>46211.46</v>
      </c>
      <c r="AL8" s="117" t="n">
        <v>46211.46</v>
      </c>
      <c r="AM8" s="118" t="n">
        <v>46211.46</v>
      </c>
      <c r="AN8" s="116" t="n">
        <v>46211.46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/>
      <c r="AB16" s="35" t="n"/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I16" s="116" t="n">
        <v>23746</v>
      </c>
      <c r="AJ16" s="117" t="n">
        <v>23746</v>
      </c>
      <c r="AK16" s="117" t="n">
        <v>23746</v>
      </c>
      <c r="AL16" s="117" t="n">
        <v>23746</v>
      </c>
      <c r="AM16" s="118" t="n">
        <v>23746</v>
      </c>
      <c r="AN16" s="116" t="n">
        <v>23746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/>
      <c r="AB17" s="35" t="n"/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I17" s="116" t="n">
        <v>2720</v>
      </c>
      <c r="AJ17" s="117" t="n">
        <v>2720</v>
      </c>
      <c r="AK17" s="117" t="n">
        <v>2720</v>
      </c>
      <c r="AL17" s="117" t="n">
        <v>2720</v>
      </c>
      <c r="AM17" s="118" t="n">
        <v>2720</v>
      </c>
      <c r="AN17" s="116" t="n">
        <v>2720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/>
      <c r="AB18" s="35" t="n"/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I18" s="116" t="n">
        <v>398</v>
      </c>
      <c r="AJ18" s="117" t="n">
        <v>398</v>
      </c>
      <c r="AK18" s="117" t="n">
        <v>398</v>
      </c>
      <c r="AL18" s="117" t="n">
        <v>398</v>
      </c>
      <c r="AM18" s="118" t="n">
        <v>398</v>
      </c>
      <c r="AN18" s="116" t="n">
        <v>398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/>
      <c r="AB19" s="35" t="n"/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I19" s="116" t="n">
        <v>59</v>
      </c>
      <c r="AJ19" s="117" t="n">
        <v>59</v>
      </c>
      <c r="AK19" s="117" t="n">
        <v>59</v>
      </c>
      <c r="AL19" s="117" t="n">
        <v>59</v>
      </c>
      <c r="AM19" s="118" t="n">
        <v>59</v>
      </c>
      <c r="AN19" s="116" t="n">
        <v>59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/>
      <c r="AB21" s="35" t="n"/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16" t="n">
        <v>120</v>
      </c>
      <c r="AJ21" s="117" t="n">
        <v>120</v>
      </c>
      <c r="AK21" s="117" t="n">
        <v>120</v>
      </c>
      <c r="AL21" s="117" t="n">
        <v>120</v>
      </c>
      <c r="AM21" s="118" t="n">
        <v>120</v>
      </c>
      <c r="AN21" s="116" t="n">
        <v>120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/>
      <c r="AB23" s="35" t="n"/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16" t="n">
        <v>50</v>
      </c>
      <c r="AJ23" s="117" t="n">
        <v>50</v>
      </c>
      <c r="AK23" s="117" t="n">
        <v>50</v>
      </c>
      <c r="AL23" s="117" t="n">
        <v>50</v>
      </c>
      <c r="AM23" s="118" t="n">
        <v>50</v>
      </c>
      <c r="AN23" s="116" t="n">
        <v>50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27676.99000000001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/>
      <c r="AB28" s="35" t="n"/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16" t="n">
        <v>50</v>
      </c>
      <c r="AJ28" s="117" t="n">
        <v>50</v>
      </c>
      <c r="AK28" s="117" t="n">
        <v>50</v>
      </c>
      <c r="AL28" s="117" t="n">
        <v>50</v>
      </c>
      <c r="AM28" s="118" t="n">
        <v>50</v>
      </c>
      <c r="AN28" s="116" t="n">
        <v>50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/>
      <c r="AB30" s="35" t="n"/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/>
      <c r="AB33" s="35" t="n"/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952.25</v>
      </c>
      <c r="L34" s="41" t="n">
        <v>992.9399999999999</v>
      </c>
      <c r="M34" s="41" t="n">
        <v>914.14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/>
      <c r="AB37" s="35" t="n"/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I37" s="116" t="n">
        <v>2199.758333333333</v>
      </c>
      <c r="AJ37" s="117" t="n">
        <v>2199.758333333333</v>
      </c>
      <c r="AK37" s="117" t="n">
        <v>2199.758333333333</v>
      </c>
      <c r="AL37" s="117" t="n">
        <v>2199.758333333333</v>
      </c>
      <c r="AM37" s="118" t="n">
        <v>2199.758333333333</v>
      </c>
      <c r="AN37" s="116" t="n">
        <v>2199.758333333333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/>
      <c r="AB38" s="35" t="n"/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I38" s="116" t="n">
        <v>1655</v>
      </c>
      <c r="AJ38" s="117" t="n">
        <v>1655</v>
      </c>
      <c r="AK38" s="117" t="n">
        <v>1655</v>
      </c>
      <c r="AL38" s="117" t="n">
        <v>1655</v>
      </c>
      <c r="AM38" s="118" t="n">
        <v>1655</v>
      </c>
      <c r="AN38" s="116" t="n">
        <v>1655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/>
      <c r="AB40" s="35" t="n"/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I40" s="116" t="n">
        <v>287</v>
      </c>
      <c r="AJ40" s="117" t="n">
        <v>287</v>
      </c>
      <c r="AK40" s="117" t="n">
        <v>287</v>
      </c>
      <c r="AL40" s="117" t="n">
        <v>287</v>
      </c>
      <c r="AM40" s="118" t="n">
        <v>287</v>
      </c>
      <c r="AN40" s="116" t="n">
        <v>287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/>
      <c r="AB41" s="35" t="n"/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I41" s="116" t="n">
        <v>313</v>
      </c>
      <c r="AJ41" s="117" t="n">
        <v>313</v>
      </c>
      <c r="AK41" s="117" t="n">
        <v>313</v>
      </c>
      <c r="AL41" s="117" t="n">
        <v>313</v>
      </c>
      <c r="AM41" s="118" t="n">
        <v>313</v>
      </c>
      <c r="AN41" s="116" t="n">
        <v>313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/>
      <c r="AB45" s="35" t="n"/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16" t="n">
        <v>100</v>
      </c>
      <c r="AJ45" s="117" t="n">
        <v>100</v>
      </c>
      <c r="AK45" s="117" t="n">
        <v>100</v>
      </c>
      <c r="AL45" s="117" t="n">
        <v>100</v>
      </c>
      <c r="AM45" s="118" t="n">
        <v>100</v>
      </c>
      <c r="AN45" s="116" t="n">
        <v>100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6037.919999999999</v>
      </c>
      <c r="E47" s="41" t="n">
        <v>8868.169999999998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30133.06</v>
      </c>
      <c r="C50" s="54" t="n">
        <v>21758.91000000001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6195.919999999995</v>
      </c>
      <c r="K50" s="54" t="n">
        <v>6296.490000000002</v>
      </c>
      <c r="L50" s="54" t="n">
        <v>3415.890000000003</v>
      </c>
      <c r="M50" s="54" t="n">
        <v>10865.79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29880.48</v>
      </c>
      <c r="C70" s="54" t="n">
        <v>20973.27000000001</v>
      </c>
      <c r="D70" s="54" t="n">
        <v>27548.64</v>
      </c>
      <c r="E70" s="54" t="n">
        <v>26914.55</v>
      </c>
      <c r="F70" s="54" t="n">
        <v>20444.26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5992.739999999994</v>
      </c>
      <c r="K70" s="54" t="n">
        <v>5999.500000000002</v>
      </c>
      <c r="L70" s="54" t="n">
        <v>2955.130000000003</v>
      </c>
      <c r="M70" s="54" t="n">
        <v>10649.79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4">
        <f>SUM(AC93:AH93)+SUM(AI93:AN93)</f>
        <v/>
      </c>
      <c r="AP93" s="12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/>
      <c r="O8" s="36" t="n"/>
      <c r="P8" s="36" t="n"/>
      <c r="Q8" s="36" t="n"/>
      <c r="R8" s="36" t="n"/>
      <c r="S8" s="36" t="n"/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/>
      <c r="AB8" s="35" t="n"/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I8" s="116" t="n">
        <v>16601.21</v>
      </c>
      <c r="AJ8" s="117" t="n">
        <v>16601.21</v>
      </c>
      <c r="AK8" s="117" t="n">
        <v>16601.21</v>
      </c>
      <c r="AL8" s="117" t="n">
        <v>16601.21</v>
      </c>
      <c r="AM8" s="118" t="n">
        <v>16601.21</v>
      </c>
      <c r="AN8" s="116" t="n">
        <v>16601.21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/>
      <c r="O9" s="36" t="n"/>
      <c r="P9" s="36" t="n"/>
      <c r="Q9" s="36" t="n"/>
      <c r="R9" s="36" t="n"/>
      <c r="S9" s="36" t="n"/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/>
      <c r="AB16" s="35" t="n"/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I16" s="116" t="n">
        <v>17344.06</v>
      </c>
      <c r="AJ16" s="117" t="n">
        <v>17344.06</v>
      </c>
      <c r="AK16" s="117" t="n">
        <v>17344.06</v>
      </c>
      <c r="AL16" s="117" t="n">
        <v>17344.06</v>
      </c>
      <c r="AM16" s="118" t="n">
        <v>17344.06</v>
      </c>
      <c r="AN16" s="116" t="n">
        <v>17344.06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/>
      <c r="AB17" s="35" t="n"/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I17" s="116" t="n">
        <v>1940.36</v>
      </c>
      <c r="AJ17" s="117" t="n">
        <v>1940.36</v>
      </c>
      <c r="AK17" s="117" t="n">
        <v>1940.36</v>
      </c>
      <c r="AL17" s="117" t="n">
        <v>1940.36</v>
      </c>
      <c r="AM17" s="118" t="n">
        <v>1940.36</v>
      </c>
      <c r="AN17" s="116" t="n">
        <v>1940.36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/>
      <c r="AB18" s="35" t="n"/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I18" s="116" t="n">
        <v>282.56</v>
      </c>
      <c r="AJ18" s="117" t="n">
        <v>282.56</v>
      </c>
      <c r="AK18" s="117" t="n">
        <v>282.56</v>
      </c>
      <c r="AL18" s="117" t="n">
        <v>282.56</v>
      </c>
      <c r="AM18" s="118" t="n">
        <v>282.56</v>
      </c>
      <c r="AN18" s="116" t="n">
        <v>282.56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/>
      <c r="AB19" s="35" t="n"/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16" t="n">
        <v>34</v>
      </c>
      <c r="AJ19" s="117" t="n">
        <v>34</v>
      </c>
      <c r="AK19" s="117" t="n">
        <v>34</v>
      </c>
      <c r="AL19" s="117" t="n">
        <v>34</v>
      </c>
      <c r="AM19" s="118" t="n">
        <v>34</v>
      </c>
      <c r="AN19" s="116" t="n">
        <v>34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/>
      <c r="AB20" s="35" t="n"/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16" t="n">
        <v>50</v>
      </c>
      <c r="AJ20" s="117" t="n">
        <v>50</v>
      </c>
      <c r="AK20" s="117" t="n">
        <v>50</v>
      </c>
      <c r="AL20" s="117" t="n">
        <v>50</v>
      </c>
      <c r="AM20" s="118" t="n">
        <v>50</v>
      </c>
      <c r="AN20" s="116" t="n">
        <v>50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/>
      <c r="AB21" s="35" t="n"/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16" t="n">
        <v>70</v>
      </c>
      <c r="AJ21" s="117" t="n">
        <v>70</v>
      </c>
      <c r="AK21" s="117" t="n">
        <v>70</v>
      </c>
      <c r="AL21" s="117" t="n">
        <v>70</v>
      </c>
      <c r="AM21" s="118" t="n">
        <v>70</v>
      </c>
      <c r="AN21" s="116" t="n">
        <v>70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/>
      <c r="AB22" s="35" t="n"/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/>
      <c r="AB23" s="35" t="n"/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16" t="n">
        <v>29</v>
      </c>
      <c r="AJ23" s="117" t="n">
        <v>29</v>
      </c>
      <c r="AK23" s="117" t="n">
        <v>29</v>
      </c>
      <c r="AL23" s="117" t="n">
        <v>29</v>
      </c>
      <c r="AM23" s="118" t="n">
        <v>29</v>
      </c>
      <c r="AN23" s="116" t="n">
        <v>29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/>
      <c r="AB24" s="35" t="n"/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/>
      <c r="AB28" s="35" t="n"/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16" t="n">
        <v>58</v>
      </c>
      <c r="AJ28" s="117" t="n">
        <v>58</v>
      </c>
      <c r="AK28" s="117" t="n">
        <v>58</v>
      </c>
      <c r="AL28" s="117" t="n">
        <v>58</v>
      </c>
      <c r="AM28" s="118" t="n">
        <v>58</v>
      </c>
      <c r="AN28" s="116" t="n">
        <v>58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/>
      <c r="AB30" s="35" t="n"/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I30" s="116" t="n">
        <v>70</v>
      </c>
      <c r="AJ30" s="117" t="n">
        <v>70</v>
      </c>
      <c r="AK30" s="117" t="n">
        <v>70</v>
      </c>
      <c r="AL30" s="117" t="n">
        <v>70</v>
      </c>
      <c r="AM30" s="118" t="n">
        <v>70</v>
      </c>
      <c r="AN30" s="116" t="n">
        <v>70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/>
      <c r="AB31" s="35" t="n"/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16" t="n">
        <v>50</v>
      </c>
      <c r="AJ31" s="117" t="n">
        <v>50</v>
      </c>
      <c r="AK31" s="117" t="n">
        <v>50</v>
      </c>
      <c r="AL31" s="117" t="n">
        <v>50</v>
      </c>
      <c r="AM31" s="118" t="n">
        <v>50</v>
      </c>
      <c r="AN31" s="116" t="n">
        <v>50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/>
      <c r="AB33" s="35" t="n"/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16" t="n">
        <v>8</v>
      </c>
      <c r="AJ33" s="117" t="n">
        <v>8</v>
      </c>
      <c r="AK33" s="117" t="n">
        <v>8</v>
      </c>
      <c r="AL33" s="117" t="n">
        <v>8</v>
      </c>
      <c r="AM33" s="118" t="n">
        <v>8</v>
      </c>
      <c r="AN33" s="116" t="n">
        <v>8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815.6400000000001</v>
      </c>
      <c r="D34" s="41" t="n">
        <v>974.3000000000002</v>
      </c>
      <c r="E34" s="41" t="n">
        <v>851.04</v>
      </c>
      <c r="F34" s="41" t="n">
        <v>899.62</v>
      </c>
      <c r="G34" s="41" t="n">
        <v>683.0300000000001</v>
      </c>
      <c r="H34" s="41" t="n">
        <v>779.1600000000002</v>
      </c>
      <c r="I34" s="41" t="n">
        <v>713.29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/>
      <c r="AB37" s="35" t="n"/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I37" s="116" t="n">
        <v>765</v>
      </c>
      <c r="AJ37" s="117" t="n">
        <v>765</v>
      </c>
      <c r="AK37" s="117" t="n">
        <v>765</v>
      </c>
      <c r="AL37" s="117" t="n">
        <v>765</v>
      </c>
      <c r="AM37" s="118" t="n">
        <v>765</v>
      </c>
      <c r="AN37" s="116" t="n">
        <v>765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/>
      <c r="AB38" s="35" t="n"/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I38" s="116" t="n">
        <v>1340</v>
      </c>
      <c r="AJ38" s="117" t="n">
        <v>1340</v>
      </c>
      <c r="AK38" s="117" t="n">
        <v>1340</v>
      </c>
      <c r="AL38" s="117" t="n">
        <v>1340</v>
      </c>
      <c r="AM38" s="118" t="n">
        <v>1340</v>
      </c>
      <c r="AN38" s="116" t="n">
        <v>1340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/>
      <c r="AB40" s="35" t="n"/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I40" s="116" t="n">
        <v>128</v>
      </c>
      <c r="AJ40" s="117" t="n">
        <v>128</v>
      </c>
      <c r="AK40" s="117" t="n">
        <v>128</v>
      </c>
      <c r="AL40" s="117" t="n">
        <v>128</v>
      </c>
      <c r="AM40" s="118" t="n">
        <v>128</v>
      </c>
      <c r="AN40" s="116" t="n">
        <v>128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/>
      <c r="AB41" s="35" t="n"/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I41" s="116" t="n">
        <v>414</v>
      </c>
      <c r="AJ41" s="117" t="n">
        <v>414</v>
      </c>
      <c r="AK41" s="117" t="n">
        <v>414</v>
      </c>
      <c r="AL41" s="117" t="n">
        <v>414</v>
      </c>
      <c r="AM41" s="118" t="n">
        <v>414</v>
      </c>
      <c r="AN41" s="116" t="n">
        <v>414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/>
      <c r="AB42" s="35" t="n"/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/>
      <c r="AB43" s="35" t="n"/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/>
      <c r="AB45" s="35" t="n"/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I45" s="116" t="n">
        <v>138</v>
      </c>
      <c r="AJ45" s="117" t="n">
        <v>138</v>
      </c>
      <c r="AK45" s="117" t="n">
        <v>138</v>
      </c>
      <c r="AL45" s="117" t="n">
        <v>138</v>
      </c>
      <c r="AM45" s="118" t="n">
        <v>138</v>
      </c>
      <c r="AN45" s="116" t="n">
        <v>138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3503.869999999999</v>
      </c>
      <c r="H47" s="41" t="n">
        <v>3650.799999999999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31.63000000000102</v>
      </c>
      <c r="C50" s="54" t="n">
        <v>100.1700000000019</v>
      </c>
      <c r="D50" s="54" t="n">
        <v>8840.02</v>
      </c>
      <c r="E50" s="54" t="n">
        <v>1635.790000000001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-9079.180000000004</v>
      </c>
      <c r="M50" s="54" t="n">
        <v>19054.90000000001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725.9300000000001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-172.749999999999</v>
      </c>
      <c r="C70" s="54" t="n">
        <v>-112.1499999999981</v>
      </c>
      <c r="D70" s="54" t="n">
        <v>8501.030000000001</v>
      </c>
      <c r="E70" s="54" t="n">
        <v>1268.610000000001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-9555.530000000004</v>
      </c>
      <c r="M70" s="54" t="n">
        <v>18542.83000000001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/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86" s="59" t="inlineStr">
        <is>
          <t>Memo</t>
        </is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C93" s="63" t="n"/>
      <c r="AD93" s="63" t="n"/>
      <c r="AE93" s="63" t="n"/>
      <c r="AF93" s="63" t="n"/>
      <c r="AG93" s="63" t="n"/>
      <c r="AH93" s="63" t="n"/>
      <c r="AI93" s="116" t="n">
        <v>0</v>
      </c>
      <c r="AJ93" s="116" t="n">
        <v>0</v>
      </c>
      <c r="AK93" s="116" t="n">
        <v>0</v>
      </c>
      <c r="AL93" s="116" t="n">
        <v>0</v>
      </c>
      <c r="AM93" s="116" t="n">
        <v>0</v>
      </c>
      <c r="AN93" s="116" t="n">
        <v>0</v>
      </c>
      <c r="AO93" s="134">
        <f>SUM(AC93:AH93)+SUM(AI93:AN93)</f>
        <v/>
      </c>
      <c r="AP93" s="129">
        <f>IF(AB93&lt;&gt;0,(AO93-AB93)/ABS(AB93),0)</f>
        <v/>
      </c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I97" s="132" t="n">
        <v>0</v>
      </c>
      <c r="AJ97" s="132" t="n">
        <v>0</v>
      </c>
      <c r="AK97" s="132" t="n">
        <v>0</v>
      </c>
      <c r="AL97" s="132" t="n">
        <v>0</v>
      </c>
      <c r="AM97" s="132" t="n">
        <v>0</v>
      </c>
      <c r="AN97" s="132" t="n">
        <v>0</v>
      </c>
      <c r="AO97" s="133">
        <f>SUM(AC97:AH97)+SUM(AI97:AN97)</f>
        <v/>
      </c>
      <c r="AP97" s="12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6091.440000000001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4244.740000000001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7914.050000000001</v>
      </c>
      <c r="L25" s="41" t="n">
        <v>5092.52</v>
      </c>
      <c r="M25" s="41" t="n">
        <v>2688.92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/>
      <c r="AB40" s="35" t="n"/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/>
      <c r="AB41" s="35" t="n"/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/>
      <c r="AB45" s="35" t="n"/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9865.769999999999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/>
      <c r="AB53" s="35" t="n"/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I53" s="116" t="n">
        <v>117439</v>
      </c>
      <c r="AJ53" s="117" t="n">
        <v>117439</v>
      </c>
      <c r="AK53" s="117" t="n">
        <v>117439</v>
      </c>
      <c r="AL53" s="117" t="n">
        <v>117439</v>
      </c>
      <c r="AM53" s="118" t="n">
        <v>117439</v>
      </c>
      <c r="AN53" s="116" t="n">
        <v>117439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/>
      <c r="AB54" s="35" t="n"/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I54" s="116" t="n">
        <v>16773</v>
      </c>
      <c r="AJ54" s="117" t="n">
        <v>16773</v>
      </c>
      <c r="AK54" s="117" t="n">
        <v>16773</v>
      </c>
      <c r="AL54" s="117" t="n">
        <v>16773</v>
      </c>
      <c r="AM54" s="118" t="n">
        <v>16773</v>
      </c>
      <c r="AN54" s="116" t="n">
        <v>16773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/>
      <c r="AB55" s="35" t="n"/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I55" s="116" t="n">
        <v>695</v>
      </c>
      <c r="AJ55" s="117" t="n">
        <v>695</v>
      </c>
      <c r="AK55" s="117" t="n">
        <v>695</v>
      </c>
      <c r="AL55" s="117" t="n">
        <v>695</v>
      </c>
      <c r="AM55" s="118" t="n">
        <v>695</v>
      </c>
      <c r="AN55" s="116" t="n">
        <v>695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/>
      <c r="AB56" s="35" t="n"/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I56" s="116" t="n">
        <v>1897.62</v>
      </c>
      <c r="AJ56" s="117" t="n">
        <v>1897.62</v>
      </c>
      <c r="AK56" s="117" t="n">
        <v>1897.62</v>
      </c>
      <c r="AL56" s="117" t="n">
        <v>1897.62</v>
      </c>
      <c r="AM56" s="118" t="n">
        <v>1897.62</v>
      </c>
      <c r="AN56" s="116" t="n">
        <v>1897.62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/>
      <c r="AB58" s="35" t="n"/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/>
      <c r="AB59" s="35" t="n"/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I59" s="116" t="n">
        <v>2856</v>
      </c>
      <c r="AJ59" s="117" t="n">
        <v>2856</v>
      </c>
      <c r="AK59" s="117" t="n">
        <v>2856</v>
      </c>
      <c r="AL59" s="117" t="n">
        <v>2856</v>
      </c>
      <c r="AM59" s="118" t="n">
        <v>2856</v>
      </c>
      <c r="AN59" s="116" t="n">
        <v>2856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/>
      <c r="AB60" s="35" t="n"/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I60" s="116" t="n">
        <v>2466</v>
      </c>
      <c r="AJ60" s="117" t="n">
        <v>2466</v>
      </c>
      <c r="AK60" s="117" t="n">
        <v>2466</v>
      </c>
      <c r="AL60" s="117" t="n">
        <v>2466</v>
      </c>
      <c r="AM60" s="118" t="n">
        <v>2466</v>
      </c>
      <c r="AN60" s="116" t="n">
        <v>2466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/>
      <c r="AB61" s="35" t="n"/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/>
      <c r="AB62" s="35" t="n"/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I62" s="116" t="n">
        <v>1000</v>
      </c>
      <c r="AJ62" s="117" t="n">
        <v>1000</v>
      </c>
      <c r="AK62" s="117" t="n">
        <v>1000</v>
      </c>
      <c r="AL62" s="117" t="n">
        <v>1000</v>
      </c>
      <c r="AM62" s="118" t="n">
        <v>1000</v>
      </c>
      <c r="AN62" s="116" t="n">
        <v>1000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/>
      <c r="AB63" s="35" t="n"/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I63" s="116" t="n">
        <v>1041</v>
      </c>
      <c r="AJ63" s="117" t="n">
        <v>1041</v>
      </c>
      <c r="AK63" s="117" t="n">
        <v>1041</v>
      </c>
      <c r="AL63" s="117" t="n">
        <v>1041</v>
      </c>
      <c r="AM63" s="118" t="n">
        <v>1041</v>
      </c>
      <c r="AN63" s="116" t="n">
        <v>1041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/>
      <c r="AB66" s="35" t="n"/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/>
      <c r="AB67" s="35" t="n"/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I67" s="116" t="n">
        <v>6000</v>
      </c>
      <c r="AJ67" s="117" t="n">
        <v>6000</v>
      </c>
      <c r="AK67" s="117" t="n">
        <v>6000</v>
      </c>
      <c r="AL67" s="117" t="n">
        <v>6000</v>
      </c>
      <c r="AM67" s="118" t="n">
        <v>6000</v>
      </c>
      <c r="AN67" s="116" t="n">
        <v>6000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/>
      <c r="AB68" s="35" t="n"/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I68" s="116" t="n">
        <v>2600</v>
      </c>
      <c r="AJ68" s="117" t="n">
        <v>2600</v>
      </c>
      <c r="AK68" s="117" t="n">
        <v>2600</v>
      </c>
      <c r="AL68" s="117" t="n">
        <v>2600</v>
      </c>
      <c r="AM68" s="118" t="n">
        <v>2600</v>
      </c>
      <c r="AN68" s="116" t="n">
        <v>2600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-124990.8</v>
      </c>
      <c r="C70" s="54" t="n">
        <v>-147887.8499999999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/>
      <c r="AB72" s="55" t="n"/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/>
      <c r="AB73" s="55" t="n"/>
      <c r="AC73" s="19" t="n"/>
      <c r="AD73" s="19" t="n"/>
      <c r="AE73" s="19" t="n"/>
      <c r="AF73" s="19" t="n"/>
      <c r="AG73" s="19" t="n"/>
      <c r="AH73" s="19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31">
        <f>SUM(AC73:AH73)+SUM(AI73:AN73)</f>
        <v/>
      </c>
      <c r="AP73" s="129">
        <f>IF(AB73&lt;&gt;0,(AO73-AB73)/ABS(AB73),0)</f>
        <v/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/>
      <c r="AC74" s="19" t="n"/>
      <c r="AD74" s="19" t="n"/>
      <c r="AE74" s="19" t="n"/>
      <c r="AF74" s="19" t="n"/>
      <c r="AG74" s="19" t="n"/>
      <c r="AH74" s="19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31">
        <f>SUM(AC74:AH74)+SUM(AI74:AN74)</f>
        <v/>
      </c>
      <c r="AP74" s="129">
        <f>IF(AB74&lt;&gt;0,(AO74-AB74)/ABS(AB74),0)</f>
        <v/>
      </c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/>
      <c r="AC75" s="19" t="n"/>
      <c r="AD75" s="19" t="n"/>
      <c r="AE75" s="19" t="n"/>
      <c r="AF75" s="19" t="n"/>
      <c r="AG75" s="19" t="n"/>
      <c r="AH75" s="19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31">
        <f>SUM(AC75:AH75)+SUM(AI75:AN75)</f>
        <v/>
      </c>
      <c r="AP75" s="12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/>
      <c r="AC76" s="19" t="n"/>
      <c r="AD76" s="19" t="n"/>
      <c r="AE76" s="19" t="n"/>
      <c r="AF76" s="19" t="n"/>
      <c r="AG76" s="19" t="n"/>
      <c r="AH76" s="19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31">
        <f>SUM(AC76:AH76)+SUM(AI76:AN76)</f>
        <v/>
      </c>
      <c r="AP76" s="129">
        <f>IF(AB76&lt;&gt;0,(AO76-AB76)/ABS(AB76),0)</f>
        <v/>
      </c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/>
      <c r="AC77" s="19" t="n"/>
      <c r="AD77" s="19" t="n"/>
      <c r="AE77" s="19" t="n"/>
      <c r="AF77" s="19" t="n"/>
      <c r="AG77" s="19" t="n"/>
      <c r="AH77" s="19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31">
        <f>SUM(AC77:AH77)+SUM(AI77:AN77)</f>
        <v/>
      </c>
      <c r="AP77" s="129">
        <f>IF(AB77&lt;&gt;0,(AO77-AB77)/ABS(AB77),0)</f>
        <v/>
      </c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/>
      <c r="AC78" s="19" t="n"/>
      <c r="AD78" s="19" t="n"/>
      <c r="AE78" s="19" t="n"/>
      <c r="AF78" s="19" t="n"/>
      <c r="AG78" s="19" t="n"/>
      <c r="AH78" s="19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31">
        <f>SUM(AC78:AH78)+SUM(AI78:AN78)</f>
        <v/>
      </c>
      <c r="AP78" s="129">
        <f>IF(AB78&lt;&gt;0,(AO78-AB78)/ABS(AB78),0)</f>
        <v/>
      </c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/>
      <c r="AC79" s="67" t="n"/>
      <c r="AD79" s="67" t="n"/>
      <c r="AE79" s="67" t="n"/>
      <c r="AF79" s="67" t="n"/>
      <c r="AG79" s="67" t="n"/>
      <c r="AH79" s="6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31">
        <f>SUM(AC79:AH79)+SUM(AI79:AN79)</f>
        <v/>
      </c>
      <c r="AP79" s="12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  <c r="AI80" s="116" t="n">
        <v>0</v>
      </c>
      <c r="AJ80" s="116" t="n">
        <v>0</v>
      </c>
      <c r="AK80" s="116" t="n">
        <v>0</v>
      </c>
      <c r="AL80" s="116" t="n">
        <v>0</v>
      </c>
      <c r="AM80" s="116" t="n">
        <v>0</v>
      </c>
      <c r="AN80" s="116" t="n">
        <v>0</v>
      </c>
      <c r="AO80" s="131">
        <f>SUM(AC80:AH80)+SUM(AI80:AN80)</f>
        <v/>
      </c>
      <c r="AP80" s="129">
        <f>IF(AB80&lt;&gt;0,(AO80-AB80)/ABS(AB80),0)</f>
        <v/>
      </c>
    </row>
    <row r="81">
      <c r="AA81" s="59" t="n"/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/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</row>
    <row r="86">
      <c r="AC86" s="58" t="n"/>
    </row>
    <row r="87">
      <c r="AE87" s="60" t="n"/>
      <c r="AF87" s="61" t="n"/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E88" s="60" t="n"/>
      <c r="AF88" s="61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E89" s="60" t="n"/>
      <c r="AF89" s="61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E90" s="60" t="n"/>
      <c r="AF90" s="61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E91" s="60" t="n"/>
      <c r="AF91" s="61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7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7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7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4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7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7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7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7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7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7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7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7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7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/>
      <c r="P25" s="43" t="n"/>
      <c r="Q25" s="43" t="n"/>
      <c r="R25" s="43" t="n"/>
      <c r="S25" s="43" t="n"/>
      <c r="T25" s="43" t="n"/>
      <c r="U25" s="44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7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7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7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7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7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7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7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4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7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7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/>
      <c r="P38" s="36" t="n"/>
      <c r="Q38" s="36" t="n"/>
      <c r="R38" s="36" t="n"/>
      <c r="S38" s="36" t="n"/>
      <c r="T38" s="36" t="n"/>
      <c r="U38" s="37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7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7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7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7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/>
      <c r="O43" s="36" t="n"/>
      <c r="P43" s="36" t="n"/>
      <c r="Q43" s="36" t="n"/>
      <c r="R43" s="36" t="n"/>
      <c r="S43" s="36" t="n"/>
      <c r="T43" s="36" t="n"/>
      <c r="U43" s="37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7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7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7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/>
      <c r="O47" s="43" t="n"/>
      <c r="P47" s="43" t="n"/>
      <c r="Q47" s="43" t="n"/>
      <c r="R47" s="43" t="n"/>
      <c r="S47" s="43" t="n"/>
      <c r="T47" s="43" t="n"/>
      <c r="U47" s="44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/>
      <c r="O48" s="24" t="n"/>
      <c r="P48" s="24" t="n"/>
      <c r="Q48" s="24" t="n"/>
      <c r="R48" s="24" t="n"/>
      <c r="S48" s="24" t="n"/>
      <c r="T48" s="24" t="n"/>
      <c r="U48" s="25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7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7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7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7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/>
      <c r="O57" s="36" t="n"/>
      <c r="P57" s="36" t="n"/>
      <c r="Q57" s="36" t="n"/>
      <c r="R57" s="36" t="n"/>
      <c r="S57" s="36" t="n"/>
      <c r="T57" s="36" t="n"/>
      <c r="U57" s="37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7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7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/>
      <c r="O60" s="36" t="n"/>
      <c r="P60" s="36" t="n"/>
      <c r="Q60" s="36" t="n"/>
      <c r="R60" s="36" t="n"/>
      <c r="S60" s="36" t="n"/>
      <c r="T60" s="36" t="n"/>
      <c r="U60" s="37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7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7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7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7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/>
      <c r="O65" s="36" t="n"/>
      <c r="P65" s="36" t="n"/>
      <c r="Q65" s="36" t="n"/>
      <c r="R65" s="36" t="n"/>
      <c r="S65" s="36" t="n"/>
      <c r="T65" s="36" t="n"/>
      <c r="U65" s="37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7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/>
      <c r="O67" s="36" t="n"/>
      <c r="P67" s="36" t="n"/>
      <c r="Q67" s="36" t="n"/>
      <c r="R67" s="36" t="n"/>
      <c r="S67" s="36" t="n"/>
      <c r="T67" s="36" t="n"/>
      <c r="U67" s="37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/>
      <c r="O68" s="36" t="n"/>
      <c r="P68" s="36" t="n"/>
      <c r="Q68" s="36" t="n"/>
      <c r="R68" s="36" t="n"/>
      <c r="S68" s="36" t="n"/>
      <c r="T68" s="36" t="n"/>
      <c r="U68" s="37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/>
      <c r="O69" s="43" t="n"/>
      <c r="P69" s="43" t="n"/>
      <c r="Q69" s="43" t="n"/>
      <c r="R69" s="43" t="n"/>
      <c r="S69" s="43" t="n"/>
      <c r="T69" s="43" t="n"/>
      <c r="U69" s="44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/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I85" s="132" t="n">
        <v>0</v>
      </c>
      <c r="AJ85" s="132" t="n">
        <v>0</v>
      </c>
      <c r="AK85" s="132" t="n">
        <v>0</v>
      </c>
      <c r="AL85" s="132" t="n">
        <v>0</v>
      </c>
      <c r="AM85" s="132" t="n">
        <v>0</v>
      </c>
      <c r="AN85" s="132" t="n">
        <v>0</v>
      </c>
      <c r="AO85" s="133">
        <f>SUM(AC85:AH85)+SUM(AI85:AN85)</f>
        <v/>
      </c>
      <c r="AP85" s="12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I86" s="132" t="n">
        <v>0</v>
      </c>
      <c r="AJ86" s="132" t="n">
        <v>0</v>
      </c>
      <c r="AK86" s="132" t="n">
        <v>0</v>
      </c>
      <c r="AL86" s="132" t="n">
        <v>0</v>
      </c>
      <c r="AM86" s="132" t="n">
        <v>0</v>
      </c>
      <c r="AN86" s="132" t="n">
        <v>0</v>
      </c>
      <c r="AO86" s="133">
        <f>SUM(AC86:AH86)+SUM(AI86:AN86)</f>
        <v/>
      </c>
      <c r="AP86" s="129">
        <f>IF(AB86&lt;&gt;0,(AO86-AB86)/ABS(AB86),0)</f>
        <v/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36" t="n">
        <v>0</v>
      </c>
      <c r="AK88" s="136" t="n">
        <v>0</v>
      </c>
      <c r="AL88" s="136" t="n">
        <v>0</v>
      </c>
      <c r="AM88" s="136" t="n">
        <v>0</v>
      </c>
      <c r="AN88" s="136" t="n">
        <v>0</v>
      </c>
      <c r="AO88" s="137">
        <f>SUM(AC88:AH88)+SUM(AI88:AN88)</f>
        <v/>
      </c>
      <c r="AP88" s="138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-9641.529999999999</v>
      </c>
      <c r="C50" s="54" t="n">
        <v>-4671.809999999999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345.1100000000001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-11499.45</v>
      </c>
      <c r="C70" s="54" t="n">
        <v>-5189.969999999999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/>
      <c r="AB71" s="54" t="n"/>
      <c r="AC71" s="54" t="n"/>
      <c r="AD71" s="54" t="n"/>
      <c r="AE71" s="54" t="n"/>
      <c r="AF71" s="54" t="n"/>
      <c r="AG71" s="54" t="n"/>
      <c r="AH71" s="54" t="n"/>
      <c r="AJ71" s="54" t="n"/>
      <c r="AK71" s="54" t="n"/>
      <c r="AL71" s="54" t="n"/>
      <c r="AM71" s="54" t="n"/>
      <c r="AN71" s="54" t="n"/>
      <c r="AO71" s="54" t="n"/>
      <c r="AP71" s="54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/>
      <c r="AB72" s="55" t="n"/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/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125" t="n">
        <v>0</v>
      </c>
      <c r="AJ73" s="125" t="n">
        <v>0</v>
      </c>
      <c r="AK73" s="125" t="n">
        <v>0</v>
      </c>
      <c r="AL73" s="125" t="n">
        <v>0</v>
      </c>
      <c r="AM73" s="125" t="n">
        <v>0</v>
      </c>
      <c r="AN73" s="125" t="n">
        <v>0</v>
      </c>
      <c r="AO73" s="134">
        <f>SUM(AC73:AH73)+SUM(AI73:AN73)</f>
        <v/>
      </c>
      <c r="AP73" s="12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/>
      <c r="AB74" s="59" t="n">
        <v>102606.8643965906</v>
      </c>
      <c r="AC74" s="55" t="n"/>
      <c r="AD74" s="55" t="n"/>
      <c r="AE74" s="55" t="n"/>
      <c r="AF74" s="55" t="n"/>
      <c r="AG74" s="55" t="n"/>
      <c r="AH74" s="55" t="n"/>
      <c r="AI74" s="125" t="n">
        <v>0</v>
      </c>
      <c r="AJ74" s="125" t="n">
        <v>0</v>
      </c>
      <c r="AK74" s="125" t="n">
        <v>0</v>
      </c>
      <c r="AL74" s="125" t="n">
        <v>0</v>
      </c>
      <c r="AM74" s="125" t="n">
        <v>0</v>
      </c>
      <c r="AN74" s="125" t="n">
        <v>0</v>
      </c>
      <c r="AO74" s="134">
        <f>SUM(AC74:AH74)+SUM(AI74:AN74)</f>
        <v/>
      </c>
      <c r="AP74" s="12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/>
      <c r="AB75" s="59" t="n">
        <v>0</v>
      </c>
      <c r="AC75" s="55" t="n"/>
      <c r="AD75" s="55" t="n"/>
      <c r="AE75" s="55" t="n"/>
      <c r="AF75" s="55" t="n"/>
      <c r="AG75" s="55" t="n"/>
      <c r="AH75" s="55" t="n"/>
      <c r="AI75" s="125" t="n">
        <v>0</v>
      </c>
      <c r="AJ75" s="125" t="n">
        <v>0</v>
      </c>
      <c r="AK75" s="125" t="n">
        <v>0</v>
      </c>
      <c r="AL75" s="125" t="n">
        <v>0</v>
      </c>
      <c r="AM75" s="125" t="n">
        <v>0</v>
      </c>
      <c r="AN75" s="125" t="n">
        <v>0</v>
      </c>
      <c r="AO75" s="134">
        <f>SUM(AC75:AH75)+SUM(AI75:AN75)</f>
        <v/>
      </c>
      <c r="AP75" s="12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N78" s="59" t="n"/>
      <c r="AA78" s="59" t="n"/>
      <c r="AB78" s="55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5" t="n"/>
      <c r="AI79" s="132" t="n">
        <v>0</v>
      </c>
      <c r="AJ79" s="132" t="n">
        <v>0</v>
      </c>
      <c r="AK79" s="132" t="n">
        <v>0</v>
      </c>
      <c r="AL79" s="132" t="n">
        <v>0</v>
      </c>
      <c r="AM79" s="132" t="n">
        <v>0</v>
      </c>
      <c r="AN79" s="132" t="n">
        <v>0</v>
      </c>
      <c r="AO79" s="133">
        <f>SUM(AC79:AH79)+SUM(AI79:AN79)</f>
        <v/>
      </c>
      <c r="AP79" s="129">
        <f>IF(AB79&lt;&gt;0,(AO79-AB79)/ABS(AB79),0)</f>
        <v/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/>
      <c r="AI80" s="132" t="n">
        <v>0</v>
      </c>
      <c r="AJ80" s="132" t="n">
        <v>0</v>
      </c>
      <c r="AK80" s="132" t="n">
        <v>0</v>
      </c>
      <c r="AL80" s="132" t="n">
        <v>0</v>
      </c>
      <c r="AM80" s="132" t="n">
        <v>0</v>
      </c>
      <c r="AN80" s="132" t="n">
        <v>0</v>
      </c>
      <c r="AO80" s="133">
        <f>SUM(AC80:AH80)+SUM(AI80:AN80)</f>
        <v/>
      </c>
      <c r="AP80" s="129">
        <f>IF(AB80&lt;&gt;0,(AO80-AB80)/ABS(AB80),0)</f>
        <v/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/>
      <c r="AI81" s="132" t="n">
        <v>0</v>
      </c>
      <c r="AJ81" s="132" t="n">
        <v>0</v>
      </c>
      <c r="AK81" s="132" t="n">
        <v>0</v>
      </c>
      <c r="AL81" s="132" t="n">
        <v>0</v>
      </c>
      <c r="AM81" s="132" t="n">
        <v>0</v>
      </c>
      <c r="AN81" s="132" t="n">
        <v>0</v>
      </c>
      <c r="AO81" s="133">
        <f>SUM(AC81:AH81)+SUM(AI81:AN81)</f>
        <v/>
      </c>
      <c r="AP81" s="129">
        <f>IF(AB81&lt;&gt;0,(AO81-AB81)/ABS(AB81),0)</f>
        <v/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/>
      <c r="AC85" s="63" t="n"/>
      <c r="AD85" s="63" t="n"/>
      <c r="AE85" s="63" t="n"/>
      <c r="AF85" s="63" t="n"/>
      <c r="AG85" s="63" t="n"/>
      <c r="AH85" s="63" t="n"/>
      <c r="AI85" s="116" t="n">
        <v>0</v>
      </c>
      <c r="AJ85" s="116" t="n">
        <v>0</v>
      </c>
      <c r="AK85" s="116" t="n">
        <v>0</v>
      </c>
      <c r="AL85" s="116" t="n">
        <v>0</v>
      </c>
      <c r="AM85" s="116" t="n">
        <v>0</v>
      </c>
      <c r="AN85" s="116" t="n">
        <v>0</v>
      </c>
      <c r="AO85" s="134">
        <f>SUM(AC85:AH85)+SUM(AI85:AN85)</f>
        <v/>
      </c>
      <c r="AP85" s="129">
        <f>IF(AB85&lt;&gt;0,(AO85-AB85)/ABS(AB85),0)</f>
        <v/>
      </c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/>
      <c r="AI86" s="132" t="n">
        <v>0</v>
      </c>
      <c r="AJ86" s="132" t="n">
        <v>0</v>
      </c>
      <c r="AK86" s="132" t="n">
        <v>0</v>
      </c>
      <c r="AL86" s="132" t="n">
        <v>0</v>
      </c>
      <c r="AM86" s="132" t="n">
        <v>0</v>
      </c>
      <c r="AN86" s="132" t="n">
        <v>0</v>
      </c>
      <c r="AO86" s="133">
        <f>SUM(AC86:AH86)+SUM(AI86:AN86)</f>
        <v/>
      </c>
      <c r="AP86" s="129">
        <f>IF(AB86&lt;&gt;0,(AO86-AB86)/ABS(AB86),0)</f>
        <v/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/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I88" s="132" t="n">
        <v>0</v>
      </c>
      <c r="AJ88" s="132" t="n">
        <v>0</v>
      </c>
      <c r="AK88" s="132" t="n">
        <v>0</v>
      </c>
      <c r="AL88" s="132" t="n">
        <v>0</v>
      </c>
      <c r="AM88" s="132" t="n">
        <v>0</v>
      </c>
      <c r="AN88" s="132" t="n">
        <v>0</v>
      </c>
      <c r="AO88" s="133">
        <f>SUM(AC88:AH88)+SUM(AI88:AN88)</f>
        <v/>
      </c>
      <c r="AP88" s="129">
        <f>IF(AB88&lt;&gt;0,(AO88-AB88)/ABS(AB88),0)</f>
        <v/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09" t="inlineStr">
        <is>
          <t>2027 PLAN — Jul to Dec  |  Yellow cells are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2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8" t="n">
        <v>0</v>
      </c>
      <c r="AN8" s="116" t="n">
        <v>0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8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8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8" t="n">
        <v>0</v>
      </c>
      <c r="AN16" s="116" t="n">
        <v>0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8" t="n">
        <v>0</v>
      </c>
      <c r="AN17" s="116" t="n">
        <v>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8" t="n">
        <v>0</v>
      </c>
      <c r="AN18" s="116" t="n">
        <v>0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8" t="n">
        <v>0</v>
      </c>
      <c r="AN19" s="116" t="n">
        <v>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8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8" t="n">
        <v>0</v>
      </c>
      <c r="AN21" s="116" t="n">
        <v>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8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8" t="n">
        <v>0</v>
      </c>
      <c r="AN23" s="116" t="n">
        <v>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8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8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8" t="n">
        <v>0</v>
      </c>
      <c r="AN28" s="116" t="n">
        <v>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8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8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8" t="n">
        <v>0</v>
      </c>
      <c r="AN31" s="116" t="n">
        <v>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8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8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8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8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8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8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8" t="n">
        <v>0</v>
      </c>
      <c r="AN40" s="116" t="n">
        <v>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8" t="n">
        <v>0</v>
      </c>
      <c r="AN41" s="116" t="n">
        <v>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8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8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8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8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8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35" t="n"/>
      <c r="AB47" s="51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4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/>
      <c r="O48" s="24" t="n"/>
      <c r="P48" s="24" t="n"/>
      <c r="Q48" s="24" t="n"/>
      <c r="R48" s="24" t="n"/>
      <c r="S48" s="24" t="n"/>
      <c r="T48" s="24" t="n"/>
      <c r="U48" s="24" t="n"/>
      <c r="V48" s="25" t="n"/>
      <c r="W48" s="25" t="n"/>
      <c r="X48" s="25" t="n"/>
      <c r="Y48" s="25" t="n"/>
      <c r="Z48" s="25" t="n"/>
      <c r="AA48" s="35" t="n"/>
      <c r="AB48" s="35" t="n"/>
      <c r="AC48" s="25" t="n"/>
      <c r="AD48" s="25" t="n"/>
      <c r="AE48" s="25" t="n"/>
      <c r="AF48" s="25" t="n"/>
      <c r="AG48" s="25" t="n"/>
      <c r="AH48" s="25" t="n"/>
      <c r="AI48" s="116" t="n">
        <v>0</v>
      </c>
      <c r="AJ48" s="117" t="n">
        <v>0</v>
      </c>
      <c r="AK48" s="117" t="n">
        <v>0</v>
      </c>
      <c r="AL48" s="117" t="n">
        <v>0</v>
      </c>
      <c r="AM48" s="117" t="n">
        <v>0</v>
      </c>
      <c r="AN48" s="116" t="n">
        <v>0</v>
      </c>
      <c r="AO48" s="127">
        <f>SUM(AC48:AH48)+SUM(AI48:AN48)</f>
        <v/>
      </c>
      <c r="AP48" s="120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/>
      <c r="AB49" s="35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54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5" t="n">
        <v>0</v>
      </c>
      <c r="AK50" s="125" t="n">
        <v>0</v>
      </c>
      <c r="AL50" s="125" t="n">
        <v>0</v>
      </c>
      <c r="AM50" s="125" t="n">
        <v>0</v>
      </c>
      <c r="AN50" s="125" t="n">
        <v>0</v>
      </c>
      <c r="AO50" s="128">
        <f>SUM(AC50:AH50)+SUM(AI50:AN50)</f>
        <v/>
      </c>
      <c r="AP50" s="12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37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8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8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8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8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8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8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8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8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8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8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8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8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8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8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8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35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8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/>
      <c r="AB72" s="55" t="n"/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/>
      <c r="AB73" s="55" t="n"/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/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/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/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/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/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/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/>
      <c r="AC79" s="57" t="n"/>
      <c r="AD79" s="57" t="n"/>
      <c r="AE79" s="57" t="n"/>
      <c r="AF79" s="57" t="n"/>
      <c r="AG79" s="57" t="n"/>
      <c r="AH79" s="57" t="n"/>
      <c r="AI79" s="125" t="n">
        <v>0</v>
      </c>
      <c r="AJ79" s="125" t="n">
        <v>0</v>
      </c>
      <c r="AK79" s="125" t="n">
        <v>0</v>
      </c>
      <c r="AL79" s="125" t="n">
        <v>0</v>
      </c>
      <c r="AM79" s="125" t="n">
        <v>0</v>
      </c>
      <c r="AN79" s="125" t="n">
        <v>0</v>
      </c>
      <c r="AO79" s="131">
        <f>SUM(AC79:AH79)+SUM(AI79:AN79)</f>
        <v/>
      </c>
      <c r="AP79" s="12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/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/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I82" s="132" t="n">
        <v>0</v>
      </c>
      <c r="AJ82" s="132" t="n">
        <v>0</v>
      </c>
      <c r="AK82" s="132" t="n">
        <v>0</v>
      </c>
      <c r="AL82" s="132" t="n">
        <v>0</v>
      </c>
      <c r="AM82" s="132" t="n">
        <v>0</v>
      </c>
      <c r="AN82" s="132" t="n">
        <v>0</v>
      </c>
      <c r="AO82" s="133">
        <f>SUM(AC82:AH82)+SUM(AI82:AN82)</f>
        <v/>
      </c>
      <c r="AP82" s="12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I83" s="132" t="n">
        <v>0</v>
      </c>
      <c r="AJ83" s="132" t="n">
        <v>0</v>
      </c>
      <c r="AK83" s="132" t="n">
        <v>0</v>
      </c>
      <c r="AL83" s="132" t="n">
        <v>0</v>
      </c>
      <c r="AM83" s="132" t="n">
        <v>0</v>
      </c>
      <c r="AN83" s="132" t="n">
        <v>0</v>
      </c>
      <c r="AO83" s="133">
        <f>SUM(AC83:AH83)+SUM(AI83:AN83)</f>
        <v/>
      </c>
      <c r="AP83" s="129">
        <f>IF(AB83&lt;&gt;0,(AO83-AB83)/ABS(AB83),0)</f>
        <v/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I84" s="132" t="n">
        <v>0</v>
      </c>
      <c r="AJ84" s="132" t="n">
        <v>0</v>
      </c>
      <c r="AK84" s="132" t="n">
        <v>0</v>
      </c>
      <c r="AL84" s="132" t="n">
        <v>0</v>
      </c>
      <c r="AM84" s="132" t="n">
        <v>0</v>
      </c>
      <c r="AN84" s="132" t="n">
        <v>0</v>
      </c>
      <c r="AO84" s="133">
        <f>SUM(AC84:AH84)+SUM(AI84:AN84)</f>
        <v/>
      </c>
      <c r="AP84" s="129">
        <f>IF(AB84&lt;&gt;0,(AO84-AB84)/ABS(AB84),0)</f>
        <v/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I85" s="132" t="n">
        <v>0</v>
      </c>
      <c r="AJ85" s="132" t="n">
        <v>0</v>
      </c>
      <c r="AK85" s="132" t="n">
        <v>0</v>
      </c>
      <c r="AL85" s="132" t="n">
        <v>0</v>
      </c>
      <c r="AM85" s="132" t="n">
        <v>0</v>
      </c>
      <c r="AN85" s="132" t="n">
        <v>0</v>
      </c>
      <c r="AO85" s="133">
        <f>SUM(AC85:AH85)+SUM(AI85:AN85)</f>
        <v/>
      </c>
      <c r="AP85" s="12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I86" s="132" t="n">
        <v>0</v>
      </c>
      <c r="AJ86" s="132" t="n">
        <v>0</v>
      </c>
      <c r="AK86" s="132" t="n">
        <v>0</v>
      </c>
      <c r="AL86" s="132" t="n">
        <v>0</v>
      </c>
      <c r="AM86" s="132" t="n">
        <v>0</v>
      </c>
      <c r="AN86" s="132" t="n">
        <v>0</v>
      </c>
      <c r="AO86" s="133">
        <f>SUM(AC86:AH86)+SUM(AI86:AN86)</f>
        <v/>
      </c>
      <c r="AP86" s="129">
        <f>IF(AB86&lt;&gt;0,(AO86-AB86)/ABS(AB86),0)</f>
        <v/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I87" s="132" t="n">
        <v>0</v>
      </c>
      <c r="AJ87" s="132" t="n">
        <v>0</v>
      </c>
      <c r="AK87" s="132" t="n">
        <v>0</v>
      </c>
      <c r="AL87" s="132" t="n">
        <v>0</v>
      </c>
      <c r="AM87" s="132" t="n">
        <v>0</v>
      </c>
      <c r="AN87" s="132" t="n">
        <v>0</v>
      </c>
      <c r="AO87" s="133">
        <f>SUM(AC87:AH87)+SUM(AI87:AN87)</f>
        <v/>
      </c>
      <c r="AP87" s="129">
        <f>IF(AB87&lt;&gt;0,(AO87-AB87)/ABS(AB87),0)</f>
        <v/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C88" s="63" t="n"/>
      <c r="AD88" s="63" t="n"/>
      <c r="AE88" s="63" t="n"/>
      <c r="AF88" s="63" t="n"/>
      <c r="AG88" s="63" t="n"/>
      <c r="AH88" s="63" t="n"/>
      <c r="AI88" s="116" t="n">
        <v>0</v>
      </c>
      <c r="AJ88" s="116" t="n">
        <v>0</v>
      </c>
      <c r="AK88" s="116" t="n">
        <v>0</v>
      </c>
      <c r="AL88" s="116" t="n">
        <v>0</v>
      </c>
      <c r="AM88" s="116" t="n">
        <v>0</v>
      </c>
      <c r="AN88" s="116" t="n">
        <v>0</v>
      </c>
      <c r="AO88" s="134">
        <f>SUM(AC88:AH88)+SUM(AI88:AN88)</f>
        <v/>
      </c>
      <c r="AP88" s="12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2" t="n"/>
      <c r="W1" s="82" t="n"/>
      <c r="X1" s="82" t="n"/>
      <c r="Y1" s="82" t="n"/>
      <c r="Z1" s="82" t="n"/>
      <c r="AA1" s="6" t="n"/>
      <c r="AB1" s="6" t="n"/>
      <c r="AC1" s="83" t="n">
        <v>2027</v>
      </c>
      <c r="AD1" s="82" t="inlineStr">
        <is>
          <t>NOT COMPLETED - STRETCHED FUNDING INCOMING- NEEDS REVIEW</t>
        </is>
      </c>
      <c r="AE1" s="82" t="n"/>
      <c r="AF1" s="82" t="n"/>
      <c r="AG1" s="82" t="n"/>
      <c r="AH1" s="82" t="n"/>
      <c r="AI1" s="109" t="inlineStr">
        <is>
          <t>2027 PLAN — Jul to Dec  |  Yellow cells are editable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0" t="inlineStr">
        <is>
          <t>Jul</t>
        </is>
      </c>
      <c r="AJ2" s="111" t="inlineStr">
        <is>
          <t>Aug</t>
        </is>
      </c>
      <c r="AK2" s="111" t="inlineStr">
        <is>
          <t>Sep</t>
        </is>
      </c>
      <c r="AL2" s="111" t="inlineStr">
        <is>
          <t>Oct</t>
        </is>
      </c>
      <c r="AM2" s="111" t="inlineStr">
        <is>
          <t>Nov</t>
        </is>
      </c>
      <c r="AN2" s="113" t="inlineStr">
        <is>
          <t>Dec</t>
        </is>
      </c>
      <c r="AO2" s="114" t="inlineStr">
        <is>
          <t>FY2027
Plan</t>
        </is>
      </c>
      <c r="AP2" s="114" t="inlineStr">
        <is>
          <t>vs 2026
Outlook</t>
        </is>
      </c>
      <c r="AQ2" s="115" t="inlineStr">
        <is>
          <t>vs £1.3m
Target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88" t="n"/>
      <c r="AP3" s="88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/>
      <c r="AB4" s="23" t="n"/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89" t="n"/>
      <c r="AP4" s="89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/>
      <c r="AB5" s="23" t="n"/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89" t="n"/>
      <c r="AP5" s="89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/>
      <c r="AB6" s="29" t="n"/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0" t="n"/>
      <c r="AP6" s="90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/>
      <c r="AB7" s="23" t="n"/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89" t="n"/>
      <c r="AP7" s="89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/>
      <c r="O8" s="36" t="n"/>
      <c r="P8" s="36" t="n"/>
      <c r="Q8" s="36" t="n"/>
      <c r="R8" s="36" t="n"/>
      <c r="S8" s="36" t="n"/>
      <c r="T8" s="36" t="n"/>
      <c r="U8" s="36" t="n"/>
      <c r="V8" s="37" t="n"/>
      <c r="W8" s="37" t="n"/>
      <c r="X8" s="37" t="n"/>
      <c r="Y8" s="37" t="n"/>
      <c r="Z8" s="37" t="n"/>
      <c r="AA8" s="35" t="n"/>
      <c r="AB8" s="35" t="n"/>
      <c r="AC8" s="37" t="n"/>
      <c r="AD8" s="37" t="n"/>
      <c r="AE8" s="37" t="n"/>
      <c r="AF8" s="37" t="n"/>
      <c r="AG8" s="37" t="n"/>
      <c r="AH8" s="37" t="n"/>
      <c r="AI8" s="116" t="n">
        <v>0</v>
      </c>
      <c r="AJ8" s="117" t="n">
        <v>0</v>
      </c>
      <c r="AK8" s="117" t="n">
        <v>0</v>
      </c>
      <c r="AL8" s="117" t="n">
        <v>0</v>
      </c>
      <c r="AM8" s="117" t="n">
        <v>0</v>
      </c>
      <c r="AN8" s="116" t="n">
        <v>0</v>
      </c>
      <c r="AO8" s="119">
        <f>SUM(AC8:AH8)+SUM(AI8:AN8)</f>
        <v/>
      </c>
      <c r="AP8" s="120">
        <f>IF(AB8&lt;&gt;0,(AO8-AB8)/ABS(AB8),0)</f>
        <v/>
      </c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/>
      <c r="O9" s="36" t="n"/>
      <c r="P9" s="36" t="n"/>
      <c r="Q9" s="36" t="n"/>
      <c r="R9" s="36" t="n"/>
      <c r="S9" s="36" t="n"/>
      <c r="T9" s="36" t="n"/>
      <c r="U9" s="36" t="n"/>
      <c r="V9" s="37" t="n"/>
      <c r="W9" s="37" t="n"/>
      <c r="X9" s="37" t="n"/>
      <c r="Y9" s="37" t="n"/>
      <c r="Z9" s="37" t="n"/>
      <c r="AA9" s="35" t="n"/>
      <c r="AB9" s="35" t="n"/>
      <c r="AC9" s="37" t="n"/>
      <c r="AD9" s="37" t="n"/>
      <c r="AE9" s="37" t="n"/>
      <c r="AF9" s="37" t="n"/>
      <c r="AG9" s="37" t="n"/>
      <c r="AH9" s="37" t="n"/>
      <c r="AI9" s="116" t="n">
        <v>0</v>
      </c>
      <c r="AJ9" s="117" t="n">
        <v>0</v>
      </c>
      <c r="AK9" s="117" t="n">
        <v>0</v>
      </c>
      <c r="AL9" s="117" t="n">
        <v>0</v>
      </c>
      <c r="AM9" s="117" t="n">
        <v>0</v>
      </c>
      <c r="AN9" s="116" t="n">
        <v>0</v>
      </c>
      <c r="AO9" s="119">
        <f>SUM(AC9:AH9)+SUM(AI9:AN9)</f>
        <v/>
      </c>
      <c r="AP9" s="120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/>
      <c r="O10" s="36" t="n"/>
      <c r="P10" s="36" t="n"/>
      <c r="Q10" s="36" t="n"/>
      <c r="R10" s="36" t="n"/>
      <c r="S10" s="36" t="n"/>
      <c r="T10" s="36" t="n"/>
      <c r="U10" s="36" t="n"/>
      <c r="V10" s="37" t="n"/>
      <c r="W10" s="37" t="n"/>
      <c r="X10" s="37" t="n"/>
      <c r="Y10" s="37" t="n"/>
      <c r="Z10" s="37" t="n"/>
      <c r="AA10" s="35" t="n"/>
      <c r="AB10" s="35" t="n"/>
      <c r="AC10" s="37" t="n"/>
      <c r="AD10" s="37" t="n"/>
      <c r="AE10" s="37" t="n"/>
      <c r="AF10" s="37" t="n"/>
      <c r="AG10" s="37" t="n"/>
      <c r="AH10" s="37" t="n"/>
      <c r="AI10" s="116" t="n">
        <v>0</v>
      </c>
      <c r="AJ10" s="117" t="n">
        <v>0</v>
      </c>
      <c r="AK10" s="117" t="n">
        <v>0</v>
      </c>
      <c r="AL10" s="117" t="n">
        <v>0</v>
      </c>
      <c r="AM10" s="117" t="n">
        <v>0</v>
      </c>
      <c r="AN10" s="116" t="n">
        <v>0</v>
      </c>
      <c r="AO10" s="119">
        <f>SUM(AC10:AH10)+SUM(AI10:AN10)</f>
        <v/>
      </c>
      <c r="AP10" s="120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762931.3199999999</v>
      </c>
      <c r="K11" s="41" t="n">
        <v>796366.03</v>
      </c>
      <c r="L11" s="41" t="n">
        <v>947551</v>
      </c>
      <c r="M11" s="41" t="n">
        <v>1168237.96</v>
      </c>
      <c r="N11" s="42" t="n"/>
      <c r="O11" s="43" t="n"/>
      <c r="P11" s="43" t="n"/>
      <c r="Q11" s="43" t="n"/>
      <c r="R11" s="43" t="n"/>
      <c r="S11" s="43" t="n"/>
      <c r="T11" s="43" t="n"/>
      <c r="U11" s="43" t="n"/>
      <c r="V11" s="44" t="n"/>
      <c r="W11" s="44" t="n"/>
      <c r="X11" s="44" t="n"/>
      <c r="Y11" s="44" t="n"/>
      <c r="Z11" s="44" t="n"/>
      <c r="AA11" s="42" t="n"/>
      <c r="AB11" s="42" t="n"/>
      <c r="AC11" s="44" t="n"/>
      <c r="AD11" s="44" t="n"/>
      <c r="AE11" s="44" t="n"/>
      <c r="AF11" s="44" t="n"/>
      <c r="AG11" s="44" t="n"/>
      <c r="AH11" s="44" t="n"/>
      <c r="AI11" s="116" t="n">
        <v>0</v>
      </c>
      <c r="AJ11" s="121" t="n">
        <v>0</v>
      </c>
      <c r="AK11" s="121" t="n">
        <v>0</v>
      </c>
      <c r="AL11" s="121" t="n">
        <v>0</v>
      </c>
      <c r="AM11" s="121" t="n">
        <v>0</v>
      </c>
      <c r="AN11" s="116" t="n">
        <v>0</v>
      </c>
      <c r="AO11" s="122">
        <f>SUM(AC11:AH11)+SUM(AI11:AN11)</f>
        <v/>
      </c>
      <c r="AP11" s="123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/>
      <c r="AB12" s="35" t="n"/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5" t="n"/>
      <c r="AN12" s="39" t="n"/>
      <c r="AO12" s="91" t="n"/>
      <c r="AP12" s="91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J13" s="46" t="n"/>
      <c r="AK13" s="46" t="n"/>
      <c r="AL13" s="46" t="n"/>
      <c r="AM13" s="46" t="n"/>
      <c r="AN13" s="78" t="n"/>
      <c r="AO13" s="93" t="n"/>
      <c r="AP13" s="93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/>
      <c r="AB14" s="35" t="n"/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5" t="n"/>
      <c r="AN14" s="39" t="n"/>
      <c r="AO14" s="91" t="n"/>
      <c r="AP14" s="91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4" t="n"/>
      <c r="R15" s="94" t="n"/>
      <c r="S15" s="94" t="n"/>
      <c r="T15" s="94" t="n"/>
      <c r="U15" s="94" t="n"/>
      <c r="V15" s="25" t="n"/>
      <c r="W15" s="25" t="n"/>
      <c r="X15" s="25" t="n"/>
      <c r="Y15" s="25" t="n"/>
      <c r="Z15" s="25" t="n"/>
      <c r="AA15" s="35" t="n"/>
      <c r="AB15" s="35" t="n"/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5" t="n"/>
      <c r="AN15" s="39" t="n"/>
      <c r="AO15" s="91" t="n"/>
      <c r="AP15" s="91" t="n"/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/>
      <c r="O16" s="36" t="n"/>
      <c r="P16" s="36" t="n"/>
      <c r="Q16" s="36" t="n"/>
      <c r="R16" s="36" t="n"/>
      <c r="S16" s="36" t="n"/>
      <c r="T16" s="36" t="n"/>
      <c r="U16" s="36" t="n"/>
      <c r="V16" s="37" t="n"/>
      <c r="W16" s="37" t="n"/>
      <c r="X16" s="37" t="n"/>
      <c r="Y16" s="37" t="n"/>
      <c r="Z16" s="37" t="n"/>
      <c r="AA16" s="35" t="n"/>
      <c r="AB16" s="35" t="n"/>
      <c r="AC16" s="37" t="n"/>
      <c r="AD16" s="37" t="n"/>
      <c r="AE16" s="37" t="n"/>
      <c r="AF16" s="37" t="n"/>
      <c r="AG16" s="37" t="n"/>
      <c r="AH16" s="37" t="n"/>
      <c r="AI16" s="116" t="n">
        <v>0</v>
      </c>
      <c r="AJ16" s="117" t="n">
        <v>0</v>
      </c>
      <c r="AK16" s="117" t="n">
        <v>0</v>
      </c>
      <c r="AL16" s="117" t="n">
        <v>0</v>
      </c>
      <c r="AM16" s="117" t="n">
        <v>0</v>
      </c>
      <c r="AN16" s="116" t="n">
        <v>0</v>
      </c>
      <c r="AO16" s="119">
        <f>SUM(AC16:AH16)+SUM(AI16:AN16)</f>
        <v/>
      </c>
      <c r="AP16" s="120">
        <f>IF(AB16&lt;&gt;0,(AO16-AB16)/ABS(AB16),0)</f>
        <v/>
      </c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/>
      <c r="O17" s="36" t="n"/>
      <c r="P17" s="36" t="n"/>
      <c r="Q17" s="36" t="n"/>
      <c r="R17" s="36" t="n"/>
      <c r="S17" s="36" t="n"/>
      <c r="T17" s="36" t="n"/>
      <c r="U17" s="36" t="n"/>
      <c r="V17" s="37" t="n"/>
      <c r="W17" s="37" t="n"/>
      <c r="X17" s="37" t="n"/>
      <c r="Y17" s="37" t="n"/>
      <c r="Z17" s="37" t="n"/>
      <c r="AA17" s="35" t="n"/>
      <c r="AB17" s="35" t="n"/>
      <c r="AC17" s="37" t="n"/>
      <c r="AD17" s="37" t="n"/>
      <c r="AE17" s="37" t="n"/>
      <c r="AF17" s="37" t="n"/>
      <c r="AG17" s="37" t="n"/>
      <c r="AH17" s="37" t="n"/>
      <c r="AI17" s="116" t="n">
        <v>0</v>
      </c>
      <c r="AJ17" s="117" t="n">
        <v>0</v>
      </c>
      <c r="AK17" s="117" t="n">
        <v>0</v>
      </c>
      <c r="AL17" s="117" t="n">
        <v>0</v>
      </c>
      <c r="AM17" s="117" t="n">
        <v>0</v>
      </c>
      <c r="AN17" s="116" t="n">
        <v>0</v>
      </c>
      <c r="AO17" s="119">
        <f>SUM(AC17:AH17)+SUM(AI17:AN17)</f>
        <v/>
      </c>
      <c r="AP17" s="120">
        <f>IF(AB17&lt;&gt;0,(AO17-AB17)/ABS(AB17),0)</f>
        <v/>
      </c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/>
      <c r="O18" s="36" t="n"/>
      <c r="P18" s="36" t="n"/>
      <c r="Q18" s="36" t="n"/>
      <c r="R18" s="36" t="n"/>
      <c r="S18" s="36" t="n"/>
      <c r="T18" s="36" t="n"/>
      <c r="U18" s="36" t="n"/>
      <c r="V18" s="37" t="n"/>
      <c r="W18" s="37" t="n"/>
      <c r="X18" s="37" t="n"/>
      <c r="Y18" s="37" t="n"/>
      <c r="Z18" s="37" t="n"/>
      <c r="AA18" s="35" t="n"/>
      <c r="AB18" s="35" t="n"/>
      <c r="AC18" s="37" t="n"/>
      <c r="AD18" s="37" t="n"/>
      <c r="AE18" s="37" t="n"/>
      <c r="AF18" s="37" t="n"/>
      <c r="AG18" s="37" t="n"/>
      <c r="AH18" s="37" t="n"/>
      <c r="AI18" s="116" t="n">
        <v>0</v>
      </c>
      <c r="AJ18" s="117" t="n">
        <v>0</v>
      </c>
      <c r="AK18" s="117" t="n">
        <v>0</v>
      </c>
      <c r="AL18" s="117" t="n">
        <v>0</v>
      </c>
      <c r="AM18" s="117" t="n">
        <v>0</v>
      </c>
      <c r="AN18" s="116" t="n">
        <v>0</v>
      </c>
      <c r="AO18" s="119">
        <f>SUM(AC18:AH18)+SUM(AI18:AN18)</f>
        <v/>
      </c>
      <c r="AP18" s="120">
        <f>IF(AB18&lt;&gt;0,(AO18-AB18)/ABS(AB18),0)</f>
        <v/>
      </c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/>
      <c r="O19" s="36" t="n"/>
      <c r="P19" s="36" t="n"/>
      <c r="Q19" s="36" t="n"/>
      <c r="R19" s="36" t="n"/>
      <c r="S19" s="36" t="n"/>
      <c r="T19" s="36" t="n"/>
      <c r="U19" s="36" t="n"/>
      <c r="V19" s="37" t="n"/>
      <c r="W19" s="37" t="n"/>
      <c r="X19" s="37" t="n"/>
      <c r="Y19" s="37" t="n"/>
      <c r="Z19" s="37" t="n"/>
      <c r="AA19" s="35" t="n"/>
      <c r="AB19" s="35" t="n"/>
      <c r="AC19" s="37" t="n"/>
      <c r="AD19" s="37" t="n"/>
      <c r="AE19" s="37" t="n"/>
      <c r="AF19" s="37" t="n"/>
      <c r="AG19" s="37" t="n"/>
      <c r="AH19" s="37" t="n"/>
      <c r="AI19" s="116" t="n">
        <v>0</v>
      </c>
      <c r="AJ19" s="117" t="n">
        <v>0</v>
      </c>
      <c r="AK19" s="117" t="n">
        <v>0</v>
      </c>
      <c r="AL19" s="117" t="n">
        <v>0</v>
      </c>
      <c r="AM19" s="117" t="n">
        <v>0</v>
      </c>
      <c r="AN19" s="116" t="n">
        <v>0</v>
      </c>
      <c r="AO19" s="119">
        <f>SUM(AC19:AH19)+SUM(AI19:AN19)</f>
        <v/>
      </c>
      <c r="AP19" s="120">
        <f>IF(AB19&lt;&gt;0,(AO19-AB19)/ABS(AB19),0)</f>
        <v/>
      </c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/>
      <c r="O20" s="36" t="n"/>
      <c r="P20" s="36" t="n"/>
      <c r="Q20" s="36" t="n"/>
      <c r="R20" s="36" t="n"/>
      <c r="S20" s="36" t="n"/>
      <c r="T20" s="36" t="n"/>
      <c r="U20" s="36" t="n"/>
      <c r="V20" s="37" t="n"/>
      <c r="W20" s="37" t="n"/>
      <c r="X20" s="37" t="n"/>
      <c r="Y20" s="37" t="n"/>
      <c r="Z20" s="37" t="n"/>
      <c r="AA20" s="35" t="n"/>
      <c r="AB20" s="35" t="n"/>
      <c r="AC20" s="37" t="n"/>
      <c r="AD20" s="37" t="n"/>
      <c r="AE20" s="37" t="n"/>
      <c r="AF20" s="37" t="n"/>
      <c r="AG20" s="37" t="n"/>
      <c r="AH20" s="37" t="n"/>
      <c r="AI20" s="116" t="n">
        <v>0</v>
      </c>
      <c r="AJ20" s="117" t="n">
        <v>0</v>
      </c>
      <c r="AK20" s="117" t="n">
        <v>0</v>
      </c>
      <c r="AL20" s="117" t="n">
        <v>0</v>
      </c>
      <c r="AM20" s="117" t="n">
        <v>0</v>
      </c>
      <c r="AN20" s="116" t="n">
        <v>0</v>
      </c>
      <c r="AO20" s="119">
        <f>SUM(AC20:AH20)+SUM(AI20:AN20)</f>
        <v/>
      </c>
      <c r="AP20" s="120">
        <f>IF(AB20&lt;&gt;0,(AO20-AB20)/ABS(AB20),0)</f>
        <v/>
      </c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/>
      <c r="O21" s="36" t="n"/>
      <c r="P21" s="36" t="n"/>
      <c r="Q21" s="36" t="n"/>
      <c r="R21" s="36" t="n"/>
      <c r="S21" s="36" t="n"/>
      <c r="T21" s="36" t="n"/>
      <c r="U21" s="36" t="n"/>
      <c r="V21" s="37" t="n"/>
      <c r="W21" s="37" t="n"/>
      <c r="X21" s="37" t="n"/>
      <c r="Y21" s="37" t="n"/>
      <c r="Z21" s="37" t="n"/>
      <c r="AA21" s="35" t="n"/>
      <c r="AB21" s="35" t="n"/>
      <c r="AC21" s="37" t="n"/>
      <c r="AD21" s="37" t="n"/>
      <c r="AE21" s="37" t="n"/>
      <c r="AF21" s="37" t="n"/>
      <c r="AG21" s="37" t="n"/>
      <c r="AH21" s="37" t="n"/>
      <c r="AI21" s="116" t="n">
        <v>0</v>
      </c>
      <c r="AJ21" s="117" t="n">
        <v>0</v>
      </c>
      <c r="AK21" s="117" t="n">
        <v>0</v>
      </c>
      <c r="AL21" s="117" t="n">
        <v>0</v>
      </c>
      <c r="AM21" s="117" t="n">
        <v>0</v>
      </c>
      <c r="AN21" s="116" t="n">
        <v>0</v>
      </c>
      <c r="AO21" s="119">
        <f>SUM(AC21:AH21)+SUM(AI21:AN21)</f>
        <v/>
      </c>
      <c r="AP21" s="120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/>
      <c r="O22" s="36" t="n"/>
      <c r="P22" s="36" t="n"/>
      <c r="Q22" s="36" t="n"/>
      <c r="R22" s="36" t="n"/>
      <c r="S22" s="36" t="n"/>
      <c r="T22" s="36" t="n"/>
      <c r="U22" s="36" t="n"/>
      <c r="V22" s="37" t="n"/>
      <c r="W22" s="37" t="n"/>
      <c r="X22" s="37" t="n"/>
      <c r="Y22" s="37" t="n"/>
      <c r="Z22" s="37" t="n"/>
      <c r="AA22" s="35" t="n"/>
      <c r="AB22" s="35" t="n"/>
      <c r="AC22" s="37" t="n"/>
      <c r="AD22" s="37" t="n"/>
      <c r="AE22" s="37" t="n"/>
      <c r="AF22" s="37" t="n"/>
      <c r="AG22" s="37" t="n"/>
      <c r="AH22" s="37" t="n"/>
      <c r="AI22" s="116" t="n">
        <v>0</v>
      </c>
      <c r="AJ22" s="117" t="n">
        <v>0</v>
      </c>
      <c r="AK22" s="117" t="n">
        <v>0</v>
      </c>
      <c r="AL22" s="117" t="n">
        <v>0</v>
      </c>
      <c r="AM22" s="117" t="n">
        <v>0</v>
      </c>
      <c r="AN22" s="116" t="n">
        <v>0</v>
      </c>
      <c r="AO22" s="119">
        <f>SUM(AC22:AH22)+SUM(AI22:AN22)</f>
        <v/>
      </c>
      <c r="AP22" s="120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/>
      <c r="O23" s="36" t="n"/>
      <c r="P23" s="36" t="n"/>
      <c r="Q23" s="36" t="n"/>
      <c r="R23" s="36" t="n"/>
      <c r="S23" s="36" t="n"/>
      <c r="T23" s="36" t="n"/>
      <c r="U23" s="36" t="n"/>
      <c r="V23" s="37" t="n"/>
      <c r="W23" s="37" t="n"/>
      <c r="X23" s="37" t="n"/>
      <c r="Y23" s="37" t="n"/>
      <c r="Z23" s="37" t="n"/>
      <c r="AA23" s="35" t="n"/>
      <c r="AB23" s="35" t="n"/>
      <c r="AC23" s="37" t="n"/>
      <c r="AD23" s="37" t="n"/>
      <c r="AE23" s="37" t="n"/>
      <c r="AF23" s="37" t="n"/>
      <c r="AG23" s="37" t="n"/>
      <c r="AH23" s="37" t="n"/>
      <c r="AI23" s="116" t="n">
        <v>0</v>
      </c>
      <c r="AJ23" s="117" t="n">
        <v>0</v>
      </c>
      <c r="AK23" s="117" t="n">
        <v>0</v>
      </c>
      <c r="AL23" s="117" t="n">
        <v>0</v>
      </c>
      <c r="AM23" s="117" t="n">
        <v>0</v>
      </c>
      <c r="AN23" s="116" t="n">
        <v>0</v>
      </c>
      <c r="AO23" s="119">
        <f>SUM(AC23:AH23)+SUM(AI23:AN23)</f>
        <v/>
      </c>
      <c r="AP23" s="120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/>
      <c r="O24" s="36" t="n"/>
      <c r="P24" s="36" t="n"/>
      <c r="Q24" s="36" t="n"/>
      <c r="R24" s="36" t="n"/>
      <c r="S24" s="36" t="n"/>
      <c r="T24" s="36" t="n"/>
      <c r="U24" s="36" t="n"/>
      <c r="V24" s="37" t="n"/>
      <c r="W24" s="37" t="n"/>
      <c r="X24" s="37" t="n"/>
      <c r="Y24" s="37" t="n"/>
      <c r="Z24" s="37" t="n"/>
      <c r="AA24" s="35" t="n"/>
      <c r="AB24" s="35" t="n"/>
      <c r="AC24" s="37" t="n"/>
      <c r="AD24" s="37" t="n"/>
      <c r="AE24" s="37" t="n"/>
      <c r="AF24" s="37" t="n"/>
      <c r="AG24" s="37" t="n"/>
      <c r="AH24" s="37" t="n"/>
      <c r="AI24" s="116" t="n">
        <v>0</v>
      </c>
      <c r="AJ24" s="117" t="n">
        <v>0</v>
      </c>
      <c r="AK24" s="117" t="n">
        <v>0</v>
      </c>
      <c r="AL24" s="117" t="n">
        <v>0</v>
      </c>
      <c r="AM24" s="117" t="n">
        <v>0</v>
      </c>
      <c r="AN24" s="116" t="n">
        <v>0</v>
      </c>
      <c r="AO24" s="119">
        <f>SUM(AC24:AH24)+SUM(AI24:AN24)</f>
        <v/>
      </c>
      <c r="AP24" s="120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513439.7500000001</v>
      </c>
      <c r="F25" s="41" t="n">
        <v>520315.8300000001</v>
      </c>
      <c r="G25" s="41" t="n">
        <v>500062.94</v>
      </c>
      <c r="H25" s="41" t="n">
        <v>540450.8400000001</v>
      </c>
      <c r="I25" s="41" t="n">
        <v>494870.5800000001</v>
      </c>
      <c r="J25" s="41" t="n">
        <v>523267.4399999999</v>
      </c>
      <c r="K25" s="41" t="n">
        <v>528710.3</v>
      </c>
      <c r="L25" s="41" t="n">
        <v>502447.01</v>
      </c>
      <c r="M25" s="41" t="n">
        <v>516214.69</v>
      </c>
      <c r="N25" s="42" t="n"/>
      <c r="O25" s="43" t="n"/>
      <c r="P25" s="43" t="n"/>
      <c r="Q25" s="43" t="n"/>
      <c r="R25" s="43" t="n"/>
      <c r="S25" s="43" t="n"/>
      <c r="T25" s="43" t="n"/>
      <c r="U25" s="43" t="n"/>
      <c r="V25" s="44" t="n"/>
      <c r="W25" s="44" t="n"/>
      <c r="X25" s="44" t="n"/>
      <c r="Y25" s="44" t="n"/>
      <c r="Z25" s="44" t="n"/>
      <c r="AA25" s="42" t="n"/>
      <c r="AB25" s="42" t="n"/>
      <c r="AC25" s="44" t="n"/>
      <c r="AD25" s="44" t="n"/>
      <c r="AE25" s="44" t="n"/>
      <c r="AF25" s="44" t="n"/>
      <c r="AG25" s="44" t="n"/>
      <c r="AH25" s="44" t="n"/>
      <c r="AI25" s="116" t="n">
        <v>0</v>
      </c>
      <c r="AJ25" s="121" t="n">
        <v>0</v>
      </c>
      <c r="AK25" s="121" t="n">
        <v>0</v>
      </c>
      <c r="AL25" s="121" t="n">
        <v>0</v>
      </c>
      <c r="AM25" s="121" t="n">
        <v>0</v>
      </c>
      <c r="AN25" s="116" t="n">
        <v>0</v>
      </c>
      <c r="AO25" s="122">
        <f>SUM(AC25:AH25)+SUM(AI25:AN25)</f>
        <v/>
      </c>
      <c r="AP25" s="123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/>
      <c r="AB26" s="35" t="n"/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5" t="n"/>
      <c r="AN26" s="39" t="n"/>
      <c r="AO26" s="91" t="n"/>
      <c r="AP26" s="91" t="n"/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/>
      <c r="O27" s="36" t="n"/>
      <c r="P27" s="36" t="n"/>
      <c r="Q27" s="36" t="n"/>
      <c r="R27" s="36" t="n"/>
      <c r="S27" s="36" t="n"/>
      <c r="T27" s="36" t="n"/>
      <c r="U27" s="36" t="n"/>
      <c r="V27" s="37" t="n"/>
      <c r="W27" s="37" t="n"/>
      <c r="X27" s="37" t="n"/>
      <c r="Y27" s="37" t="n"/>
      <c r="Z27" s="37" t="n"/>
      <c r="AA27" s="35" t="n"/>
      <c r="AB27" s="35" t="n"/>
      <c r="AC27" s="37" t="n"/>
      <c r="AD27" s="37" t="n"/>
      <c r="AE27" s="37" t="n"/>
      <c r="AF27" s="37" t="n"/>
      <c r="AG27" s="37" t="n"/>
      <c r="AH27" s="37" t="n"/>
      <c r="AI27" s="116" t="n">
        <v>0</v>
      </c>
      <c r="AJ27" s="117" t="n">
        <v>0</v>
      </c>
      <c r="AK27" s="117" t="n">
        <v>0</v>
      </c>
      <c r="AL27" s="117" t="n">
        <v>0</v>
      </c>
      <c r="AM27" s="117" t="n">
        <v>0</v>
      </c>
      <c r="AN27" s="116" t="n">
        <v>0</v>
      </c>
      <c r="AO27" s="119">
        <f>SUM(AC27:AH27)+SUM(AI27:AN27)</f>
        <v/>
      </c>
      <c r="AP27" s="120">
        <f>IF(AB27&lt;&gt;0,(AO27-AB27)/ABS(AB27),0)</f>
        <v/>
      </c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/>
      <c r="O28" s="36" t="n"/>
      <c r="P28" s="36" t="n"/>
      <c r="Q28" s="36" t="n"/>
      <c r="R28" s="36" t="n"/>
      <c r="S28" s="36" t="n"/>
      <c r="T28" s="36" t="n"/>
      <c r="U28" s="36" t="n"/>
      <c r="V28" s="37" t="n"/>
      <c r="W28" s="37" t="n"/>
      <c r="X28" s="37" t="n"/>
      <c r="Y28" s="37" t="n"/>
      <c r="Z28" s="37" t="n"/>
      <c r="AA28" s="35" t="n"/>
      <c r="AB28" s="35" t="n"/>
      <c r="AC28" s="37" t="n"/>
      <c r="AD28" s="37" t="n"/>
      <c r="AE28" s="37" t="n"/>
      <c r="AF28" s="37" t="n"/>
      <c r="AG28" s="37" t="n"/>
      <c r="AH28" s="37" t="n"/>
      <c r="AI28" s="116" t="n">
        <v>0</v>
      </c>
      <c r="AJ28" s="117" t="n">
        <v>0</v>
      </c>
      <c r="AK28" s="117" t="n">
        <v>0</v>
      </c>
      <c r="AL28" s="117" t="n">
        <v>0</v>
      </c>
      <c r="AM28" s="117" t="n">
        <v>0</v>
      </c>
      <c r="AN28" s="116" t="n">
        <v>0</v>
      </c>
      <c r="AO28" s="119">
        <f>SUM(AC28:AH28)+SUM(AI28:AN28)</f>
        <v/>
      </c>
      <c r="AP28" s="120">
        <f>IF(AB28&lt;&gt;0,(AO28-AB28)/ABS(AB28),0)</f>
        <v/>
      </c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/>
      <c r="O29" s="36" t="n"/>
      <c r="P29" s="36" t="n"/>
      <c r="Q29" s="36" t="n"/>
      <c r="R29" s="36" t="n"/>
      <c r="S29" s="36" t="n"/>
      <c r="T29" s="36" t="n"/>
      <c r="U29" s="36" t="n"/>
      <c r="V29" s="37" t="n"/>
      <c r="W29" s="37" t="n"/>
      <c r="X29" s="37" t="n"/>
      <c r="Y29" s="37" t="n"/>
      <c r="Z29" s="37" t="n"/>
      <c r="AA29" s="35" t="n"/>
      <c r="AB29" s="35" t="n"/>
      <c r="AC29" s="37" t="n"/>
      <c r="AD29" s="37" t="n"/>
      <c r="AE29" s="37" t="n"/>
      <c r="AF29" s="37" t="n"/>
      <c r="AG29" s="37" t="n"/>
      <c r="AH29" s="37" t="n"/>
      <c r="AI29" s="116" t="n">
        <v>0</v>
      </c>
      <c r="AJ29" s="117" t="n">
        <v>0</v>
      </c>
      <c r="AK29" s="117" t="n">
        <v>0</v>
      </c>
      <c r="AL29" s="117" t="n">
        <v>0</v>
      </c>
      <c r="AM29" s="117" t="n">
        <v>0</v>
      </c>
      <c r="AN29" s="116" t="n">
        <v>0</v>
      </c>
      <c r="AO29" s="119">
        <f>SUM(AC29:AH29)+SUM(AI29:AN29)</f>
        <v/>
      </c>
      <c r="AP29" s="120">
        <f>IF(AB29&lt;&gt;0,(AO29-AB29)/ABS(AB29),0)</f>
        <v/>
      </c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/>
      <c r="O30" s="36" t="n"/>
      <c r="P30" s="36" t="n"/>
      <c r="Q30" s="36" t="n"/>
      <c r="R30" s="36" t="n"/>
      <c r="S30" s="36" t="n"/>
      <c r="T30" s="36" t="n"/>
      <c r="U30" s="36" t="n"/>
      <c r="V30" s="37" t="n"/>
      <c r="W30" s="37" t="n"/>
      <c r="X30" s="37" t="n"/>
      <c r="Y30" s="37" t="n"/>
      <c r="Z30" s="37" t="n"/>
      <c r="AA30" s="35" t="n"/>
      <c r="AB30" s="35" t="n"/>
      <c r="AC30" s="37" t="n"/>
      <c r="AD30" s="37" t="n"/>
      <c r="AE30" s="37" t="n"/>
      <c r="AF30" s="37" t="n"/>
      <c r="AG30" s="37" t="n"/>
      <c r="AH30" s="37" t="n"/>
      <c r="AI30" s="116" t="n">
        <v>0</v>
      </c>
      <c r="AJ30" s="117" t="n">
        <v>0</v>
      </c>
      <c r="AK30" s="117" t="n">
        <v>0</v>
      </c>
      <c r="AL30" s="117" t="n">
        <v>0</v>
      </c>
      <c r="AM30" s="117" t="n">
        <v>0</v>
      </c>
      <c r="AN30" s="116" t="n">
        <v>0</v>
      </c>
      <c r="AO30" s="119">
        <f>SUM(AC30:AH30)+SUM(AI30:AN30)</f>
        <v/>
      </c>
      <c r="AP30" s="120">
        <f>IF(AB30&lt;&gt;0,(AO30-AB30)/ABS(AB30),0)</f>
        <v/>
      </c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/>
      <c r="O31" s="36" t="n"/>
      <c r="P31" s="36" t="n"/>
      <c r="Q31" s="36" t="n"/>
      <c r="R31" s="36" t="n"/>
      <c r="S31" s="36" t="n"/>
      <c r="T31" s="36" t="n"/>
      <c r="U31" s="36" t="n"/>
      <c r="V31" s="37" t="n"/>
      <c r="W31" s="37" t="n"/>
      <c r="X31" s="37" t="n"/>
      <c r="Y31" s="37" t="n"/>
      <c r="Z31" s="37" t="n"/>
      <c r="AA31" s="35" t="n"/>
      <c r="AB31" s="35" t="n"/>
      <c r="AC31" s="37" t="n"/>
      <c r="AD31" s="37" t="n"/>
      <c r="AE31" s="37" t="n"/>
      <c r="AF31" s="37" t="n"/>
      <c r="AG31" s="37" t="n"/>
      <c r="AH31" s="37" t="n"/>
      <c r="AI31" s="116" t="n">
        <v>0</v>
      </c>
      <c r="AJ31" s="117" t="n">
        <v>0</v>
      </c>
      <c r="AK31" s="117" t="n">
        <v>0</v>
      </c>
      <c r="AL31" s="117" t="n">
        <v>0</v>
      </c>
      <c r="AM31" s="117" t="n">
        <v>0</v>
      </c>
      <c r="AN31" s="116" t="n">
        <v>0</v>
      </c>
      <c r="AO31" s="119">
        <f>SUM(AC31:AH31)+SUM(AI31:AN31)</f>
        <v/>
      </c>
      <c r="AP31" s="120">
        <f>IF(AB31&lt;&gt;0,(AO31-AB31)/ABS(AB31),0)</f>
        <v/>
      </c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/>
      <c r="O32" s="36" t="n"/>
      <c r="P32" s="36" t="n"/>
      <c r="Q32" s="36" t="n"/>
      <c r="R32" s="36" t="n"/>
      <c r="S32" s="36" t="n"/>
      <c r="T32" s="36" t="n"/>
      <c r="U32" s="36" t="n"/>
      <c r="V32" s="37" t="n"/>
      <c r="W32" s="37" t="n"/>
      <c r="X32" s="37" t="n"/>
      <c r="Y32" s="37" t="n"/>
      <c r="Z32" s="37" t="n"/>
      <c r="AA32" s="35" t="n"/>
      <c r="AB32" s="35" t="n"/>
      <c r="AC32" s="37" t="n"/>
      <c r="AD32" s="37" t="n"/>
      <c r="AE32" s="37" t="n"/>
      <c r="AF32" s="37" t="n"/>
      <c r="AG32" s="37" t="n"/>
      <c r="AH32" s="37" t="n"/>
      <c r="AI32" s="116" t="n">
        <v>0</v>
      </c>
      <c r="AJ32" s="117" t="n">
        <v>0</v>
      </c>
      <c r="AK32" s="117" t="n">
        <v>0</v>
      </c>
      <c r="AL32" s="117" t="n">
        <v>0</v>
      </c>
      <c r="AM32" s="117" t="n">
        <v>0</v>
      </c>
      <c r="AN32" s="116" t="n">
        <v>0</v>
      </c>
      <c r="AO32" s="119">
        <f>SUM(AC32:AH32)+SUM(AI32:AN32)</f>
        <v/>
      </c>
      <c r="AP32" s="120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/>
      <c r="P33" s="36" t="n"/>
      <c r="Q33" s="36" t="n"/>
      <c r="R33" s="36" t="n"/>
      <c r="S33" s="36" t="n"/>
      <c r="T33" s="36" t="n"/>
      <c r="U33" s="36" t="n"/>
      <c r="V33" s="37" t="n"/>
      <c r="W33" s="37" t="n"/>
      <c r="X33" s="37" t="n"/>
      <c r="Y33" s="37" t="n"/>
      <c r="Z33" s="37" t="n"/>
      <c r="AA33" s="35" t="n"/>
      <c r="AB33" s="35" t="n"/>
      <c r="AC33" s="37" t="n"/>
      <c r="AD33" s="37" t="n"/>
      <c r="AE33" s="37" t="n"/>
      <c r="AF33" s="37" t="n"/>
      <c r="AG33" s="37" t="n"/>
      <c r="AH33" s="37" t="n"/>
      <c r="AI33" s="116" t="n">
        <v>0</v>
      </c>
      <c r="AJ33" s="117" t="n">
        <v>0</v>
      </c>
      <c r="AK33" s="117" t="n">
        <v>0</v>
      </c>
      <c r="AL33" s="117" t="n">
        <v>0</v>
      </c>
      <c r="AM33" s="117" t="n">
        <v>0</v>
      </c>
      <c r="AN33" s="116" t="n">
        <v>0</v>
      </c>
      <c r="AO33" s="119">
        <f>SUM(AC33:AH33)+SUM(AI33:AN33)</f>
        <v/>
      </c>
      <c r="AP33" s="120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/>
      <c r="O34" s="43" t="n"/>
      <c r="P34" s="43" t="n"/>
      <c r="Q34" s="43" t="n"/>
      <c r="R34" s="43" t="n"/>
      <c r="S34" s="43" t="n"/>
      <c r="T34" s="43" t="n"/>
      <c r="U34" s="43" t="n"/>
      <c r="V34" s="44" t="n"/>
      <c r="W34" s="44" t="n"/>
      <c r="X34" s="44" t="n"/>
      <c r="Y34" s="44" t="n"/>
      <c r="Z34" s="44" t="n"/>
      <c r="AA34" s="42" t="n"/>
      <c r="AB34" s="42" t="n"/>
      <c r="AC34" s="44" t="n"/>
      <c r="AD34" s="44" t="n"/>
      <c r="AE34" s="44" t="n"/>
      <c r="AF34" s="44" t="n"/>
      <c r="AG34" s="44" t="n"/>
      <c r="AH34" s="44" t="n"/>
      <c r="AI34" s="116" t="n">
        <v>0</v>
      </c>
      <c r="AJ34" s="121" t="n">
        <v>0</v>
      </c>
      <c r="AK34" s="121" t="n">
        <v>0</v>
      </c>
      <c r="AL34" s="121" t="n">
        <v>0</v>
      </c>
      <c r="AM34" s="121" t="n">
        <v>0</v>
      </c>
      <c r="AN34" s="116" t="n">
        <v>0</v>
      </c>
      <c r="AO34" s="122">
        <f>SUM(AC34:AH34)+SUM(AI34:AN34)</f>
        <v/>
      </c>
      <c r="AP34" s="123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/>
      <c r="AB35" s="35" t="n"/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5" t="n"/>
      <c r="AN35" s="39" t="n"/>
      <c r="AO35" s="91" t="n"/>
      <c r="AP35" s="91" t="n"/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/>
      <c r="O36" s="36" t="n"/>
      <c r="P36" s="36" t="n"/>
      <c r="Q36" s="36" t="n"/>
      <c r="R36" s="36" t="n"/>
      <c r="S36" s="36" t="n"/>
      <c r="T36" s="36" t="n"/>
      <c r="U36" s="36" t="n"/>
      <c r="V36" s="37" t="n"/>
      <c r="W36" s="37" t="n"/>
      <c r="X36" s="37" t="n"/>
      <c r="Y36" s="37" t="n"/>
      <c r="Z36" s="37" t="n"/>
      <c r="AA36" s="35" t="n"/>
      <c r="AB36" s="35" t="n"/>
      <c r="AC36" s="37" t="n"/>
      <c r="AD36" s="37" t="n"/>
      <c r="AE36" s="37" t="n"/>
      <c r="AF36" s="37" t="n"/>
      <c r="AG36" s="37" t="n"/>
      <c r="AH36" s="37" t="n"/>
      <c r="AI36" s="116" t="n">
        <v>0</v>
      </c>
      <c r="AJ36" s="117" t="n">
        <v>0</v>
      </c>
      <c r="AK36" s="117" t="n">
        <v>0</v>
      </c>
      <c r="AL36" s="117" t="n">
        <v>0</v>
      </c>
      <c r="AM36" s="117" t="n">
        <v>0</v>
      </c>
      <c r="AN36" s="116" t="n">
        <v>0</v>
      </c>
      <c r="AO36" s="119">
        <f>SUM(AC36:AH36)+SUM(AI36:AN36)</f>
        <v/>
      </c>
      <c r="AP36" s="120">
        <f>IF(AB36&lt;&gt;0,(AO36-AB36)/ABS(AB36),0)</f>
        <v/>
      </c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/>
      <c r="O37" s="36" t="n"/>
      <c r="P37" s="36" t="n"/>
      <c r="Q37" s="36" t="n"/>
      <c r="R37" s="36" t="n"/>
      <c r="S37" s="36" t="n"/>
      <c r="T37" s="36" t="n"/>
      <c r="U37" s="36" t="n"/>
      <c r="V37" s="37" t="n"/>
      <c r="W37" s="37" t="n"/>
      <c r="X37" s="37" t="n"/>
      <c r="Y37" s="37" t="n"/>
      <c r="Z37" s="37" t="n"/>
      <c r="AA37" s="35" t="n"/>
      <c r="AB37" s="35" t="n"/>
      <c r="AC37" s="37" t="n"/>
      <c r="AD37" s="37" t="n"/>
      <c r="AE37" s="37" t="n"/>
      <c r="AF37" s="37" t="n"/>
      <c r="AG37" s="37" t="n"/>
      <c r="AH37" s="37" t="n"/>
      <c r="AI37" s="116" t="n">
        <v>0</v>
      </c>
      <c r="AJ37" s="117" t="n">
        <v>0</v>
      </c>
      <c r="AK37" s="117" t="n">
        <v>0</v>
      </c>
      <c r="AL37" s="117" t="n">
        <v>0</v>
      </c>
      <c r="AM37" s="117" t="n">
        <v>0</v>
      </c>
      <c r="AN37" s="116" t="n">
        <v>0</v>
      </c>
      <c r="AO37" s="119">
        <f>SUM(AC37:AH37)+SUM(AI37:AN37)</f>
        <v/>
      </c>
      <c r="AP37" s="120">
        <f>IF(AB37&lt;&gt;0,(AO37-AB37)/ABS(AB37),0)</f>
        <v/>
      </c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/>
      <c r="O38" s="36" t="n"/>
      <c r="P38" s="36" t="n"/>
      <c r="Q38" s="36" t="n"/>
      <c r="R38" s="36" t="n"/>
      <c r="S38" s="36" t="n"/>
      <c r="T38" s="36" t="n"/>
      <c r="U38" s="36" t="n"/>
      <c r="V38" s="37" t="n"/>
      <c r="W38" s="37" t="n"/>
      <c r="X38" s="37" t="n"/>
      <c r="Y38" s="37" t="n"/>
      <c r="Z38" s="37" t="n"/>
      <c r="AA38" s="35" t="n"/>
      <c r="AB38" s="35" t="n"/>
      <c r="AC38" s="37" t="n"/>
      <c r="AD38" s="37" t="n"/>
      <c r="AE38" s="37" t="n"/>
      <c r="AF38" s="37" t="n"/>
      <c r="AG38" s="37" t="n"/>
      <c r="AH38" s="37" t="n"/>
      <c r="AI38" s="116" t="n">
        <v>0</v>
      </c>
      <c r="AJ38" s="117" t="n">
        <v>0</v>
      </c>
      <c r="AK38" s="117" t="n">
        <v>0</v>
      </c>
      <c r="AL38" s="117" t="n">
        <v>0</v>
      </c>
      <c r="AM38" s="117" t="n">
        <v>0</v>
      </c>
      <c r="AN38" s="116" t="n">
        <v>0</v>
      </c>
      <c r="AO38" s="119">
        <f>SUM(AC38:AH38)+SUM(AI38:AN38)</f>
        <v/>
      </c>
      <c r="AP38" s="120">
        <f>IF(AB38&lt;&gt;0,(AO38-AB38)/ABS(AB38),0)</f>
        <v/>
      </c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/>
      <c r="O39" s="36" t="n"/>
      <c r="P39" s="36" t="n"/>
      <c r="Q39" s="36" t="n"/>
      <c r="R39" s="36" t="n"/>
      <c r="S39" s="36" t="n"/>
      <c r="T39" s="36" t="n"/>
      <c r="U39" s="36" t="n"/>
      <c r="V39" s="37" t="n"/>
      <c r="W39" s="37" t="n"/>
      <c r="X39" s="37" t="n"/>
      <c r="Y39" s="37" t="n"/>
      <c r="Z39" s="37" t="n"/>
      <c r="AA39" s="35" t="n"/>
      <c r="AB39" s="35" t="n"/>
      <c r="AC39" s="37" t="n"/>
      <c r="AD39" s="37" t="n"/>
      <c r="AE39" s="37" t="n"/>
      <c r="AF39" s="37" t="n"/>
      <c r="AG39" s="37" t="n"/>
      <c r="AH39" s="37" t="n"/>
      <c r="AI39" s="116" t="n">
        <v>0</v>
      </c>
      <c r="AJ39" s="117" t="n">
        <v>0</v>
      </c>
      <c r="AK39" s="117" t="n">
        <v>0</v>
      </c>
      <c r="AL39" s="117" t="n">
        <v>0</v>
      </c>
      <c r="AM39" s="117" t="n">
        <v>0</v>
      </c>
      <c r="AN39" s="116" t="n">
        <v>0</v>
      </c>
      <c r="AO39" s="119">
        <f>SUM(AC39:AH39)+SUM(AI39:AN39)</f>
        <v/>
      </c>
      <c r="AP39" s="120">
        <f>IF(AB39&lt;&gt;0,(AO39-AB39)/ABS(AB39),0)</f>
        <v/>
      </c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/>
      <c r="O40" s="36" t="n"/>
      <c r="P40" s="36" t="n"/>
      <c r="Q40" s="36" t="n"/>
      <c r="R40" s="36" t="n"/>
      <c r="S40" s="36" t="n"/>
      <c r="T40" s="36" t="n"/>
      <c r="U40" s="36" t="n"/>
      <c r="V40" s="37" t="n"/>
      <c r="W40" s="37" t="n"/>
      <c r="X40" s="37" t="n"/>
      <c r="Y40" s="37" t="n"/>
      <c r="Z40" s="37" t="n"/>
      <c r="AA40" s="35" t="n"/>
      <c r="AB40" s="35" t="n"/>
      <c r="AC40" s="37" t="n"/>
      <c r="AD40" s="37" t="n"/>
      <c r="AE40" s="37" t="n"/>
      <c r="AF40" s="37" t="n"/>
      <c r="AG40" s="37" t="n"/>
      <c r="AH40" s="37" t="n"/>
      <c r="AI40" s="116" t="n">
        <v>0</v>
      </c>
      <c r="AJ40" s="117" t="n">
        <v>0</v>
      </c>
      <c r="AK40" s="117" t="n">
        <v>0</v>
      </c>
      <c r="AL40" s="117" t="n">
        <v>0</v>
      </c>
      <c r="AM40" s="117" t="n">
        <v>0</v>
      </c>
      <c r="AN40" s="116" t="n">
        <v>0</v>
      </c>
      <c r="AO40" s="119">
        <f>SUM(AC40:AH40)+SUM(AI40:AN40)</f>
        <v/>
      </c>
      <c r="AP40" s="120">
        <f>IF(AB40&lt;&gt;0,(AO40-AB40)/ABS(AB40),0)</f>
        <v/>
      </c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/>
      <c r="O41" s="36" t="n"/>
      <c r="P41" s="36" t="n"/>
      <c r="Q41" s="36" t="n"/>
      <c r="R41" s="36" t="n"/>
      <c r="S41" s="36" t="n"/>
      <c r="T41" s="36" t="n"/>
      <c r="U41" s="36" t="n"/>
      <c r="V41" s="37" t="n"/>
      <c r="W41" s="37" t="n"/>
      <c r="X41" s="37" t="n"/>
      <c r="Y41" s="37" t="n"/>
      <c r="Z41" s="37" t="n"/>
      <c r="AA41" s="35" t="n"/>
      <c r="AB41" s="35" t="n"/>
      <c r="AC41" s="37" t="n"/>
      <c r="AD41" s="37" t="n"/>
      <c r="AE41" s="37" t="n"/>
      <c r="AF41" s="37" t="n"/>
      <c r="AG41" s="37" t="n"/>
      <c r="AH41" s="37" t="n"/>
      <c r="AI41" s="116" t="n">
        <v>0</v>
      </c>
      <c r="AJ41" s="117" t="n">
        <v>0</v>
      </c>
      <c r="AK41" s="117" t="n">
        <v>0</v>
      </c>
      <c r="AL41" s="117" t="n">
        <v>0</v>
      </c>
      <c r="AM41" s="117" t="n">
        <v>0</v>
      </c>
      <c r="AN41" s="116" t="n">
        <v>0</v>
      </c>
      <c r="AO41" s="119">
        <f>SUM(AC41:AH41)+SUM(AI41:AN41)</f>
        <v/>
      </c>
      <c r="AP41" s="120">
        <f>IF(AB41&lt;&gt;0,(AO41-AB41)/ABS(AB41),0)</f>
        <v/>
      </c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/>
      <c r="O42" s="36" t="n"/>
      <c r="P42" s="36" t="n"/>
      <c r="Q42" s="36" t="n"/>
      <c r="R42" s="36" t="n"/>
      <c r="S42" s="36" t="n"/>
      <c r="T42" s="36" t="n"/>
      <c r="U42" s="36" t="n"/>
      <c r="V42" s="37" t="n"/>
      <c r="W42" s="37" t="n"/>
      <c r="X42" s="37" t="n"/>
      <c r="Y42" s="37" t="n"/>
      <c r="Z42" s="37" t="n"/>
      <c r="AA42" s="35" t="n"/>
      <c r="AB42" s="35" t="n"/>
      <c r="AC42" s="37" t="n"/>
      <c r="AD42" s="37" t="n"/>
      <c r="AE42" s="37" t="n"/>
      <c r="AF42" s="37" t="n"/>
      <c r="AG42" s="37" t="n"/>
      <c r="AH42" s="37" t="n"/>
      <c r="AI42" s="116" t="n">
        <v>0</v>
      </c>
      <c r="AJ42" s="117" t="n">
        <v>0</v>
      </c>
      <c r="AK42" s="117" t="n">
        <v>0</v>
      </c>
      <c r="AL42" s="117" t="n">
        <v>0</v>
      </c>
      <c r="AM42" s="117" t="n">
        <v>0</v>
      </c>
      <c r="AN42" s="116" t="n">
        <v>0</v>
      </c>
      <c r="AO42" s="119">
        <f>SUM(AC42:AH42)+SUM(AI42:AN42)</f>
        <v/>
      </c>
      <c r="AP42" s="120">
        <f>IF(AB42&lt;&gt;0,(AO42-AB42)/ABS(AB42),0)</f>
        <v/>
      </c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/>
      <c r="O43" s="36" t="n"/>
      <c r="P43" s="36" t="n"/>
      <c r="Q43" s="36" t="n"/>
      <c r="R43" s="36" t="n"/>
      <c r="S43" s="36" t="n"/>
      <c r="T43" s="36" t="n"/>
      <c r="U43" s="36" t="n"/>
      <c r="V43" s="37" t="n"/>
      <c r="W43" s="37" t="n"/>
      <c r="X43" s="37" t="n"/>
      <c r="Y43" s="37" t="n"/>
      <c r="Z43" s="37" t="n"/>
      <c r="AA43" s="35" t="n"/>
      <c r="AB43" s="35" t="n"/>
      <c r="AC43" s="37" t="n"/>
      <c r="AD43" s="37" t="n"/>
      <c r="AE43" s="37" t="n"/>
      <c r="AF43" s="37" t="n"/>
      <c r="AG43" s="37" t="n"/>
      <c r="AH43" s="37" t="n"/>
      <c r="AI43" s="116" t="n">
        <v>0</v>
      </c>
      <c r="AJ43" s="117" t="n">
        <v>0</v>
      </c>
      <c r="AK43" s="117" t="n">
        <v>0</v>
      </c>
      <c r="AL43" s="117" t="n">
        <v>0</v>
      </c>
      <c r="AM43" s="117" t="n">
        <v>0</v>
      </c>
      <c r="AN43" s="116" t="n">
        <v>0</v>
      </c>
      <c r="AO43" s="119">
        <f>SUM(AC43:AH43)+SUM(AI43:AN43)</f>
        <v/>
      </c>
      <c r="AP43" s="120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/>
      <c r="P44" s="36" t="n"/>
      <c r="Q44" s="36" t="n"/>
      <c r="R44" s="36" t="n"/>
      <c r="S44" s="36" t="n"/>
      <c r="T44" s="36" t="n"/>
      <c r="U44" s="36" t="n"/>
      <c r="V44" s="37" t="n"/>
      <c r="W44" s="37" t="n"/>
      <c r="X44" s="37" t="n"/>
      <c r="Y44" s="37" t="n"/>
      <c r="Z44" s="37" t="n"/>
      <c r="AA44" s="35" t="n"/>
      <c r="AB44" s="35" t="n"/>
      <c r="AC44" s="37" t="n"/>
      <c r="AD44" s="37" t="n"/>
      <c r="AE44" s="37" t="n"/>
      <c r="AF44" s="37" t="n"/>
      <c r="AG44" s="37" t="n"/>
      <c r="AH44" s="37" t="n"/>
      <c r="AI44" s="116" t="n">
        <v>0</v>
      </c>
      <c r="AJ44" s="117" t="n">
        <v>0</v>
      </c>
      <c r="AK44" s="117" t="n">
        <v>0</v>
      </c>
      <c r="AL44" s="117" t="n">
        <v>0</v>
      </c>
      <c r="AM44" s="117" t="n">
        <v>0</v>
      </c>
      <c r="AN44" s="116" t="n">
        <v>0</v>
      </c>
      <c r="AO44" s="119">
        <f>SUM(AC44:AH44)+SUM(AI44:AN44)</f>
        <v/>
      </c>
      <c r="AP44" s="120">
        <f>IF(AB44&lt;&gt;0,(AO44-AB44)/ABS(AB44),0)</f>
        <v/>
      </c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/>
      <c r="O45" s="36" t="n"/>
      <c r="P45" s="36" t="n"/>
      <c r="Q45" s="36" t="n"/>
      <c r="R45" s="36" t="n"/>
      <c r="S45" s="36" t="n"/>
      <c r="T45" s="36" t="n"/>
      <c r="U45" s="36" t="n"/>
      <c r="V45" s="37" t="n"/>
      <c r="W45" s="37" t="n"/>
      <c r="X45" s="37" t="n"/>
      <c r="Y45" s="37" t="n"/>
      <c r="Z45" s="37" t="n"/>
      <c r="AA45" s="35" t="n"/>
      <c r="AB45" s="35" t="n"/>
      <c r="AC45" s="37" t="n"/>
      <c r="AD45" s="37" t="n"/>
      <c r="AE45" s="37" t="n"/>
      <c r="AF45" s="37" t="n"/>
      <c r="AG45" s="37" t="n"/>
      <c r="AH45" s="37" t="n"/>
      <c r="AI45" s="116" t="n">
        <v>0</v>
      </c>
      <c r="AJ45" s="117" t="n">
        <v>0</v>
      </c>
      <c r="AK45" s="117" t="n">
        <v>0</v>
      </c>
      <c r="AL45" s="117" t="n">
        <v>0</v>
      </c>
      <c r="AM45" s="117" t="n">
        <v>0</v>
      </c>
      <c r="AN45" s="116" t="n">
        <v>0</v>
      </c>
      <c r="AO45" s="119">
        <f>SUM(AC45:AH45)+SUM(AI45:AN45)</f>
        <v/>
      </c>
      <c r="AP45" s="120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/>
      <c r="O46" s="36" t="n"/>
      <c r="P46" s="36" t="n"/>
      <c r="Q46" s="36" t="n"/>
      <c r="R46" s="36" t="n"/>
      <c r="S46" s="36" t="n"/>
      <c r="T46" s="36" t="n"/>
      <c r="U46" s="36" t="n"/>
      <c r="V46" s="37" t="n"/>
      <c r="W46" s="37" t="n"/>
      <c r="X46" s="37" t="n"/>
      <c r="Y46" s="37" t="n"/>
      <c r="Z46" s="37" t="n"/>
      <c r="AA46" s="35" t="n"/>
      <c r="AB46" s="35" t="n"/>
      <c r="AC46" s="37" t="n"/>
      <c r="AD46" s="37" t="n"/>
      <c r="AE46" s="37" t="n"/>
      <c r="AF46" s="37" t="n"/>
      <c r="AG46" s="37" t="n"/>
      <c r="AH46" s="37" t="n"/>
      <c r="AI46" s="116" t="n">
        <v>0</v>
      </c>
      <c r="AJ46" s="117" t="n">
        <v>0</v>
      </c>
      <c r="AK46" s="117" t="n">
        <v>0</v>
      </c>
      <c r="AL46" s="117" t="n">
        <v>0</v>
      </c>
      <c r="AM46" s="117" t="n">
        <v>0</v>
      </c>
      <c r="AN46" s="116" t="n">
        <v>0</v>
      </c>
      <c r="AO46" s="119">
        <f>SUM(AC46:AH46)+SUM(AI46:AN46)</f>
        <v/>
      </c>
      <c r="AP46" s="120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96923.23999999999</v>
      </c>
      <c r="G47" s="41" t="n">
        <v>101096.97</v>
      </c>
      <c r="H47" s="41" t="n">
        <v>91871.87000000002</v>
      </c>
      <c r="I47" s="41" t="n">
        <v>90463.60999999999</v>
      </c>
      <c r="J47" s="41" t="n">
        <v>83945.06</v>
      </c>
      <c r="K47" s="41" t="n">
        <v>90760.58</v>
      </c>
      <c r="L47" s="41" t="n">
        <v>84121.7</v>
      </c>
      <c r="M47" s="41" t="n">
        <v>86490.11</v>
      </c>
      <c r="N47" s="42" t="n"/>
      <c r="O47" s="43" t="n"/>
      <c r="P47" s="43" t="n"/>
      <c r="Q47" s="43" t="n"/>
      <c r="R47" s="43" t="n"/>
      <c r="S47" s="43" t="n"/>
      <c r="T47" s="43" t="n"/>
      <c r="U47" s="43" t="n"/>
      <c r="V47" s="44" t="n"/>
      <c r="W47" s="44" t="n"/>
      <c r="X47" s="44" t="n"/>
      <c r="Y47" s="44" t="n"/>
      <c r="Z47" s="44" t="n"/>
      <c r="AA47" s="42" t="n"/>
      <c r="AB47" s="42" t="n"/>
      <c r="AC47" s="44" t="n"/>
      <c r="AD47" s="44" t="n"/>
      <c r="AE47" s="44" t="n"/>
      <c r="AF47" s="44" t="n"/>
      <c r="AG47" s="44" t="n"/>
      <c r="AH47" s="44" t="n"/>
      <c r="AI47" s="116" t="n">
        <v>0</v>
      </c>
      <c r="AJ47" s="121" t="n">
        <v>0</v>
      </c>
      <c r="AK47" s="121" t="n">
        <v>0</v>
      </c>
      <c r="AL47" s="121" t="n">
        <v>0</v>
      </c>
      <c r="AM47" s="121" t="n">
        <v>0</v>
      </c>
      <c r="AN47" s="116" t="n">
        <v>0</v>
      </c>
      <c r="AO47" s="122">
        <f>SUM(AC47:AH47)+SUM(AI47:AN47)</f>
        <v/>
      </c>
      <c r="AP47" s="123">
        <f>IF(AB47&lt;&gt;0,(AO47-AB47)/ABS(AB47),0)</f>
        <v/>
      </c>
    </row>
    <row r="48" ht="15.75" customHeight="1">
      <c r="A48" s="95" t="inlineStr">
        <is>
          <t>Total Direct Costs</t>
        </is>
      </c>
      <c r="B48" s="96" t="n">
        <v>593308.08</v>
      </c>
      <c r="C48" s="96" t="n">
        <v>601457.04</v>
      </c>
      <c r="D48" s="96" t="n">
        <v>595179.59</v>
      </c>
      <c r="E48" s="96" t="n">
        <v>657683.8300000001</v>
      </c>
      <c r="F48" s="96" t="n">
        <v>657881.76</v>
      </c>
      <c r="G48" s="96" t="n">
        <v>641450.24</v>
      </c>
      <c r="H48" s="96" t="n">
        <v>670848.8300000001</v>
      </c>
      <c r="I48" s="96" t="n">
        <v>623265.5700000001</v>
      </c>
      <c r="J48" s="96" t="n">
        <v>643907.0899999999</v>
      </c>
      <c r="K48" s="96" t="n">
        <v>658803.66</v>
      </c>
      <c r="L48" s="96" t="n">
        <v>623280.2899999999</v>
      </c>
      <c r="M48" s="96" t="n">
        <v>631531.24</v>
      </c>
      <c r="N48" s="42" t="n"/>
      <c r="O48" s="97" t="n"/>
      <c r="P48" s="97" t="n"/>
      <c r="Q48" s="97" t="n"/>
      <c r="R48" s="97" t="n"/>
      <c r="S48" s="97" t="n"/>
      <c r="T48" s="97" t="n"/>
      <c r="U48" s="97" t="n"/>
      <c r="V48" s="98" t="n"/>
      <c r="W48" s="98" t="n"/>
      <c r="X48" s="98" t="n"/>
      <c r="Y48" s="98" t="n"/>
      <c r="Z48" s="98" t="n"/>
      <c r="AA48" s="42" t="n"/>
      <c r="AB48" s="42" t="n"/>
      <c r="AC48" s="98" t="n"/>
      <c r="AD48" s="98" t="n"/>
      <c r="AE48" s="98" t="n"/>
      <c r="AF48" s="98" t="n"/>
      <c r="AG48" s="98" t="n"/>
      <c r="AH48" s="98" t="n"/>
      <c r="AI48" s="125" t="n">
        <v>0</v>
      </c>
      <c r="AJ48" s="139" t="n">
        <v>0</v>
      </c>
      <c r="AK48" s="139" t="n">
        <v>0</v>
      </c>
      <c r="AL48" s="139" t="n">
        <v>0</v>
      </c>
      <c r="AM48" s="139" t="n">
        <v>0</v>
      </c>
      <c r="AN48" s="125" t="n">
        <v>0</v>
      </c>
      <c r="AO48" s="122">
        <f>SUM(AC48:AH48)+SUM(AI48:AN48)</f>
        <v/>
      </c>
      <c r="AP48" s="123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/>
      <c r="AB49" s="99" t="n"/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5" t="n"/>
      <c r="AN49" s="39" t="n"/>
      <c r="AO49" s="91" t="n"/>
      <c r="AP49" s="91" t="n"/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308137.9299999997</v>
      </c>
      <c r="F50" s="54" t="n">
        <v>198014.5800000001</v>
      </c>
      <c r="G50" s="54" t="n">
        <v>340460.8300000001</v>
      </c>
      <c r="H50" s="54" t="n">
        <v>618330.7199999997</v>
      </c>
      <c r="I50" s="54" t="n">
        <v>141509.5499999999</v>
      </c>
      <c r="J50" s="54" t="n">
        <v>119024.2300000001</v>
      </c>
      <c r="K50" s="54" t="n">
        <v>137562.37</v>
      </c>
      <c r="L50" s="54" t="n">
        <v>324270.7100000001</v>
      </c>
      <c r="M50" s="54" t="n">
        <v>536706.72</v>
      </c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54" t="n"/>
      <c r="Y50" s="54" t="n"/>
      <c r="Z50" s="54" t="n"/>
      <c r="AA50" s="54" t="n"/>
      <c r="AB50" s="100" t="n"/>
      <c r="AC50" s="54" t="n"/>
      <c r="AD50" s="54" t="n"/>
      <c r="AE50" s="54" t="n"/>
      <c r="AF50" s="54" t="n"/>
      <c r="AG50" s="54" t="n"/>
      <c r="AH50" s="54" t="n"/>
      <c r="AI50" s="125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5" t="n">
        <v>0</v>
      </c>
      <c r="AO50" s="140">
        <f>SUM(AC50:AH50)+SUM(AI50:AN50)</f>
        <v/>
      </c>
      <c r="AP50" s="120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/>
      <c r="AB51" s="35" t="n"/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1" t="n"/>
      <c r="AP51" s="91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/>
      <c r="AB52" s="35" t="n"/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1" t="n"/>
      <c r="AP52" s="91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/>
      <c r="O53" s="36" t="n"/>
      <c r="P53" s="36" t="n"/>
      <c r="Q53" s="36" t="n"/>
      <c r="R53" s="36" t="n"/>
      <c r="S53" s="36" t="n"/>
      <c r="T53" s="36" t="n"/>
      <c r="U53" s="36" t="n"/>
      <c r="V53" s="37" t="n"/>
      <c r="W53" s="37" t="n"/>
      <c r="X53" s="37" t="n"/>
      <c r="Y53" s="37" t="n"/>
      <c r="Z53" s="102" t="n"/>
      <c r="AA53" s="35" t="n"/>
      <c r="AB53" s="35" t="n"/>
      <c r="AC53" s="37" t="n"/>
      <c r="AD53" s="37" t="n"/>
      <c r="AE53" s="37" t="n"/>
      <c r="AF53" s="37" t="n"/>
      <c r="AG53" s="37" t="n"/>
      <c r="AH53" s="37" t="n"/>
      <c r="AI53" s="116" t="n">
        <v>0</v>
      </c>
      <c r="AJ53" s="117" t="n">
        <v>0</v>
      </c>
      <c r="AK53" s="117" t="n">
        <v>0</v>
      </c>
      <c r="AL53" s="117" t="n">
        <v>0</v>
      </c>
      <c r="AM53" s="117" t="n">
        <v>0</v>
      </c>
      <c r="AN53" s="116" t="n">
        <v>0</v>
      </c>
      <c r="AO53" s="119">
        <f>SUM(AC53:AH53)+SUM(AI53:AN53)</f>
        <v/>
      </c>
      <c r="AP53" s="120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/>
      <c r="O54" s="36" t="n"/>
      <c r="P54" s="36" t="n"/>
      <c r="Q54" s="36" t="n"/>
      <c r="R54" s="36" t="n"/>
      <c r="S54" s="36" t="n"/>
      <c r="T54" s="36" t="n"/>
      <c r="U54" s="36" t="n"/>
      <c r="V54" s="37" t="n"/>
      <c r="W54" s="37" t="n"/>
      <c r="X54" s="37" t="n"/>
      <c r="Y54" s="37" t="n"/>
      <c r="Z54" s="37" t="n"/>
      <c r="AA54" s="35" t="n"/>
      <c r="AB54" s="35" t="n"/>
      <c r="AC54" s="37" t="n"/>
      <c r="AD54" s="37" t="n"/>
      <c r="AE54" s="37" t="n"/>
      <c r="AF54" s="37" t="n"/>
      <c r="AG54" s="37" t="n"/>
      <c r="AH54" s="37" t="n"/>
      <c r="AI54" s="116" t="n">
        <v>0</v>
      </c>
      <c r="AJ54" s="117" t="n">
        <v>0</v>
      </c>
      <c r="AK54" s="117" t="n">
        <v>0</v>
      </c>
      <c r="AL54" s="117" t="n">
        <v>0</v>
      </c>
      <c r="AM54" s="117" t="n">
        <v>0</v>
      </c>
      <c r="AN54" s="116" t="n">
        <v>0</v>
      </c>
      <c r="AO54" s="119">
        <f>SUM(AC54:AH54)+SUM(AI54:AN54)</f>
        <v/>
      </c>
      <c r="AP54" s="120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/>
      <c r="O55" s="36" t="n"/>
      <c r="P55" s="36" t="n"/>
      <c r="Q55" s="36" t="n"/>
      <c r="R55" s="36" t="n"/>
      <c r="S55" s="36" t="n"/>
      <c r="T55" s="36" t="n"/>
      <c r="U55" s="36" t="n"/>
      <c r="V55" s="37" t="n"/>
      <c r="W55" s="37" t="n"/>
      <c r="X55" s="37" t="n"/>
      <c r="Y55" s="37" t="n"/>
      <c r="Z55" s="37" t="n"/>
      <c r="AA55" s="35" t="n"/>
      <c r="AB55" s="35" t="n"/>
      <c r="AC55" s="37" t="n"/>
      <c r="AD55" s="37" t="n"/>
      <c r="AE55" s="37" t="n"/>
      <c r="AF55" s="37" t="n"/>
      <c r="AG55" s="37" t="n"/>
      <c r="AH55" s="37" t="n"/>
      <c r="AI55" s="116" t="n">
        <v>0</v>
      </c>
      <c r="AJ55" s="117" t="n">
        <v>0</v>
      </c>
      <c r="AK55" s="117" t="n">
        <v>0</v>
      </c>
      <c r="AL55" s="117" t="n">
        <v>0</v>
      </c>
      <c r="AM55" s="117" t="n">
        <v>0</v>
      </c>
      <c r="AN55" s="116" t="n">
        <v>0</v>
      </c>
      <c r="AO55" s="119">
        <f>SUM(AC55:AH55)+SUM(AI55:AN55)</f>
        <v/>
      </c>
      <c r="AP55" s="120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/>
      <c r="O56" s="36" t="n"/>
      <c r="P56" s="36" t="n"/>
      <c r="Q56" s="36" t="n"/>
      <c r="R56" s="36" t="n"/>
      <c r="S56" s="36" t="n"/>
      <c r="T56" s="36" t="n"/>
      <c r="U56" s="36" t="n"/>
      <c r="V56" s="37" t="n"/>
      <c r="W56" s="37" t="n"/>
      <c r="X56" s="37" t="n"/>
      <c r="Y56" s="37" t="n"/>
      <c r="Z56" s="37" t="n"/>
      <c r="AA56" s="35" t="n"/>
      <c r="AB56" s="35" t="n"/>
      <c r="AC56" s="37" t="n"/>
      <c r="AD56" s="37" t="n"/>
      <c r="AE56" s="37" t="n"/>
      <c r="AF56" s="37" t="n"/>
      <c r="AG56" s="37" t="n"/>
      <c r="AH56" s="37" t="n"/>
      <c r="AI56" s="116" t="n">
        <v>0</v>
      </c>
      <c r="AJ56" s="117" t="n">
        <v>0</v>
      </c>
      <c r="AK56" s="117" t="n">
        <v>0</v>
      </c>
      <c r="AL56" s="117" t="n">
        <v>0</v>
      </c>
      <c r="AM56" s="117" t="n">
        <v>0</v>
      </c>
      <c r="AN56" s="116" t="n">
        <v>0</v>
      </c>
      <c r="AO56" s="119">
        <f>SUM(AC56:AH56)+SUM(AI56:AN56)</f>
        <v/>
      </c>
      <c r="AP56" s="120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/>
      <c r="O57" s="36" t="n"/>
      <c r="P57" s="36" t="n"/>
      <c r="Q57" s="36" t="n"/>
      <c r="R57" s="36" t="n"/>
      <c r="S57" s="36" t="n"/>
      <c r="T57" s="36" t="n"/>
      <c r="U57" s="36" t="n"/>
      <c r="V57" s="37" t="n"/>
      <c r="W57" s="37" t="n"/>
      <c r="X57" s="37" t="n"/>
      <c r="Y57" s="37" t="n"/>
      <c r="Z57" s="37" t="n"/>
      <c r="AA57" s="35" t="n"/>
      <c r="AB57" s="35" t="n"/>
      <c r="AC57" s="37" t="n"/>
      <c r="AD57" s="37" t="n"/>
      <c r="AE57" s="37" t="n"/>
      <c r="AF57" s="37" t="n"/>
      <c r="AG57" s="37" t="n"/>
      <c r="AH57" s="37" t="n"/>
      <c r="AI57" s="116" t="n">
        <v>0</v>
      </c>
      <c r="AJ57" s="117" t="n">
        <v>0</v>
      </c>
      <c r="AK57" s="117" t="n">
        <v>0</v>
      </c>
      <c r="AL57" s="117" t="n">
        <v>0</v>
      </c>
      <c r="AM57" s="117" t="n">
        <v>0</v>
      </c>
      <c r="AN57" s="116" t="n">
        <v>0</v>
      </c>
      <c r="AO57" s="119">
        <f>SUM(AC57:AH57)+SUM(AI57:AN57)</f>
        <v/>
      </c>
      <c r="AP57" s="120">
        <f>IF(AB57&lt;&gt;0,(AO57-AB57)/ABS(AB57),0)</f>
        <v/>
      </c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/>
      <c r="O58" s="36" t="n"/>
      <c r="P58" s="36" t="n"/>
      <c r="Q58" s="36" t="n"/>
      <c r="R58" s="36" t="n"/>
      <c r="S58" s="36" t="n"/>
      <c r="T58" s="36" t="n"/>
      <c r="U58" s="36" t="n"/>
      <c r="V58" s="37" t="n"/>
      <c r="W58" s="37" t="n"/>
      <c r="X58" s="37" t="n"/>
      <c r="Y58" s="37" t="n"/>
      <c r="Z58" s="37" t="n"/>
      <c r="AA58" s="35" t="n"/>
      <c r="AB58" s="35" t="n"/>
      <c r="AC58" s="37" t="n"/>
      <c r="AD58" s="37" t="n"/>
      <c r="AE58" s="37" t="n"/>
      <c r="AF58" s="37" t="n"/>
      <c r="AG58" s="37" t="n"/>
      <c r="AH58" s="37" t="n"/>
      <c r="AI58" s="116" t="n">
        <v>0</v>
      </c>
      <c r="AJ58" s="117" t="n">
        <v>0</v>
      </c>
      <c r="AK58" s="117" t="n">
        <v>0</v>
      </c>
      <c r="AL58" s="117" t="n">
        <v>0</v>
      </c>
      <c r="AM58" s="117" t="n">
        <v>0</v>
      </c>
      <c r="AN58" s="116" t="n">
        <v>0</v>
      </c>
      <c r="AO58" s="119">
        <f>SUM(AC58:AH58)+SUM(AI58:AN58)</f>
        <v/>
      </c>
      <c r="AP58" s="120">
        <f>IF(AB58&lt;&gt;0,(AO58-AB58)/ABS(AB58),0)</f>
        <v/>
      </c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/>
      <c r="O59" s="36" t="n"/>
      <c r="P59" s="36" t="n"/>
      <c r="Q59" s="36" t="n"/>
      <c r="R59" s="36" t="n"/>
      <c r="S59" s="36" t="n"/>
      <c r="T59" s="36" t="n"/>
      <c r="U59" s="36" t="n"/>
      <c r="V59" s="37" t="n"/>
      <c r="W59" s="37" t="n"/>
      <c r="X59" s="37" t="n"/>
      <c r="Y59" s="37" t="n"/>
      <c r="Z59" s="37" t="n"/>
      <c r="AA59" s="35" t="n"/>
      <c r="AB59" s="35" t="n"/>
      <c r="AC59" s="37" t="n"/>
      <c r="AD59" s="37" t="n"/>
      <c r="AE59" s="37" t="n"/>
      <c r="AF59" s="37" t="n"/>
      <c r="AG59" s="37" t="n"/>
      <c r="AH59" s="37" t="n"/>
      <c r="AI59" s="116" t="n">
        <v>0</v>
      </c>
      <c r="AJ59" s="117" t="n">
        <v>0</v>
      </c>
      <c r="AK59" s="117" t="n">
        <v>0</v>
      </c>
      <c r="AL59" s="117" t="n">
        <v>0</v>
      </c>
      <c r="AM59" s="117" t="n">
        <v>0</v>
      </c>
      <c r="AN59" s="116" t="n">
        <v>0</v>
      </c>
      <c r="AO59" s="119">
        <f>SUM(AC59:AH59)+SUM(AI59:AN59)</f>
        <v/>
      </c>
      <c r="AP59" s="120">
        <f>IF(AB59&lt;&gt;0,(AO59-AB59)/ABS(AB59),0)</f>
        <v/>
      </c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/>
      <c r="O60" s="36" t="n"/>
      <c r="P60" s="36" t="n"/>
      <c r="Q60" s="36" t="n"/>
      <c r="R60" s="36" t="n"/>
      <c r="S60" s="36" t="n"/>
      <c r="T60" s="36" t="n"/>
      <c r="U60" s="36" t="n"/>
      <c r="V60" s="37" t="n"/>
      <c r="W60" s="37" t="n"/>
      <c r="X60" s="37" t="n"/>
      <c r="Y60" s="37" t="n"/>
      <c r="Z60" s="37" t="n"/>
      <c r="AA60" s="35" t="n"/>
      <c r="AB60" s="35" t="n"/>
      <c r="AC60" s="37" t="n"/>
      <c r="AD60" s="37" t="n"/>
      <c r="AE60" s="37" t="n"/>
      <c r="AF60" s="37" t="n"/>
      <c r="AG60" s="37" t="n"/>
      <c r="AH60" s="37" t="n"/>
      <c r="AI60" s="116" t="n">
        <v>0</v>
      </c>
      <c r="AJ60" s="117" t="n">
        <v>0</v>
      </c>
      <c r="AK60" s="117" t="n">
        <v>0</v>
      </c>
      <c r="AL60" s="117" t="n">
        <v>0</v>
      </c>
      <c r="AM60" s="117" t="n">
        <v>0</v>
      </c>
      <c r="AN60" s="116" t="n">
        <v>0</v>
      </c>
      <c r="AO60" s="119">
        <f>SUM(AC60:AH60)+SUM(AI60:AN60)</f>
        <v/>
      </c>
      <c r="AP60" s="120">
        <f>IF(AB60&lt;&gt;0,(AO60-AB60)/ABS(AB60),0)</f>
        <v/>
      </c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/>
      <c r="O61" s="36" t="n"/>
      <c r="P61" s="36" t="n"/>
      <c r="Q61" s="36" t="n"/>
      <c r="R61" s="36" t="n"/>
      <c r="S61" s="36" t="n"/>
      <c r="T61" s="36" t="n"/>
      <c r="U61" s="36" t="n"/>
      <c r="V61" s="37" t="n"/>
      <c r="W61" s="37" t="n"/>
      <c r="X61" s="37" t="n"/>
      <c r="Y61" s="37" t="n"/>
      <c r="Z61" s="37" t="n"/>
      <c r="AA61" s="35" t="n"/>
      <c r="AB61" s="35" t="n"/>
      <c r="AC61" s="37" t="n"/>
      <c r="AD61" s="37" t="n"/>
      <c r="AE61" s="37" t="n"/>
      <c r="AF61" s="37" t="n"/>
      <c r="AG61" s="37" t="n"/>
      <c r="AH61" s="37" t="n"/>
      <c r="AI61" s="116" t="n">
        <v>0</v>
      </c>
      <c r="AJ61" s="117" t="n">
        <v>0</v>
      </c>
      <c r="AK61" s="117" t="n">
        <v>0</v>
      </c>
      <c r="AL61" s="117" t="n">
        <v>0</v>
      </c>
      <c r="AM61" s="117" t="n">
        <v>0</v>
      </c>
      <c r="AN61" s="116" t="n">
        <v>0</v>
      </c>
      <c r="AO61" s="119">
        <f>SUM(AC61:AH61)+SUM(AI61:AN61)</f>
        <v/>
      </c>
      <c r="AP61" s="120">
        <f>IF(AB61&lt;&gt;0,(AO61-AB61)/ABS(AB61),0)</f>
        <v/>
      </c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/>
      <c r="O62" s="36" t="n"/>
      <c r="P62" s="36" t="n"/>
      <c r="Q62" s="36" t="n"/>
      <c r="R62" s="36" t="n"/>
      <c r="S62" s="36" t="n"/>
      <c r="T62" s="36" t="n"/>
      <c r="U62" s="36" t="n"/>
      <c r="V62" s="37" t="n"/>
      <c r="W62" s="37" t="n"/>
      <c r="X62" s="37" t="n"/>
      <c r="Y62" s="37" t="n"/>
      <c r="Z62" s="37" t="n"/>
      <c r="AA62" s="35" t="n"/>
      <c r="AB62" s="35" t="n"/>
      <c r="AC62" s="37" t="n"/>
      <c r="AD62" s="37" t="n"/>
      <c r="AE62" s="37" t="n"/>
      <c r="AF62" s="37" t="n"/>
      <c r="AG62" s="37" t="n"/>
      <c r="AH62" s="37" t="n"/>
      <c r="AI62" s="116" t="n">
        <v>0</v>
      </c>
      <c r="AJ62" s="117" t="n">
        <v>0</v>
      </c>
      <c r="AK62" s="117" t="n">
        <v>0</v>
      </c>
      <c r="AL62" s="117" t="n">
        <v>0</v>
      </c>
      <c r="AM62" s="117" t="n">
        <v>0</v>
      </c>
      <c r="AN62" s="116" t="n">
        <v>0</v>
      </c>
      <c r="AO62" s="119">
        <f>SUM(AC62:AH62)+SUM(AI62:AN62)</f>
        <v/>
      </c>
      <c r="AP62" s="120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/>
      <c r="O63" s="36" t="n"/>
      <c r="P63" s="36" t="n"/>
      <c r="Q63" s="36" t="n"/>
      <c r="R63" s="36" t="n"/>
      <c r="S63" s="36" t="n"/>
      <c r="T63" s="36" t="n"/>
      <c r="U63" s="36" t="n"/>
      <c r="V63" s="37" t="n"/>
      <c r="W63" s="37" t="n"/>
      <c r="X63" s="37" t="n"/>
      <c r="Y63" s="37" t="n"/>
      <c r="Z63" s="37" t="n"/>
      <c r="AA63" s="35" t="n"/>
      <c r="AB63" s="35" t="n"/>
      <c r="AC63" s="37" t="n"/>
      <c r="AD63" s="37" t="n"/>
      <c r="AE63" s="37" t="n"/>
      <c r="AF63" s="37" t="n"/>
      <c r="AG63" s="37" t="n"/>
      <c r="AH63" s="37" t="n"/>
      <c r="AI63" s="116" t="n">
        <v>0</v>
      </c>
      <c r="AJ63" s="117" t="n">
        <v>0</v>
      </c>
      <c r="AK63" s="117" t="n">
        <v>0</v>
      </c>
      <c r="AL63" s="117" t="n">
        <v>0</v>
      </c>
      <c r="AM63" s="117" t="n">
        <v>0</v>
      </c>
      <c r="AN63" s="116" t="n">
        <v>0</v>
      </c>
      <c r="AO63" s="119">
        <f>SUM(AC63:AH63)+SUM(AI63:AN63)</f>
        <v/>
      </c>
      <c r="AP63" s="120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/>
      <c r="P64" s="36" t="n"/>
      <c r="Q64" s="36" t="n"/>
      <c r="R64" s="36" t="n"/>
      <c r="S64" s="36" t="n"/>
      <c r="T64" s="36" t="n"/>
      <c r="U64" s="36" t="n"/>
      <c r="V64" s="37" t="n"/>
      <c r="W64" s="37" t="n"/>
      <c r="X64" s="37" t="n"/>
      <c r="Y64" s="37" t="n"/>
      <c r="Z64" s="37" t="n"/>
      <c r="AA64" s="35" t="n"/>
      <c r="AB64" s="35" t="n"/>
      <c r="AC64" s="37" t="n"/>
      <c r="AD64" s="37" t="n"/>
      <c r="AE64" s="37" t="n"/>
      <c r="AF64" s="37" t="n"/>
      <c r="AG64" s="37" t="n"/>
      <c r="AH64" s="37" t="n"/>
      <c r="AI64" s="116" t="n">
        <v>0</v>
      </c>
      <c r="AJ64" s="117" t="n">
        <v>0</v>
      </c>
      <c r="AK64" s="117" t="n">
        <v>0</v>
      </c>
      <c r="AL64" s="117" t="n">
        <v>0</v>
      </c>
      <c r="AM64" s="117" t="n">
        <v>0</v>
      </c>
      <c r="AN64" s="116" t="n">
        <v>0</v>
      </c>
      <c r="AO64" s="119">
        <f>SUM(AC64:AH64)+SUM(AI64:AN64)</f>
        <v/>
      </c>
      <c r="AP64" s="120">
        <f>IF(AB64&lt;&gt;0,(AO64-AB64)/ABS(AB64),0)</f>
        <v/>
      </c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/>
      <c r="O65" s="36" t="n"/>
      <c r="P65" s="36" t="n"/>
      <c r="Q65" s="36" t="n"/>
      <c r="R65" s="36" t="n"/>
      <c r="S65" s="36" t="n"/>
      <c r="T65" s="36" t="n"/>
      <c r="U65" s="36" t="n"/>
      <c r="V65" s="37" t="n"/>
      <c r="W65" s="37" t="n"/>
      <c r="X65" s="37" t="n"/>
      <c r="Y65" s="37" t="n"/>
      <c r="Z65" s="37" t="n"/>
      <c r="AA65" s="35" t="n"/>
      <c r="AB65" s="35" t="n"/>
      <c r="AC65" s="37" t="n"/>
      <c r="AD65" s="37" t="n"/>
      <c r="AE65" s="37" t="n"/>
      <c r="AF65" s="37" t="n"/>
      <c r="AG65" s="37" t="n"/>
      <c r="AH65" s="37" t="n"/>
      <c r="AI65" s="116" t="n">
        <v>0</v>
      </c>
      <c r="AJ65" s="117" t="n">
        <v>0</v>
      </c>
      <c r="AK65" s="117" t="n">
        <v>0</v>
      </c>
      <c r="AL65" s="117" t="n">
        <v>0</v>
      </c>
      <c r="AM65" s="117" t="n">
        <v>0</v>
      </c>
      <c r="AN65" s="116" t="n">
        <v>0</v>
      </c>
      <c r="AO65" s="119">
        <f>SUM(AC65:AH65)+SUM(AI65:AN65)</f>
        <v/>
      </c>
      <c r="AP65" s="120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/>
      <c r="P66" s="36" t="n"/>
      <c r="Q66" s="36" t="n"/>
      <c r="R66" s="36" t="n"/>
      <c r="S66" s="36" t="n"/>
      <c r="T66" s="36" t="n"/>
      <c r="U66" s="36" t="n"/>
      <c r="V66" s="37" t="n"/>
      <c r="W66" s="37" t="n"/>
      <c r="X66" s="37" t="n"/>
      <c r="Y66" s="37" t="n"/>
      <c r="Z66" s="37" t="n"/>
      <c r="AA66" s="35" t="n"/>
      <c r="AB66" s="35" t="n"/>
      <c r="AC66" s="37" t="n"/>
      <c r="AD66" s="37" t="n"/>
      <c r="AE66" s="37" t="n"/>
      <c r="AF66" s="37" t="n"/>
      <c r="AG66" s="37" t="n"/>
      <c r="AH66" s="37" t="n"/>
      <c r="AI66" s="116" t="n">
        <v>0</v>
      </c>
      <c r="AJ66" s="117" t="n">
        <v>0</v>
      </c>
      <c r="AK66" s="117" t="n">
        <v>0</v>
      </c>
      <c r="AL66" s="117" t="n">
        <v>0</v>
      </c>
      <c r="AM66" s="117" t="n">
        <v>0</v>
      </c>
      <c r="AN66" s="116" t="n">
        <v>0</v>
      </c>
      <c r="AO66" s="119">
        <f>SUM(AC66:AH66)+SUM(AI66:AN66)</f>
        <v/>
      </c>
      <c r="AP66" s="120">
        <f>IF(AB66&lt;&gt;0,(AO66-AB66)/ABS(AB66),0)</f>
        <v/>
      </c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/>
      <c r="O67" s="36" t="n"/>
      <c r="P67" s="36" t="n"/>
      <c r="Q67" s="36" t="n"/>
      <c r="R67" s="36" t="n"/>
      <c r="S67" s="36" t="n"/>
      <c r="T67" s="36" t="n"/>
      <c r="U67" s="36" t="n"/>
      <c r="V67" s="37" t="n"/>
      <c r="W67" s="37" t="n"/>
      <c r="X67" s="37" t="n"/>
      <c r="Y67" s="37" t="n"/>
      <c r="Z67" s="37" t="n"/>
      <c r="AA67" s="35" t="n"/>
      <c r="AB67" s="35" t="n"/>
      <c r="AC67" s="37" t="n"/>
      <c r="AD67" s="37" t="n"/>
      <c r="AE67" s="37" t="n"/>
      <c r="AF67" s="37" t="n"/>
      <c r="AG67" s="37" t="n"/>
      <c r="AH67" s="37" t="n"/>
      <c r="AI67" s="116" t="n">
        <v>0</v>
      </c>
      <c r="AJ67" s="117" t="n">
        <v>0</v>
      </c>
      <c r="AK67" s="117" t="n">
        <v>0</v>
      </c>
      <c r="AL67" s="117" t="n">
        <v>0</v>
      </c>
      <c r="AM67" s="117" t="n">
        <v>0</v>
      </c>
      <c r="AN67" s="116" t="n">
        <v>0</v>
      </c>
      <c r="AO67" s="119">
        <f>SUM(AC67:AH67)+SUM(AI67:AN67)</f>
        <v/>
      </c>
      <c r="AP67" s="120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/>
      <c r="O68" s="36" t="n"/>
      <c r="P68" s="36" t="n"/>
      <c r="Q68" s="36" t="n"/>
      <c r="R68" s="36" t="n"/>
      <c r="S68" s="36" t="n"/>
      <c r="T68" s="36" t="n"/>
      <c r="U68" s="36" t="n"/>
      <c r="V68" s="37" t="n"/>
      <c r="W68" s="37" t="n"/>
      <c r="X68" s="37" t="n"/>
      <c r="Y68" s="37" t="n"/>
      <c r="Z68" s="37" t="n"/>
      <c r="AA68" s="35" t="n"/>
      <c r="AB68" s="103" t="n"/>
      <c r="AC68" s="37" t="n"/>
      <c r="AD68" s="37" t="n"/>
      <c r="AE68" s="37" t="n"/>
      <c r="AF68" s="37" t="n"/>
      <c r="AG68" s="37" t="n"/>
      <c r="AH68" s="37" t="n"/>
      <c r="AI68" s="116" t="n">
        <v>0</v>
      </c>
      <c r="AJ68" s="117" t="n">
        <v>0</v>
      </c>
      <c r="AK68" s="117" t="n">
        <v>0</v>
      </c>
      <c r="AL68" s="117" t="n">
        <v>0</v>
      </c>
      <c r="AM68" s="117" t="n">
        <v>0</v>
      </c>
      <c r="AN68" s="116" t="n">
        <v>0</v>
      </c>
      <c r="AO68" s="119">
        <f>SUM(AC68:AH68)+SUM(AI68:AN68)</f>
        <v/>
      </c>
      <c r="AP68" s="120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/>
      <c r="O69" s="43" t="n"/>
      <c r="P69" s="43" t="n"/>
      <c r="Q69" s="43" t="n"/>
      <c r="R69" s="43" t="n"/>
      <c r="S69" s="43" t="n"/>
      <c r="T69" s="43" t="n"/>
      <c r="U69" s="43" t="n"/>
      <c r="V69" s="44" t="n"/>
      <c r="W69" s="44" t="n"/>
      <c r="X69" s="44" t="n"/>
      <c r="Y69" s="44" t="n"/>
      <c r="Z69" s="44" t="n"/>
      <c r="AA69" s="42" t="n"/>
      <c r="AB69" s="42" t="n"/>
      <c r="AC69" s="44" t="n"/>
      <c r="AD69" s="44" t="n"/>
      <c r="AE69" s="44" t="n"/>
      <c r="AF69" s="44" t="n"/>
      <c r="AG69" s="44" t="n"/>
      <c r="AH69" s="44" t="n"/>
      <c r="AI69" s="116" t="n">
        <v>0</v>
      </c>
      <c r="AJ69" s="121" t="n">
        <v>0</v>
      </c>
      <c r="AK69" s="121" t="n">
        <v>0</v>
      </c>
      <c r="AL69" s="121" t="n">
        <v>0</v>
      </c>
      <c r="AM69" s="121" t="n">
        <v>0</v>
      </c>
      <c r="AN69" s="116" t="n">
        <v>0</v>
      </c>
      <c r="AO69" s="122">
        <f>SUM(AC69:AH69)+SUM(AI69:AN69)</f>
        <v/>
      </c>
      <c r="AP69" s="123">
        <f>IF(AB69&lt;&gt;0,(AO69-AB69)/ABS(AB69),0)</f>
        <v/>
      </c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104412.3299999997</v>
      </c>
      <c r="F70" s="54" t="n">
        <v>72948.60000000011</v>
      </c>
      <c r="G70" s="54" t="n">
        <v>198388.9600000001</v>
      </c>
      <c r="H70" s="54" t="n">
        <v>475618.0999999997</v>
      </c>
      <c r="I70" s="54" t="n">
        <v>-16824.51000000004</v>
      </c>
      <c r="J70" s="54" t="n">
        <v>-96262.10999999993</v>
      </c>
      <c r="K70" s="54" t="n">
        <v>-10399.62</v>
      </c>
      <c r="L70" s="54" t="n">
        <v>166737.3400000001</v>
      </c>
      <c r="M70" s="54" t="n">
        <v>47760.69</v>
      </c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125" t="n">
        <v>0</v>
      </c>
      <c r="AJ70" s="125" t="n">
        <v>0</v>
      </c>
      <c r="AK70" s="125" t="n">
        <v>0</v>
      </c>
      <c r="AL70" s="125" t="n">
        <v>0</v>
      </c>
      <c r="AM70" s="125" t="n">
        <v>0</v>
      </c>
      <c r="AN70" s="125" t="n">
        <v>0</v>
      </c>
      <c r="AO70" s="128">
        <f>SUM(AC70:AH70)+SUM(AI70:AN70)</f>
        <v/>
      </c>
      <c r="AP70" s="129">
        <f>IF(AB70&lt;&gt;0,(AO70-AB70)/ABS(AB70),0)</f>
        <v/>
      </c>
      <c r="AQ70" s="130">
        <f>AO70-1300000</f>
        <v/>
      </c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/>
      <c r="AB71" s="55" t="n"/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/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/>
      <c r="AB72" s="55" t="n"/>
      <c r="AC72" s="37" t="n"/>
      <c r="AD72" s="37" t="n"/>
      <c r="AE72" s="37" t="n"/>
      <c r="AF72" s="37" t="n"/>
      <c r="AG72" s="37" t="n"/>
      <c r="AH72" s="37" t="n"/>
      <c r="AI72" s="116" t="n">
        <v>0</v>
      </c>
      <c r="AJ72" s="116" t="n">
        <v>0</v>
      </c>
      <c r="AK72" s="116" t="n">
        <v>0</v>
      </c>
      <c r="AL72" s="116" t="n">
        <v>0</v>
      </c>
      <c r="AM72" s="116" t="n">
        <v>0</v>
      </c>
      <c r="AN72" s="116" t="n">
        <v>0</v>
      </c>
      <c r="AO72" s="141">
        <f>SUM(AC72:AH72)+SUM(AI72:AN72)</f>
        <v/>
      </c>
      <c r="AP72" s="129">
        <f>IF(AB72&lt;&gt;0,(AO72-AB72)/ABS(AB72),0)</f>
        <v/>
      </c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/>
      <c r="AB73" s="55" t="n"/>
      <c r="AC73" s="37" t="n"/>
      <c r="AD73" s="37" t="n"/>
      <c r="AE73" s="37" t="n"/>
      <c r="AF73" s="37" t="n"/>
      <c r="AG73" s="37" t="n"/>
      <c r="AH73" s="37" t="n"/>
      <c r="AI73" s="116" t="n">
        <v>0</v>
      </c>
      <c r="AJ73" s="116" t="n">
        <v>0</v>
      </c>
      <c r="AK73" s="116" t="n">
        <v>0</v>
      </c>
      <c r="AL73" s="116" t="n">
        <v>0</v>
      </c>
      <c r="AM73" s="116" t="n">
        <v>0</v>
      </c>
      <c r="AN73" s="116" t="n">
        <v>0</v>
      </c>
      <c r="AO73" s="141">
        <f>SUM(AC73:AH73)+SUM(AI73:AN73)</f>
        <v/>
      </c>
      <c r="AP73" s="129">
        <f>IF(AB73&lt;&gt;0,(AO73-AB73)/ABS(AB73),0)</f>
        <v/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/>
      <c r="AC74" s="37" t="n"/>
      <c r="AD74" s="37" t="n"/>
      <c r="AE74" s="37" t="n"/>
      <c r="AF74" s="37" t="n"/>
      <c r="AG74" s="37" t="n"/>
      <c r="AH74" s="37" t="n"/>
      <c r="AI74" s="116" t="n">
        <v>0</v>
      </c>
      <c r="AJ74" s="116" t="n">
        <v>0</v>
      </c>
      <c r="AK74" s="116" t="n">
        <v>0</v>
      </c>
      <c r="AL74" s="116" t="n">
        <v>0</v>
      </c>
      <c r="AM74" s="116" t="n">
        <v>0</v>
      </c>
      <c r="AN74" s="116" t="n">
        <v>0</v>
      </c>
      <c r="AO74" s="141">
        <f>SUM(AC74:AH74)+SUM(AI74:AN74)</f>
        <v/>
      </c>
      <c r="AP74" s="129">
        <f>IF(AB74&lt;&gt;0,(AO74-AB74)/ABS(AB74),0)</f>
        <v/>
      </c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/>
      <c r="AC75" s="37" t="n"/>
      <c r="AD75" s="37" t="n"/>
      <c r="AE75" s="37" t="n"/>
      <c r="AF75" s="37" t="n"/>
      <c r="AG75" s="37" t="n"/>
      <c r="AH75" s="37" t="n"/>
      <c r="AI75" s="116" t="n">
        <v>0</v>
      </c>
      <c r="AJ75" s="116" t="n">
        <v>0</v>
      </c>
      <c r="AK75" s="116" t="n">
        <v>0</v>
      </c>
      <c r="AL75" s="116" t="n">
        <v>0</v>
      </c>
      <c r="AM75" s="116" t="n">
        <v>0</v>
      </c>
      <c r="AN75" s="116" t="n">
        <v>0</v>
      </c>
      <c r="AO75" s="141">
        <f>SUM(AC75:AH75)+SUM(AI75:AN75)</f>
        <v/>
      </c>
      <c r="AP75" s="129">
        <f>IF(AB75&lt;&gt;0,(AO75-AB75)/ABS(AB75),0)</f>
        <v/>
      </c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/>
      <c r="AC76" s="37" t="n"/>
      <c r="AD76" s="37" t="n"/>
      <c r="AE76" s="37" t="n"/>
      <c r="AF76" s="37" t="n"/>
      <c r="AG76" s="37" t="n"/>
      <c r="AH76" s="37" t="n"/>
      <c r="AI76" s="116" t="n">
        <v>0</v>
      </c>
      <c r="AJ76" s="116" t="n">
        <v>0</v>
      </c>
      <c r="AK76" s="116" t="n">
        <v>0</v>
      </c>
      <c r="AL76" s="116" t="n">
        <v>0</v>
      </c>
      <c r="AM76" s="116" t="n">
        <v>0</v>
      </c>
      <c r="AN76" s="116" t="n">
        <v>0</v>
      </c>
      <c r="AO76" s="141">
        <f>SUM(AC76:AH76)+SUM(AI76:AN76)</f>
        <v/>
      </c>
      <c r="AP76" s="129">
        <f>IF(AB76&lt;&gt;0,(AO76-AB76)/ABS(AB76),0)</f>
        <v/>
      </c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/>
      <c r="AC77" s="37" t="n"/>
      <c r="AD77" s="37" t="n"/>
      <c r="AE77" s="37" t="n"/>
      <c r="AF77" s="37" t="n"/>
      <c r="AG77" s="37" t="n"/>
      <c r="AH77" s="37" t="n"/>
      <c r="AI77" s="116" t="n">
        <v>0</v>
      </c>
      <c r="AJ77" s="116" t="n">
        <v>0</v>
      </c>
      <c r="AK77" s="116" t="n">
        <v>0</v>
      </c>
      <c r="AL77" s="116" t="n">
        <v>0</v>
      </c>
      <c r="AM77" s="116" t="n">
        <v>0</v>
      </c>
      <c r="AN77" s="116" t="n">
        <v>0</v>
      </c>
      <c r="AO77" s="141">
        <f>SUM(AC77:AH77)+SUM(AI77:AN77)</f>
        <v/>
      </c>
      <c r="AP77" s="129">
        <f>IF(AB77&lt;&gt;0,(AO77-AB77)/ABS(AB77),0)</f>
        <v/>
      </c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/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/>
      <c r="AC78" s="37" t="n"/>
      <c r="AD78" s="37" t="n"/>
      <c r="AE78" s="37" t="n"/>
      <c r="AF78" s="37" t="n"/>
      <c r="AG78" s="37" t="n"/>
      <c r="AH78" s="37" t="n"/>
      <c r="AI78" s="116" t="n">
        <v>0</v>
      </c>
      <c r="AJ78" s="116" t="n">
        <v>0</v>
      </c>
      <c r="AK78" s="116" t="n">
        <v>0</v>
      </c>
      <c r="AL78" s="116" t="n">
        <v>0</v>
      </c>
      <c r="AM78" s="116" t="n">
        <v>0</v>
      </c>
      <c r="AN78" s="116" t="n">
        <v>0</v>
      </c>
      <c r="AO78" s="141">
        <f>SUM(AC78:AH78)+SUM(AI78:AN78)</f>
        <v/>
      </c>
      <c r="AP78" s="129">
        <f>IF(AB78&lt;&gt;0,(AO78-AB78)/ABS(AB78),0)</f>
        <v/>
      </c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/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/>
      <c r="AC79" s="37" t="n"/>
      <c r="AD79" s="37" t="n"/>
      <c r="AE79" s="37" t="n"/>
      <c r="AF79" s="37" t="n"/>
      <c r="AG79" s="37" t="n"/>
      <c r="AH79" s="37" t="n"/>
      <c r="AI79" s="116" t="n">
        <v>0</v>
      </c>
      <c r="AJ79" s="116" t="n">
        <v>0</v>
      </c>
      <c r="AK79" s="116" t="n">
        <v>0</v>
      </c>
      <c r="AL79" s="116" t="n">
        <v>0</v>
      </c>
      <c r="AM79" s="116" t="n">
        <v>0</v>
      </c>
      <c r="AN79" s="116" t="n">
        <v>0</v>
      </c>
      <c r="AO79" s="141">
        <f>SUM(AC79:AH79)+SUM(AI79:AN79)</f>
        <v/>
      </c>
      <c r="AP79" s="129">
        <f>IF(AB79&lt;&gt;0,(AO79-AB79)/ABS(AB79),0)</f>
        <v/>
      </c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/>
      <c r="AC80" s="37" t="n"/>
      <c r="AD80" s="37" t="n"/>
      <c r="AE80" s="37" t="n"/>
      <c r="AF80" s="37" t="n"/>
      <c r="AG80" s="37" t="n"/>
      <c r="AH80" s="37" t="n"/>
    </row>
    <row r="81" ht="15.75" customHeight="1">
      <c r="A81" s="106" t="n"/>
      <c r="B81" s="107" t="n">
        <v>169635.61</v>
      </c>
      <c r="C81" s="107" t="n">
        <v>186626.61</v>
      </c>
      <c r="D81" s="107" t="n">
        <v>338567.7000000001</v>
      </c>
      <c r="E81" s="107" t="n">
        <v>188295.3299999997</v>
      </c>
      <c r="F81" s="107" t="n">
        <v>98787.60000000011</v>
      </c>
      <c r="G81" s="107" t="n">
        <v>250542.7</v>
      </c>
      <c r="H81" s="107" t="n">
        <v>537622.62</v>
      </c>
      <c r="I81" s="107" t="n">
        <v>38607.06999999996</v>
      </c>
      <c r="J81" s="107" t="n">
        <v>82.80000000007567</v>
      </c>
      <c r="K81" s="107" t="n">
        <v>31871.38</v>
      </c>
      <c r="L81" s="107" t="n">
        <v>209008.3400000001</v>
      </c>
      <c r="M81" s="107" t="n">
        <v>388973.69</v>
      </c>
      <c r="N81" s="107" t="n"/>
      <c r="O81" s="107" t="n"/>
      <c r="P81" s="107" t="n"/>
      <c r="Q81" s="107" t="n"/>
      <c r="R81" s="107" t="n"/>
      <c r="S81" s="107" t="n"/>
      <c r="T81" s="107" t="n"/>
      <c r="U81" s="107" t="n"/>
      <c r="V81" s="107" t="n"/>
      <c r="W81" s="107" t="n"/>
      <c r="X81" s="107" t="n"/>
      <c r="Y81" s="107" t="n"/>
      <c r="Z81" s="107" t="n"/>
      <c r="AA81" s="107" t="n"/>
      <c r="AC81" s="107" t="n"/>
      <c r="AD81" s="107" t="n"/>
      <c r="AE81" s="107" t="n"/>
      <c r="AF81" s="107" t="n"/>
      <c r="AG81" s="107" t="n"/>
      <c r="AH81" s="107" t="n"/>
      <c r="AI81" s="125" t="n">
        <v>0</v>
      </c>
      <c r="AJ81" s="125" t="n">
        <v>0</v>
      </c>
      <c r="AK81" s="125" t="n">
        <v>0</v>
      </c>
      <c r="AL81" s="125" t="n">
        <v>0</v>
      </c>
      <c r="AM81" s="125" t="n">
        <v>0</v>
      </c>
      <c r="AN81" s="125" t="n">
        <v>0</v>
      </c>
      <c r="AO81" s="128">
        <f>SUM(AC81:AH81)+SUM(AI81:AN81)</f>
        <v/>
      </c>
      <c r="AP81" s="129">
        <f>IF(AB81&lt;&gt;0,(AO81-AB81)/ABS(AB81),0)</f>
        <v/>
      </c>
    </row>
    <row r="82">
      <c r="A82" s="21" t="n"/>
    </row>
    <row r="83"/>
    <row r="84"/>
    <row r="85">
      <c r="Q85" s="108" t="n"/>
    </row>
    <row r="86"/>
    <row r="87"/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I89" s="132" t="n">
        <v>0</v>
      </c>
      <c r="AJ89" s="132" t="n">
        <v>0</v>
      </c>
      <c r="AK89" s="132" t="n">
        <v>0</v>
      </c>
      <c r="AL89" s="132" t="n">
        <v>0</v>
      </c>
      <c r="AM89" s="132" t="n">
        <v>0</v>
      </c>
      <c r="AN89" s="132" t="n">
        <v>0</v>
      </c>
      <c r="AO89" s="133">
        <f>SUM(AC89:AH89)+SUM(AI89:AN89)</f>
        <v/>
      </c>
      <c r="AP89" s="129">
        <f>IF(AB89&lt;&gt;0,(AO89-AB89)/ABS(AB89),0)</f>
        <v/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I90" s="132" t="n">
        <v>0</v>
      </c>
      <c r="AJ90" s="132" t="n">
        <v>0</v>
      </c>
      <c r="AK90" s="132" t="n">
        <v>0</v>
      </c>
      <c r="AL90" s="132" t="n">
        <v>0</v>
      </c>
      <c r="AM90" s="132" t="n">
        <v>0</v>
      </c>
      <c r="AN90" s="132" t="n">
        <v>0</v>
      </c>
      <c r="AO90" s="133">
        <f>SUM(AC90:AH90)+SUM(AI90:AN90)</f>
        <v/>
      </c>
      <c r="AP90" s="129">
        <f>IF(AB90&lt;&gt;0,(AO90-AB90)/ABS(AB90),0)</f>
        <v/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I91" s="132" t="n">
        <v>0</v>
      </c>
      <c r="AJ91" s="132" t="n">
        <v>0</v>
      </c>
      <c r="AK91" s="132" t="n">
        <v>0</v>
      </c>
      <c r="AL91" s="132" t="n">
        <v>0</v>
      </c>
      <c r="AM91" s="132" t="n">
        <v>0</v>
      </c>
      <c r="AN91" s="132" t="n">
        <v>0</v>
      </c>
      <c r="AO91" s="133">
        <f>SUM(AC91:AH91)+SUM(AI91:AN91)</f>
        <v/>
      </c>
      <c r="AP91" s="129">
        <f>IF(AB91&lt;&gt;0,(AO91-AB91)/ABS(AB91),0)</f>
        <v/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I92" s="132" t="n">
        <v>0</v>
      </c>
      <c r="AJ92" s="132" t="n">
        <v>0</v>
      </c>
      <c r="AK92" s="132" t="n">
        <v>0</v>
      </c>
      <c r="AL92" s="132" t="n">
        <v>0</v>
      </c>
      <c r="AM92" s="132" t="n">
        <v>0</v>
      </c>
      <c r="AN92" s="132" t="n">
        <v>0</v>
      </c>
      <c r="AO92" s="133">
        <f>SUM(AC92:AH92)+SUM(AI92:AN92)</f>
        <v/>
      </c>
      <c r="AP92" s="129">
        <f>IF(AB92&lt;&gt;0,(AO92-AB92)/ABS(AB92),0)</f>
        <v/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I93" s="132" t="n">
        <v>0</v>
      </c>
      <c r="AJ93" s="132" t="n">
        <v>0</v>
      </c>
      <c r="AK93" s="132" t="n">
        <v>0</v>
      </c>
      <c r="AL93" s="132" t="n">
        <v>0</v>
      </c>
      <c r="AM93" s="132" t="n">
        <v>0</v>
      </c>
      <c r="AN93" s="132" t="n">
        <v>0</v>
      </c>
      <c r="AO93" s="133">
        <f>SUM(AC93:AH93)+SUM(AI93:AN93)</f>
        <v/>
      </c>
      <c r="AP93" s="129">
        <f>IF(AB93&lt;&gt;0,(AO93-AB93)/ABS(AB93),0)</f>
        <v/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I94" s="132" t="n">
        <v>0</v>
      </c>
      <c r="AJ94" s="132" t="n">
        <v>0</v>
      </c>
      <c r="AK94" s="132" t="n">
        <v>0</v>
      </c>
      <c r="AL94" s="132" t="n">
        <v>0</v>
      </c>
      <c r="AM94" s="132" t="n">
        <v>0</v>
      </c>
      <c r="AN94" s="132" t="n">
        <v>0</v>
      </c>
      <c r="AO94" s="133">
        <f>SUM(AC94:AH94)+SUM(AI94:AN94)</f>
        <v/>
      </c>
      <c r="AP94" s="129">
        <f>IF(AB94&lt;&gt;0,(AO94-AB94)/ABS(AB94),0)</f>
        <v/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C95" s="63" t="n"/>
      <c r="AD95" s="63" t="n"/>
      <c r="AE95" s="63" t="n"/>
      <c r="AF95" s="63" t="n"/>
      <c r="AG95" s="63" t="n"/>
      <c r="AH95" s="63" t="n"/>
      <c r="AI95" s="116" t="n">
        <v>0</v>
      </c>
      <c r="AJ95" s="116" t="n">
        <v>0</v>
      </c>
      <c r="AK95" s="116" t="n">
        <v>0</v>
      </c>
      <c r="AL95" s="116" t="n">
        <v>0</v>
      </c>
      <c r="AM95" s="116" t="n">
        <v>0</v>
      </c>
      <c r="AN95" s="116" t="n">
        <v>0</v>
      </c>
      <c r="AO95" s="134">
        <f>SUM(AC95:AH95)+SUM(AI95:AN95)</f>
        <v/>
      </c>
      <c r="AP95" s="129">
        <f>IF(AB95&lt;&gt;0,(AO95-AB95)/ABS(AB95),0)</f>
        <v/>
      </c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I96" s="132" t="n">
        <v>0</v>
      </c>
      <c r="AJ96" s="132" t="n">
        <v>0</v>
      </c>
      <c r="AK96" s="132" t="n">
        <v>0</v>
      </c>
      <c r="AL96" s="132" t="n">
        <v>0</v>
      </c>
      <c r="AM96" s="132" t="n">
        <v>0</v>
      </c>
      <c r="AN96" s="132" t="n">
        <v>0</v>
      </c>
      <c r="AO96" s="133">
        <f>SUM(AC96:AH96)+SUM(AI96:AN96)</f>
        <v/>
      </c>
      <c r="AP96" s="12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I98" s="132" t="n">
        <v>0</v>
      </c>
      <c r="AJ98" s="132" t="n">
        <v>0</v>
      </c>
      <c r="AK98" s="132" t="n">
        <v>0</v>
      </c>
      <c r="AL98" s="132" t="n">
        <v>0</v>
      </c>
      <c r="AM98" s="132" t="n">
        <v>0</v>
      </c>
      <c r="AN98" s="132" t="n">
        <v>0</v>
      </c>
      <c r="AO98" s="133">
        <f>SUM(AC98:AH98)+SUM(AI98:AN98)</f>
        <v/>
      </c>
      <c r="AP98" s="129">
        <f>IF(AB98&lt;&gt;0,(AO98-AB98)/ABS(AB98),0)</f>
        <v/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I99" s="132" t="n">
        <v>0</v>
      </c>
      <c r="AJ99" s="132" t="n">
        <v>0</v>
      </c>
      <c r="AK99" s="132" t="n">
        <v>0</v>
      </c>
      <c r="AL99" s="132" t="n">
        <v>0</v>
      </c>
      <c r="AM99" s="132" t="n">
        <v>0</v>
      </c>
      <c r="AN99" s="132" t="n">
        <v>0</v>
      </c>
      <c r="AO99" s="133">
        <f>SUM(AC99:AH99)+SUM(AI99:AN99)</f>
        <v/>
      </c>
      <c r="AP99" s="12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2026-09-16T14:05:08Z</dcterms:created>
  <dcterms:modified xmlns:dcterms="http://purl.org/dc/terms/" xmlns:xsi="http://www.w3.org/2001/XMLSchema-instance" xsi:type="dcterms:W3CDTF">2026-09-16T14:06:59Z</dcterms:modified>
</cp:coreProperties>
</file>