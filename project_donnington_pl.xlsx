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hildren Plan" sheetId="2" state="visible" r:id="rId2"/>
    <sheet xmlns:r="http://schemas.openxmlformats.org/officeDocument/2006/relationships" name="DON P&amp;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sz val="9"/>
    </font>
    <font>
      <b val="1"/>
      <color rgb="001A1A2E"/>
      <sz val="9"/>
    </font>
    <font>
      <i val="1"/>
      <color rgb="00888888"/>
      <sz val="8"/>
    </font>
    <font>
      <b val="1"/>
      <sz val="9"/>
    </font>
    <font>
      <b val="1"/>
      <color rgb="00E74C3C"/>
      <sz val="9"/>
    </font>
    <font>
      <b val="1"/>
      <color rgb="009B59B6"/>
      <sz val="9"/>
    </font>
    <font>
      <i val="1"/>
      <color rgb="00555555"/>
      <sz val="9"/>
    </font>
    <font>
      <b val="1"/>
      <color rgb="00FFFFFF"/>
      <sz val="11"/>
    </font>
    <font>
      <i val="1"/>
      <color rgb="00FFFFFF"/>
      <sz val="8"/>
    </font>
    <font>
      <b val="1"/>
      <i val="1"/>
      <color rgb="00555555"/>
      <sz val="9"/>
    </font>
    <font>
      <color rgb="00000000"/>
      <sz val="9"/>
    </font>
    <font>
      <i val="1"/>
      <color rgb="00888888"/>
      <sz val="9"/>
    </font>
    <font>
      <i val="1"/>
      <color rgb="00C0392B"/>
      <sz val="9"/>
    </font>
    <font>
      <color rgb="00C0392B"/>
      <sz val="9"/>
    </font>
  </fonts>
  <fills count="1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27AE60"/>
      </patternFill>
    </fill>
    <fill>
      <patternFill patternType="solid">
        <fgColor rgb="00FFFDE7"/>
      </patternFill>
    </fill>
    <fill>
      <patternFill patternType="solid">
        <fgColor rgb="00C0392B"/>
      </patternFill>
    </fill>
    <fill>
      <patternFill patternType="solid">
        <fgColor rgb="00D35400"/>
      </patternFill>
    </fill>
    <fill>
      <patternFill patternType="solid">
        <fgColor rgb="001A73E8"/>
      </patternFill>
    </fill>
    <fill>
      <patternFill patternType="solid">
        <fgColor rgb="006C3483"/>
      </patternFill>
    </fill>
    <fill>
      <patternFill patternType="solid">
        <fgColor rgb="002C3E50"/>
      </patternFill>
    </fill>
    <fill>
      <patternFill patternType="solid">
        <fgColor rgb="00F8F9FA"/>
      </patternFill>
    </fill>
    <fill>
      <patternFill patternType="solid">
        <fgColor rgb="00F0FFF4"/>
      </patternFill>
    </fill>
    <fill>
      <patternFill patternType="solid">
        <fgColor rgb="00FFF5F5"/>
      </patternFill>
    </fill>
    <fill>
      <patternFill patternType="solid">
        <fgColor rgb="00FFF9F0"/>
      </patternFill>
    </fill>
    <fill>
      <patternFill patternType="solid">
        <fgColor rgb="00F0F4FF"/>
      </patternFill>
    </fill>
    <fill>
      <patternFill patternType="solid">
        <fgColor rgb="001A5276"/>
      </patternFill>
    </fill>
    <fill>
      <patternFill patternType="solid">
        <fgColor rgb="0077777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/>
    </xf>
    <xf numFmtId="3" fontId="4" fillId="4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0" fontId="2" fillId="5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4" fontId="4" fillId="4" borderId="0" applyAlignment="1" pivotButton="0" quotePrefix="0" xfId="0">
      <alignment horizontal="right"/>
    </xf>
    <xf numFmtId="0" fontId="2" fillId="7" borderId="0" applyAlignment="1" pivotButton="0" quotePrefix="0" xfId="0">
      <alignment horizontal="left" vertical="center"/>
    </xf>
    <xf numFmtId="0" fontId="2" fillId="8" borderId="0" applyAlignment="1" pivotButton="0" quotePrefix="0" xfId="0">
      <alignment horizontal="left" vertical="center"/>
    </xf>
    <xf numFmtId="0" fontId="2" fillId="9" borderId="0" applyAlignment="1" pivotButton="0" quotePrefix="0" xfId="0">
      <alignment horizontal="left" vertical="center"/>
    </xf>
    <xf numFmtId="0" fontId="5" fillId="0" borderId="0" pivotButton="0" quotePrefix="0" xfId="0"/>
    <xf numFmtId="0" fontId="6" fillId="0" borderId="0" pivotButton="0" quotePrefix="0" xfId="0"/>
    <xf numFmtId="0" fontId="2" fillId="2" borderId="0" applyAlignment="1" pivotButton="0" quotePrefix="0" xfId="0">
      <alignment horizontal="center"/>
    </xf>
    <xf numFmtId="0" fontId="7" fillId="0" borderId="0" pivotButton="0" quotePrefix="0" xfId="0"/>
    <xf numFmtId="1" fontId="6" fillId="4" borderId="0" applyAlignment="1" pivotButton="0" quotePrefix="0" xfId="0">
      <alignment horizontal="center"/>
    </xf>
    <xf numFmtId="1" fontId="6" fillId="0" borderId="0" applyAlignment="1" pivotButton="0" quotePrefix="0" xfId="0">
      <alignment horizontal="center"/>
    </xf>
    <xf numFmtId="0" fontId="8" fillId="0" borderId="0" pivotButton="0" quotePrefix="0" xfId="0"/>
    <xf numFmtId="0" fontId="2" fillId="2" borderId="0" pivotButton="0" quotePrefix="0" xfId="0"/>
    <xf numFmtId="1" fontId="2" fillId="2" borderId="0" applyAlignment="1" pivotButton="0" quotePrefix="0" xfId="0">
      <alignment horizontal="center"/>
    </xf>
    <xf numFmtId="0" fontId="9" fillId="0" borderId="0" pivotButton="0" quotePrefix="0" xfId="0"/>
    <xf numFmtId="1" fontId="9" fillId="10" borderId="0" applyAlignment="1" pivotButton="0" quotePrefix="0" xfId="0">
      <alignment horizontal="center"/>
    </xf>
    <xf numFmtId="0" fontId="0" fillId="10" borderId="0" pivotButton="0" quotePrefix="0" xfId="0"/>
    <xf numFmtId="0" fontId="2" fillId="9" borderId="0" pivotButton="0" quotePrefix="0" xfId="0"/>
    <xf numFmtId="1" fontId="2" fillId="9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12" fillId="10" borderId="0" applyAlignment="1" pivotButton="0" quotePrefix="0" xfId="0">
      <alignment horizontal="left" vertical="center"/>
    </xf>
    <xf numFmtId="1" fontId="12" fillId="10" borderId="0" applyAlignment="1" pivotButton="0" quotePrefix="0" xfId="0">
      <alignment horizontal="center"/>
    </xf>
    <xf numFmtId="0" fontId="2" fillId="3" borderId="0" pivotButton="0" quotePrefix="0" xfId="0"/>
    <xf numFmtId="0" fontId="13" fillId="11" borderId="0" applyAlignment="1" pivotButton="0" quotePrefix="0" xfId="0">
      <alignment horizontal="left" vertical="center"/>
    </xf>
    <xf numFmtId="3" fontId="13" fillId="11" borderId="0" applyAlignment="1" pivotButton="0" quotePrefix="0" xfId="0">
      <alignment horizontal="right" vertical="center"/>
    </xf>
    <xf numFmtId="3" fontId="2" fillId="3" borderId="0" applyAlignment="1" pivotButton="0" quotePrefix="0" xfId="0">
      <alignment horizontal="right" vertical="center"/>
    </xf>
    <xf numFmtId="0" fontId="2" fillId="5" borderId="0" pivotButton="0" quotePrefix="0" xfId="0"/>
    <xf numFmtId="0" fontId="13" fillId="12" borderId="0" applyAlignment="1" pivotButton="0" quotePrefix="0" xfId="0">
      <alignment horizontal="left" vertical="center"/>
    </xf>
    <xf numFmtId="3" fontId="13" fillId="12" borderId="0" applyAlignment="1" pivotButton="0" quotePrefix="0" xfId="0">
      <alignment horizontal="right" vertical="center"/>
    </xf>
    <xf numFmtId="3" fontId="2" fillId="5" borderId="0" applyAlignment="1" pivotButton="0" quotePrefix="0" xfId="0">
      <alignment horizontal="right" vertical="center"/>
    </xf>
    <xf numFmtId="0" fontId="14" fillId="12" borderId="0" applyAlignment="1" pivotButton="0" quotePrefix="0" xfId="0">
      <alignment horizontal="left" vertical="center"/>
    </xf>
    <xf numFmtId="164" fontId="14" fillId="12" borderId="0" applyAlignment="1" pivotButton="0" quotePrefix="0" xfId="0">
      <alignment horizontal="right"/>
    </xf>
    <xf numFmtId="0" fontId="2" fillId="6" borderId="0" pivotButton="0" quotePrefix="0" xfId="0"/>
    <xf numFmtId="0" fontId="13" fillId="13" borderId="0" applyAlignment="1" pivotButton="0" quotePrefix="0" xfId="0">
      <alignment horizontal="left" vertical="center"/>
    </xf>
    <xf numFmtId="3" fontId="13" fillId="13" borderId="0" applyAlignment="1" pivotButton="0" quotePrefix="0" xfId="0">
      <alignment horizontal="right" vertical="center"/>
    </xf>
    <xf numFmtId="3" fontId="2" fillId="6" borderId="0" applyAlignment="1" pivotButton="0" quotePrefix="0" xfId="0">
      <alignment horizontal="right" vertical="center"/>
    </xf>
    <xf numFmtId="0" fontId="2" fillId="7" borderId="0" pivotButton="0" quotePrefix="0" xfId="0"/>
    <xf numFmtId="0" fontId="13" fillId="14" borderId="0" applyAlignment="1" pivotButton="0" quotePrefix="0" xfId="0">
      <alignment horizontal="left" vertical="center"/>
    </xf>
    <xf numFmtId="3" fontId="13" fillId="14" borderId="0" applyAlignment="1" pivotButton="0" quotePrefix="0" xfId="0">
      <alignment horizontal="right" vertical="center"/>
    </xf>
    <xf numFmtId="3" fontId="2" fillId="7" borderId="0" applyAlignment="1" pivotButton="0" quotePrefix="0" xfId="0">
      <alignment horizontal="right" vertical="center"/>
    </xf>
    <xf numFmtId="3" fontId="2" fillId="9" borderId="0" applyAlignment="1" pivotButton="0" quotePrefix="0" xfId="0">
      <alignment horizontal="right" vertical="center"/>
    </xf>
    <xf numFmtId="3" fontId="2" fillId="8" borderId="0" applyAlignment="1" pivotButton="0" quotePrefix="0" xfId="0">
      <alignment horizontal="right" vertical="center"/>
    </xf>
    <xf numFmtId="0" fontId="15" fillId="10" borderId="0" applyAlignment="1" pivotButton="0" quotePrefix="0" xfId="0">
      <alignment horizontal="left" vertical="center"/>
    </xf>
    <xf numFmtId="3" fontId="16" fillId="10" borderId="0" applyAlignment="1" pivotButton="0" quotePrefix="0" xfId="0">
      <alignment horizontal="right" vertical="center"/>
    </xf>
    <xf numFmtId="3" fontId="2" fillId="2" borderId="0" applyAlignment="1" pivotButton="0" quotePrefix="0" xfId="0">
      <alignment horizontal="right" vertical="center"/>
    </xf>
    <xf numFmtId="0" fontId="2" fillId="15" borderId="0" applyAlignment="1" pivotButton="0" quotePrefix="0" xfId="0">
      <alignment horizontal="left" vertical="center"/>
    </xf>
    <xf numFmtId="3" fontId="2" fillId="15" borderId="0" applyAlignment="1" pivotButton="0" quotePrefix="0" xfId="0">
      <alignment horizontal="right" vertical="center"/>
    </xf>
    <xf numFmtId="0" fontId="2" fillId="16" borderId="0" applyAlignment="1" pivotButton="0" quotePrefix="0" xfId="0">
      <alignment horizontal="left" vertical="center"/>
    </xf>
    <xf numFmtId="0" fontId="2" fillId="16" borderId="0" pivotButton="0" quotePrefix="0" xfId="0"/>
    <xf numFmtId="0" fontId="14" fillId="0" borderId="0" applyAlignment="1" pivotButton="0" quotePrefix="0" xfId="0">
      <alignment horizontal="left" vertical="center"/>
    </xf>
    <xf numFmtId="1" fontId="14" fillId="1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</cols>
  <sheetData>
    <row r="1" ht="20" customHeight="1">
      <c r="A1" s="1" t="inlineStr">
        <is>
          <t>PROJECT DONNINGTON — INPUT ASSUMPTIONS (yellow cells are editable)</t>
        </is>
      </c>
    </row>
    <row r="2">
      <c r="A2" s="2" t="inlineStr">
        <is>
          <t>Revenue</t>
        </is>
      </c>
    </row>
    <row r="3">
      <c r="A3" s="3" t="inlineStr">
        <is>
          <t>Revenue per child per month (£)</t>
        </is>
      </c>
      <c r="B3" s="4" t="n">
        <v>1575</v>
      </c>
    </row>
    <row r="4">
      <c r="A4" s="3" t="inlineStr">
        <is>
          <t>EEEF as % of total revenue</t>
        </is>
      </c>
      <c r="B4" s="5" t="n">
        <v>0.35</v>
      </c>
    </row>
    <row r="6">
      <c r="A6" s="6" t="inlineStr">
        <is>
          <t>Staffing — Annual Salaries</t>
        </is>
      </c>
    </row>
    <row r="7">
      <c r="A7" s="3" t="inlineStr">
        <is>
          <t>Manager</t>
        </is>
      </c>
      <c r="B7" s="4" t="n">
        <v>42000</v>
      </c>
    </row>
    <row r="8">
      <c r="A8" s="3" t="inlineStr">
        <is>
          <t>Deputy Manager</t>
        </is>
      </c>
      <c r="B8" s="4" t="n">
        <v>32000</v>
      </c>
    </row>
    <row r="9">
      <c r="A9" s="3" t="inlineStr">
        <is>
          <t>Room Leader (L3)</t>
        </is>
      </c>
      <c r="B9" s="4" t="n">
        <v>28000</v>
      </c>
    </row>
    <row r="10">
      <c r="A10" s="3" t="inlineStr">
        <is>
          <t>Level 3</t>
        </is>
      </c>
      <c r="B10" s="4" t="n">
        <v>26000</v>
      </c>
    </row>
    <row r="11">
      <c r="A11" s="3" t="inlineStr">
        <is>
          <t>Level 2</t>
        </is>
      </c>
      <c r="B11" s="4" t="n">
        <v>24000</v>
      </c>
    </row>
    <row r="12">
      <c r="A12" s="3" t="inlineStr">
        <is>
          <t>Nursery Assistant</t>
        </is>
      </c>
      <c r="B12" s="4" t="n">
        <v>22000</v>
      </c>
    </row>
    <row r="13">
      <c r="A13" s="3" t="inlineStr">
        <is>
          <t>Cook</t>
        </is>
      </c>
      <c r="B13" s="4" t="n">
        <v>24000</v>
      </c>
    </row>
    <row r="14">
      <c r="A14" s="3" t="inlineStr">
        <is>
          <t>Cleaner</t>
        </is>
      </c>
      <c r="B14" s="4" t="n">
        <v>12000</v>
      </c>
    </row>
    <row r="16">
      <c r="A16" s="6" t="inlineStr">
        <is>
          <t>Staffing — On-costs</t>
        </is>
      </c>
    </row>
    <row r="17">
      <c r="A17" s="3" t="inlineStr">
        <is>
          <t>NI + Pension loading (% of salary)</t>
        </is>
      </c>
      <c r="B17" s="5" t="n">
        <v>0.15</v>
      </c>
    </row>
    <row r="19">
      <c r="A19" s="7" t="inlineStr">
        <is>
          <t>Childcare Costs (per child per month)</t>
        </is>
      </c>
    </row>
    <row r="20">
      <c r="A20" s="3" t="inlineStr">
        <is>
          <t>Catering per child/month</t>
        </is>
      </c>
      <c r="B20" s="8" t="n">
        <v>32.61</v>
      </c>
    </row>
    <row r="21">
      <c r="A21" s="3" t="inlineStr">
        <is>
          <t>Toys &amp; Games per child/month</t>
        </is>
      </c>
      <c r="B21" s="8" t="n">
        <v>11.38</v>
      </c>
    </row>
    <row r="22">
      <c r="A22" s="3" t="inlineStr">
        <is>
          <t>Art Materials per child/month</t>
        </is>
      </c>
      <c r="B22" s="8" t="n">
        <v>4.13</v>
      </c>
    </row>
    <row r="23">
      <c r="A23" s="3" t="inlineStr">
        <is>
          <t>Stationery per child/month</t>
        </is>
      </c>
      <c r="B23" s="8" t="n">
        <v>1.46</v>
      </c>
    </row>
    <row r="24">
      <c r="A24" s="3" t="inlineStr">
        <is>
          <t>Equipment per child/month</t>
        </is>
      </c>
      <c r="B24" s="8" t="n">
        <v>3.23</v>
      </c>
    </row>
    <row r="25">
      <c r="A25" s="3" t="inlineStr">
        <is>
          <t>Consumables per child/month</t>
        </is>
      </c>
      <c r="B25" s="8" t="n">
        <v>5.02</v>
      </c>
    </row>
    <row r="27">
      <c r="A27" s="9" t="inlineStr">
        <is>
          <t>Premises &amp; Admin (fixed monthly costs)</t>
        </is>
      </c>
    </row>
    <row r="28">
      <c r="A28" s="3" t="inlineStr">
        <is>
          <t>Business Rates (£/month)</t>
        </is>
      </c>
      <c r="B28" s="4" t="n">
        <v>833</v>
      </c>
    </row>
    <row r="29">
      <c r="A29" s="3" t="inlineStr">
        <is>
          <t>Utilities (£/month)</t>
        </is>
      </c>
      <c r="B29" s="4" t="n">
        <v>1200</v>
      </c>
    </row>
    <row r="30">
      <c r="A30" s="3" t="inlineStr">
        <is>
          <t>Repairs &amp; Maintenance (£/month)</t>
        </is>
      </c>
      <c r="B30" s="4" t="n">
        <v>200</v>
      </c>
    </row>
    <row r="31">
      <c r="A31" s="3" t="inlineStr">
        <is>
          <t>Cleaning (£/month)</t>
        </is>
      </c>
      <c r="B31" s="4" t="n">
        <v>350</v>
      </c>
    </row>
    <row r="32">
      <c r="A32" s="3" t="inlineStr">
        <is>
          <t>Waste Disposal (£/month)</t>
        </is>
      </c>
      <c r="B32" s="4" t="n">
        <v>200</v>
      </c>
    </row>
    <row r="33">
      <c r="A33" s="3" t="inlineStr">
        <is>
          <t>Postage/Printing (£/month)</t>
        </is>
      </c>
      <c r="B33" s="4" t="n">
        <v>80</v>
      </c>
    </row>
    <row r="34">
      <c r="A34" s="3" t="inlineStr">
        <is>
          <t>Marketing (£/month)</t>
        </is>
      </c>
      <c r="B34" s="4" t="n">
        <v>300</v>
      </c>
    </row>
    <row r="35">
      <c r="A35" s="3" t="inlineStr">
        <is>
          <t>IT Support (£/month)</t>
        </is>
      </c>
      <c r="B35" s="4" t="n">
        <v>200</v>
      </c>
    </row>
    <row r="36">
      <c r="A36" s="3" t="inlineStr">
        <is>
          <t>Fees &amp; Subscriptions (£/month)</t>
        </is>
      </c>
      <c r="B36" s="4" t="n">
        <v>150</v>
      </c>
    </row>
    <row r="38">
      <c r="A38" s="10" t="inlineStr">
        <is>
          <t>IFRS 16 Lease</t>
        </is>
      </c>
    </row>
    <row r="39">
      <c r="A39" s="3" t="inlineStr">
        <is>
          <t>ROU Asset (£)</t>
        </is>
      </c>
      <c r="B39" s="4" t="n">
        <v>518733</v>
      </c>
    </row>
    <row r="40">
      <c r="A40" s="3" t="inlineStr">
        <is>
          <t>Lease Liability (£)</t>
        </is>
      </c>
      <c r="B40" s="4" t="n">
        <v>513733</v>
      </c>
    </row>
    <row r="41">
      <c r="A41" s="3" t="inlineStr">
        <is>
          <t>Monthly Depreciation (£)</t>
        </is>
      </c>
      <c r="B41" s="8" t="n">
        <v>4322.77</v>
      </c>
    </row>
    <row r="42">
      <c r="A42" s="3" t="inlineStr">
        <is>
          <t>Monthly Interest Year 1 (£)</t>
        </is>
      </c>
      <c r="B42" s="8" t="n">
        <v>2782.72</v>
      </c>
    </row>
    <row r="44">
      <c r="A44" s="11" t="inlineStr">
        <is>
          <t>HO Overhead</t>
        </is>
      </c>
    </row>
    <row r="45">
      <c r="A45" s="3" t="inlineStr">
        <is>
          <t>HO overhead % of revenue</t>
        </is>
      </c>
      <c r="B45" s="5" t="n">
        <v>0.205</v>
      </c>
    </row>
    <row r="47">
      <c r="A47" s="12" t="inlineStr">
        <is>
          <t>Yellow cells are editable. All P&amp;L formulas update automatically.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18" customHeight="1">
      <c r="A1" s="1" t="inlineStr">
        <is>
          <t>CHILDREN PLAN — edit rows 3-5 only (yellow = editable)</t>
        </is>
      </c>
    </row>
    <row r="2">
      <c r="A2" s="13" t="inlineStr">
        <is>
          <t>Room</t>
        </is>
      </c>
      <c r="B2" s="14" t="inlineStr">
        <is>
          <t>Jan 27</t>
        </is>
      </c>
      <c r="C2" s="14" t="inlineStr">
        <is>
          <t>Feb 27</t>
        </is>
      </c>
      <c r="D2" s="14" t="inlineStr">
        <is>
          <t>Mar 27</t>
        </is>
      </c>
      <c r="E2" s="14" t="inlineStr">
        <is>
          <t>Apr 27</t>
        </is>
      </c>
      <c r="F2" s="14" t="inlineStr">
        <is>
          <t>May 27</t>
        </is>
      </c>
      <c r="G2" s="14" t="inlineStr">
        <is>
          <t>Jun 27</t>
        </is>
      </c>
      <c r="H2" s="14" t="inlineStr">
        <is>
          <t>Jul 27</t>
        </is>
      </c>
      <c r="I2" s="14" t="inlineStr">
        <is>
          <t>Aug 27</t>
        </is>
      </c>
      <c r="J2" s="14" t="inlineStr">
        <is>
          <t>Sep 27</t>
        </is>
      </c>
      <c r="K2" s="14" t="inlineStr">
        <is>
          <t>Oct 27</t>
        </is>
      </c>
      <c r="L2" s="14" t="inlineStr">
        <is>
          <t>Nov 27</t>
        </is>
      </c>
      <c r="M2" s="14" t="inlineStr">
        <is>
          <t>Dec 27</t>
        </is>
      </c>
      <c r="N2" s="14" t="inlineStr">
        <is>
          <t>Year Total</t>
        </is>
      </c>
    </row>
    <row r="3" ht="14" customHeight="1">
      <c r="A3" s="15" t="inlineStr">
        <is>
          <t>Nest — Babies (under 2)</t>
        </is>
      </c>
      <c r="B3" s="16" t="n">
        <v>6</v>
      </c>
      <c r="C3" s="16" t="n">
        <v>7</v>
      </c>
      <c r="D3" s="16" t="n">
        <v>9</v>
      </c>
      <c r="E3" s="16" t="n">
        <v>10</v>
      </c>
      <c r="F3" s="16" t="n">
        <v>11</v>
      </c>
      <c r="G3" s="16" t="n">
        <v>12</v>
      </c>
      <c r="H3" s="16" t="n">
        <v>13</v>
      </c>
      <c r="I3" s="16" t="n">
        <v>14</v>
      </c>
      <c r="J3" s="16" t="n">
        <v>14</v>
      </c>
      <c r="K3" s="16" t="n">
        <v>15</v>
      </c>
      <c r="L3" s="16" t="n">
        <v>15</v>
      </c>
      <c r="M3" s="16" t="n">
        <v>15</v>
      </c>
      <c r="N3" s="17">
        <f>SUM(B3:M3)</f>
        <v/>
      </c>
    </row>
    <row r="4" ht="14" customHeight="1">
      <c r="A4" s="18" t="inlineStr">
        <is>
          <t>2-3 Toddlers</t>
        </is>
      </c>
      <c r="B4" s="16" t="n">
        <v>3</v>
      </c>
      <c r="C4" s="16" t="n">
        <v>4</v>
      </c>
      <c r="D4" s="16" t="n">
        <v>5</v>
      </c>
      <c r="E4" s="16" t="n">
        <v>6</v>
      </c>
      <c r="F4" s="16" t="n">
        <v>7</v>
      </c>
      <c r="G4" s="16" t="n">
        <v>7</v>
      </c>
      <c r="H4" s="16" t="n">
        <v>8</v>
      </c>
      <c r="I4" s="16" t="n">
        <v>9</v>
      </c>
      <c r="J4" s="16" t="n">
        <v>9</v>
      </c>
      <c r="K4" s="16" t="n">
        <v>10</v>
      </c>
      <c r="L4" s="16" t="n">
        <v>10</v>
      </c>
      <c r="M4" s="16" t="n">
        <v>10</v>
      </c>
      <c r="N4" s="17">
        <f>SUM(B4:M4)</f>
        <v/>
      </c>
    </row>
    <row r="5" ht="14" customHeight="1">
      <c r="A5" s="18" t="inlineStr">
        <is>
          <t>3-5 Pre-school</t>
        </is>
      </c>
      <c r="B5" s="16" t="n">
        <v>0</v>
      </c>
      <c r="C5" s="16" t="n">
        <v>1</v>
      </c>
      <c r="D5" s="16" t="n">
        <v>2</v>
      </c>
      <c r="E5" s="16" t="n">
        <v>3</v>
      </c>
      <c r="F5" s="16" t="n">
        <v>4</v>
      </c>
      <c r="G5" s="16" t="n">
        <v>5</v>
      </c>
      <c r="H5" s="16" t="n">
        <v>6</v>
      </c>
      <c r="I5" s="16" t="n">
        <v>7</v>
      </c>
      <c r="J5" s="16" t="n">
        <v>8</v>
      </c>
      <c r="K5" s="16" t="n">
        <v>8</v>
      </c>
      <c r="L5" s="16" t="n">
        <v>9</v>
      </c>
      <c r="M5" s="16" t="n">
        <v>8</v>
      </c>
      <c r="N5" s="17">
        <f>SUM(B5:M5)</f>
        <v/>
      </c>
    </row>
    <row r="6" ht="15" customHeight="1">
      <c r="A6" s="19" t="inlineStr">
        <is>
          <t>TOTAL CHILDREN</t>
        </is>
      </c>
      <c r="B6" s="20">
        <f>B3+B4+B5</f>
        <v/>
      </c>
      <c r="C6" s="20">
        <f>C3+C4+C5</f>
        <v/>
      </c>
      <c r="D6" s="20">
        <f>D3+D4+D5</f>
        <v/>
      </c>
      <c r="E6" s="20">
        <f>E3+E4+E5</f>
        <v/>
      </c>
      <c r="F6" s="20">
        <f>F3+F4+F5</f>
        <v/>
      </c>
      <c r="G6" s="20">
        <f>G3+G4+G5</f>
        <v/>
      </c>
      <c r="H6" s="20">
        <f>H3+H4+H5</f>
        <v/>
      </c>
      <c r="I6" s="20">
        <f>I3+I4+I5</f>
        <v/>
      </c>
      <c r="J6" s="20">
        <f>J3+J4+J5</f>
        <v/>
      </c>
      <c r="K6" s="20">
        <f>K3+K4+K5</f>
        <v/>
      </c>
      <c r="L6" s="20">
        <f>L3+L4+L5</f>
        <v/>
      </c>
      <c r="M6" s="20">
        <f>M3+M4+M5</f>
        <v/>
      </c>
      <c r="N6" s="20">
        <f>N3+N4+N5</f>
        <v/>
      </c>
    </row>
    <row r="7">
      <c r="A7" s="11" t="inlineStr">
        <is>
          <t>Staff headcount (ratio-derived — update if staffing changes)</t>
        </is>
      </c>
    </row>
    <row r="8" ht="13" customHeight="1">
      <c r="A8" s="21" t="inlineStr">
        <is>
          <t xml:space="preserve">    Manager</t>
        </is>
      </c>
      <c r="B8" s="22" t="n">
        <v>1</v>
      </c>
      <c r="C8" s="22" t="n">
        <v>1</v>
      </c>
      <c r="D8" s="22" t="n">
        <v>1</v>
      </c>
      <c r="E8" s="22" t="n">
        <v>1</v>
      </c>
      <c r="F8" s="22" t="n">
        <v>1</v>
      </c>
      <c r="G8" s="22" t="n">
        <v>1</v>
      </c>
      <c r="H8" s="22" t="n">
        <v>1</v>
      </c>
      <c r="I8" s="22" t="n">
        <v>1</v>
      </c>
      <c r="J8" s="22" t="n">
        <v>1</v>
      </c>
      <c r="K8" s="22" t="n">
        <v>1</v>
      </c>
      <c r="L8" s="22" t="n">
        <v>1</v>
      </c>
      <c r="M8" s="22" t="n">
        <v>1</v>
      </c>
      <c r="N8" s="23" t="n"/>
    </row>
    <row r="9" ht="13" customHeight="1">
      <c r="A9" s="21" t="inlineStr">
        <is>
          <t xml:space="preserve">    Deputy</t>
        </is>
      </c>
      <c r="B9" s="22" t="n">
        <v>1</v>
      </c>
      <c r="C9" s="22" t="n">
        <v>1</v>
      </c>
      <c r="D9" s="22" t="n">
        <v>1</v>
      </c>
      <c r="E9" s="22" t="n">
        <v>1</v>
      </c>
      <c r="F9" s="22" t="n">
        <v>1</v>
      </c>
      <c r="G9" s="22" t="n">
        <v>1</v>
      </c>
      <c r="H9" s="22" t="n">
        <v>1</v>
      </c>
      <c r="I9" s="22" t="n">
        <v>1</v>
      </c>
      <c r="J9" s="22" t="n">
        <v>1</v>
      </c>
      <c r="K9" s="22" t="n">
        <v>1</v>
      </c>
      <c r="L9" s="22" t="n">
        <v>1</v>
      </c>
      <c r="M9" s="22" t="n">
        <v>1</v>
      </c>
      <c r="N9" s="23" t="n"/>
    </row>
    <row r="10" ht="13" customHeight="1">
      <c r="A10" s="21" t="inlineStr">
        <is>
          <t xml:space="preserve">    Cook</t>
        </is>
      </c>
      <c r="B10" s="22" t="n">
        <v>1</v>
      </c>
      <c r="C10" s="22" t="n">
        <v>1</v>
      </c>
      <c r="D10" s="22" t="n">
        <v>1</v>
      </c>
      <c r="E10" s="22" t="n">
        <v>1</v>
      </c>
      <c r="F10" s="22" t="n">
        <v>1</v>
      </c>
      <c r="G10" s="22" t="n">
        <v>1</v>
      </c>
      <c r="H10" s="22" t="n">
        <v>1</v>
      </c>
      <c r="I10" s="22" t="n">
        <v>1</v>
      </c>
      <c r="J10" s="22" t="n">
        <v>1</v>
      </c>
      <c r="K10" s="22" t="n">
        <v>1</v>
      </c>
      <c r="L10" s="22" t="n">
        <v>1</v>
      </c>
      <c r="M10" s="22" t="n">
        <v>1</v>
      </c>
      <c r="N10" s="23" t="n"/>
    </row>
    <row r="11" ht="13" customHeight="1">
      <c r="A11" s="21" t="inlineStr">
        <is>
          <t xml:space="preserve">    Cleaner</t>
        </is>
      </c>
      <c r="B11" s="22" t="n">
        <v>0</v>
      </c>
      <c r="C11" s="22" t="n">
        <v>0</v>
      </c>
      <c r="D11" s="22" t="n">
        <v>0</v>
      </c>
      <c r="E11" s="22" t="n">
        <v>0</v>
      </c>
      <c r="F11" s="22" t="n">
        <v>1</v>
      </c>
      <c r="G11" s="22" t="n">
        <v>1</v>
      </c>
      <c r="H11" s="22" t="n">
        <v>1</v>
      </c>
      <c r="I11" s="22" t="n">
        <v>1</v>
      </c>
      <c r="J11" s="22" t="n">
        <v>1</v>
      </c>
      <c r="K11" s="22" t="n">
        <v>1</v>
      </c>
      <c r="L11" s="22" t="n">
        <v>1</v>
      </c>
      <c r="M11" s="22" t="n">
        <v>1</v>
      </c>
      <c r="N11" s="23" t="n"/>
    </row>
    <row r="12" ht="13" customHeight="1">
      <c r="A12" s="21" t="inlineStr">
        <is>
          <t xml:space="preserve">    Room Leader L3</t>
        </is>
      </c>
      <c r="B12" s="22" t="n">
        <v>2</v>
      </c>
      <c r="C12" s="22" t="n">
        <v>2</v>
      </c>
      <c r="D12" s="22" t="n">
        <v>2</v>
      </c>
      <c r="E12" s="22" t="n">
        <v>2</v>
      </c>
      <c r="F12" s="22" t="n">
        <v>2</v>
      </c>
      <c r="G12" s="22" t="n">
        <v>2</v>
      </c>
      <c r="H12" s="22" t="n">
        <v>2</v>
      </c>
      <c r="I12" s="22" t="n">
        <v>2</v>
      </c>
      <c r="J12" s="22" t="n">
        <v>2</v>
      </c>
      <c r="K12" s="22" t="n">
        <v>2</v>
      </c>
      <c r="L12" s="22" t="n">
        <v>2</v>
      </c>
      <c r="M12" s="22" t="n">
        <v>2</v>
      </c>
      <c r="N12" s="23" t="n"/>
    </row>
    <row r="13" ht="13" customHeight="1">
      <c r="A13" s="21" t="inlineStr">
        <is>
          <t xml:space="preserve">    Level 2</t>
        </is>
      </c>
      <c r="B13" s="22" t="n">
        <v>1</v>
      </c>
      <c r="C13" s="22" t="n">
        <v>2</v>
      </c>
      <c r="D13" s="22" t="n">
        <v>2</v>
      </c>
      <c r="E13" s="22" t="n">
        <v>3</v>
      </c>
      <c r="F13" s="22" t="n">
        <v>3</v>
      </c>
      <c r="G13" s="22" t="n">
        <v>3</v>
      </c>
      <c r="H13" s="22" t="n">
        <v>3</v>
      </c>
      <c r="I13" s="22" t="n">
        <v>3</v>
      </c>
      <c r="J13" s="22" t="n">
        <v>3</v>
      </c>
      <c r="K13" s="22" t="n">
        <v>3</v>
      </c>
      <c r="L13" s="22" t="n">
        <v>4</v>
      </c>
      <c r="M13" s="22" t="n">
        <v>3</v>
      </c>
      <c r="N13" s="23" t="n"/>
    </row>
    <row r="14" ht="13" customHeight="1">
      <c r="A14" s="21" t="inlineStr">
        <is>
          <t xml:space="preserve">    Nursery Assistant</t>
        </is>
      </c>
      <c r="B14" s="22" t="n">
        <v>0</v>
      </c>
      <c r="C14" s="22" t="n">
        <v>1</v>
      </c>
      <c r="D14" s="22" t="n">
        <v>1</v>
      </c>
      <c r="E14" s="22" t="n">
        <v>2</v>
      </c>
      <c r="F14" s="22" t="n">
        <v>2</v>
      </c>
      <c r="G14" s="22" t="n">
        <v>2</v>
      </c>
      <c r="H14" s="22" t="n">
        <v>3</v>
      </c>
      <c r="I14" s="22" t="n">
        <v>3</v>
      </c>
      <c r="J14" s="22" t="n">
        <v>3</v>
      </c>
      <c r="K14" s="22" t="n">
        <v>3</v>
      </c>
      <c r="L14" s="22" t="n">
        <v>3</v>
      </c>
      <c r="M14" s="22" t="n">
        <v>3</v>
      </c>
      <c r="N14" s="23" t="n"/>
    </row>
    <row r="15" ht="14" customHeight="1">
      <c r="A15" s="24" t="inlineStr">
        <is>
          <t>TOTAL STAFF</t>
        </is>
      </c>
      <c r="B15" s="25">
        <f>SUM(B8:B14)</f>
        <v/>
      </c>
      <c r="C15" s="25">
        <f>SUM(C8:C14)</f>
        <v/>
      </c>
      <c r="D15" s="25">
        <f>SUM(D8:D14)</f>
        <v/>
      </c>
      <c r="E15" s="25">
        <f>SUM(E8:E14)</f>
        <v/>
      </c>
      <c r="F15" s="25">
        <f>SUM(F8:F14)</f>
        <v/>
      </c>
      <c r="G15" s="25">
        <f>SUM(G8:G14)</f>
        <v/>
      </c>
      <c r="H15" s="25">
        <f>SUM(H8:H14)</f>
        <v/>
      </c>
      <c r="I15" s="25">
        <f>SUM(I8:I14)</f>
        <v/>
      </c>
      <c r="J15" s="25">
        <f>SUM(J8:J14)</f>
        <v/>
      </c>
      <c r="K15" s="25">
        <f>SUM(K8:K14)</f>
        <v/>
      </c>
      <c r="L15" s="25">
        <f>SUM(L8:L14)</f>
        <v/>
      </c>
      <c r="M15" s="25">
        <f>SUM(M8:M14)</f>
        <v/>
      </c>
    </row>
    <row r="17">
      <c r="A17" s="12" t="inlineStr">
        <is>
          <t>Yellow rows 3-5 are editable. Staff rows 8-14 are pre-calculated from ratios — update manually if staffing model changes.</t>
        </is>
      </c>
    </row>
  </sheetData>
  <mergeCells count="2">
    <mergeCell ref="A7:N7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</cols>
  <sheetData>
    <row r="1" ht="22" customHeight="1">
      <c r="A1" s="26" t="inlineStr">
        <is>
          <t>Project Donnington — Year 1 P&amp;L Forecast (IFRS 16 basis)</t>
        </is>
      </c>
    </row>
    <row r="2" ht="13" customHeight="1">
      <c r="A2" s="27" t="inlineStr">
        <is>
          <t>Lease capitalised (IFRS 16): ROU asset £518,733 | Depreciation £51,873/yr | Interest £33,393/yr (Yr1) | Yellow inputs on Inputs sheet</t>
        </is>
      </c>
    </row>
    <row r="3" ht="18" customHeight="1">
      <c r="A3" s="28" t="inlineStr">
        <is>
          <t>Project Donnington</t>
        </is>
      </c>
      <c r="B3" s="29" t="inlineStr">
        <is>
          <t>Jan 27</t>
        </is>
      </c>
      <c r="C3" s="29" t="inlineStr">
        <is>
          <t>Feb 27</t>
        </is>
      </c>
      <c r="D3" s="29" t="inlineStr">
        <is>
          <t>Mar 27</t>
        </is>
      </c>
      <c r="E3" s="29" t="inlineStr">
        <is>
          <t>Apr 27</t>
        </is>
      </c>
      <c r="F3" s="29" t="inlineStr">
        <is>
          <t>May 27</t>
        </is>
      </c>
      <c r="G3" s="29" t="inlineStr">
        <is>
          <t>Jun 27</t>
        </is>
      </c>
      <c r="H3" s="29" t="inlineStr">
        <is>
          <t>Jul 27</t>
        </is>
      </c>
      <c r="I3" s="29" t="inlineStr">
        <is>
          <t>Aug 27</t>
        </is>
      </c>
      <c r="J3" s="29" t="inlineStr">
        <is>
          <t>Sep 27</t>
        </is>
      </c>
      <c r="K3" s="29" t="inlineStr">
        <is>
          <t>Oct 27</t>
        </is>
      </c>
      <c r="L3" s="29" t="inlineStr">
        <is>
          <t>Nov 27</t>
        </is>
      </c>
      <c r="M3" s="29" t="inlineStr">
        <is>
          <t>Dec 27</t>
        </is>
      </c>
      <c r="N3" s="29" t="inlineStr">
        <is>
          <t>Year 1 Total</t>
        </is>
      </c>
    </row>
    <row r="4" ht="13" customHeight="1">
      <c r="A4" s="30" t="inlineStr">
        <is>
          <t>Children on Roll</t>
        </is>
      </c>
      <c r="B4" s="31">
        <f>'Children Plan'!B6</f>
        <v/>
      </c>
      <c r="C4" s="31">
        <f>'Children Plan'!C6</f>
        <v/>
      </c>
      <c r="D4" s="31">
        <f>'Children Plan'!D6</f>
        <v/>
      </c>
      <c r="E4" s="31">
        <f>'Children Plan'!E6</f>
        <v/>
      </c>
      <c r="F4" s="31">
        <f>'Children Plan'!F6</f>
        <v/>
      </c>
      <c r="G4" s="31">
        <f>'Children Plan'!G6</f>
        <v/>
      </c>
      <c r="H4" s="31">
        <f>'Children Plan'!H6</f>
        <v/>
      </c>
      <c r="I4" s="31">
        <f>'Children Plan'!I6</f>
        <v/>
      </c>
      <c r="J4" s="31">
        <f>'Children Plan'!J6</f>
        <v/>
      </c>
      <c r="K4" s="31">
        <f>'Children Plan'!K6</f>
        <v/>
      </c>
      <c r="L4" s="31">
        <f>'Children Plan'!L6</f>
        <v/>
      </c>
      <c r="M4" s="31">
        <f>'Children Plan'!M6</f>
        <v/>
      </c>
      <c r="N4" s="23" t="n"/>
    </row>
    <row r="5" ht="15" customHeight="1">
      <c r="A5" s="2" t="inlineStr">
        <is>
          <t>INCOME</t>
        </is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</row>
    <row r="6" ht="13" customHeight="1">
      <c r="A6" s="33" t="inlineStr">
        <is>
          <t xml:space="preserve">    Fee Income Regular</t>
        </is>
      </c>
      <c r="B6" s="34">
        <f>'Children Plan'!B6*Inputs!$B$3*(1-Inputs!$B$4)</f>
        <v/>
      </c>
      <c r="C6" s="34">
        <f>'Children Plan'!C6*Inputs!$B$3*(1-Inputs!$B$4)</f>
        <v/>
      </c>
      <c r="D6" s="34">
        <f>'Children Plan'!D6*Inputs!$B$3*(1-Inputs!$B$4)</f>
        <v/>
      </c>
      <c r="E6" s="34">
        <f>'Children Plan'!E6*Inputs!$B$3*(1-Inputs!$B$4)</f>
        <v/>
      </c>
      <c r="F6" s="34">
        <f>'Children Plan'!F6*Inputs!$B$3*(1-Inputs!$B$4)</f>
        <v/>
      </c>
      <c r="G6" s="34">
        <f>'Children Plan'!G6*Inputs!$B$3*(1-Inputs!$B$4)</f>
        <v/>
      </c>
      <c r="H6" s="34">
        <f>'Children Plan'!H6*Inputs!$B$3*(1-Inputs!$B$4)</f>
        <v/>
      </c>
      <c r="I6" s="34">
        <f>'Children Plan'!I6*Inputs!$B$3*(1-Inputs!$B$4)</f>
        <v/>
      </c>
      <c r="J6" s="34">
        <f>'Children Plan'!J6*Inputs!$B$3*(1-Inputs!$B$4)</f>
        <v/>
      </c>
      <c r="K6" s="34">
        <f>'Children Plan'!K6*Inputs!$B$3*(1-Inputs!$B$4)</f>
        <v/>
      </c>
      <c r="L6" s="34">
        <f>'Children Plan'!L6*Inputs!$B$3*(1-Inputs!$B$4)</f>
        <v/>
      </c>
      <c r="M6" s="34">
        <f>'Children Plan'!M6*Inputs!$B$3*(1-Inputs!$B$4)</f>
        <v/>
      </c>
      <c r="N6" s="34">
        <f>SUM(B6:M6)</f>
        <v/>
      </c>
    </row>
    <row r="7" ht="13" customHeight="1">
      <c r="A7" s="33" t="inlineStr">
        <is>
          <t xml:space="preserve">    EEEF Embedded</t>
        </is>
      </c>
      <c r="B7" s="34">
        <f>'Children Plan'!B6*Inputs!$B$3*Inputs!$B$4</f>
        <v/>
      </c>
      <c r="C7" s="34">
        <f>'Children Plan'!C6*Inputs!$B$3*Inputs!$B$4</f>
        <v/>
      </c>
      <c r="D7" s="34">
        <f>'Children Plan'!D6*Inputs!$B$3*Inputs!$B$4</f>
        <v/>
      </c>
      <c r="E7" s="34">
        <f>'Children Plan'!E6*Inputs!$B$3*Inputs!$B$4</f>
        <v/>
      </c>
      <c r="F7" s="34">
        <f>'Children Plan'!F6*Inputs!$B$3*Inputs!$B$4</f>
        <v/>
      </c>
      <c r="G7" s="34">
        <f>'Children Plan'!G6*Inputs!$B$3*Inputs!$B$4</f>
        <v/>
      </c>
      <c r="H7" s="34">
        <f>'Children Plan'!H6*Inputs!$B$3*Inputs!$B$4</f>
        <v/>
      </c>
      <c r="I7" s="34">
        <f>'Children Plan'!I6*Inputs!$B$3*Inputs!$B$4</f>
        <v/>
      </c>
      <c r="J7" s="34">
        <f>'Children Plan'!J6*Inputs!$B$3*Inputs!$B$4</f>
        <v/>
      </c>
      <c r="K7" s="34">
        <f>'Children Plan'!K6*Inputs!$B$3*Inputs!$B$4</f>
        <v/>
      </c>
      <c r="L7" s="34">
        <f>'Children Plan'!L6*Inputs!$B$3*Inputs!$B$4</f>
        <v/>
      </c>
      <c r="M7" s="34">
        <f>'Children Plan'!M6*Inputs!$B$3*Inputs!$B$4</f>
        <v/>
      </c>
      <c r="N7" s="34">
        <f>SUM(B7:M7)</f>
        <v/>
      </c>
    </row>
    <row r="8" ht="15" customHeight="1">
      <c r="A8" s="2" t="inlineStr">
        <is>
          <t>Total Income</t>
        </is>
      </c>
      <c r="B8" s="35">
        <f>B6+B7</f>
        <v/>
      </c>
      <c r="C8" s="35">
        <f>C6+C7</f>
        <v/>
      </c>
      <c r="D8" s="35">
        <f>D6+D7</f>
        <v/>
      </c>
      <c r="E8" s="35">
        <f>E6+E7</f>
        <v/>
      </c>
      <c r="F8" s="35">
        <f>F6+F7</f>
        <v/>
      </c>
      <c r="G8" s="35">
        <f>G6+G7</f>
        <v/>
      </c>
      <c r="H8" s="35">
        <f>H6+H7</f>
        <v/>
      </c>
      <c r="I8" s="35">
        <f>I6+I7</f>
        <v/>
      </c>
      <c r="J8" s="35">
        <f>J6+J7</f>
        <v/>
      </c>
      <c r="K8" s="35">
        <f>K6+K7</f>
        <v/>
      </c>
      <c r="L8" s="35">
        <f>L6+L7</f>
        <v/>
      </c>
      <c r="M8" s="35">
        <f>M6+M7</f>
        <v/>
      </c>
      <c r="N8" s="35">
        <f>N6+N7</f>
        <v/>
      </c>
    </row>
    <row r="9" ht="15" customHeight="1">
      <c r="A9" s="6" t="inlineStr">
        <is>
          <t>PERSONNEL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</row>
    <row r="10" ht="13" customHeight="1">
      <c r="A10" s="37" t="inlineStr">
        <is>
          <t xml:space="preserve">    Nursery Salaries</t>
        </is>
      </c>
      <c r="B10" s="38">
        <f>('Children Plan'!B8*Inputs!$B$7+'Children Plan'!B9*Inputs!$B$8+'Children Plan'!B12*Inputs!$B$9+'Children Plan'!B13*Inputs!$B$11+'Children Plan'!B14*Inputs!$B$12+'Children Plan'!B10*Inputs!$B$13+'Children Plan'!B11*Inputs!$B$14)/12</f>
        <v/>
      </c>
      <c r="C10" s="38">
        <f>('Children Plan'!C8*Inputs!$B$7+'Children Plan'!C9*Inputs!$B$8+'Children Plan'!C12*Inputs!$B$9+'Children Plan'!C13*Inputs!$B$11+'Children Plan'!C14*Inputs!$B$12+'Children Plan'!C10*Inputs!$B$13+'Children Plan'!C11*Inputs!$B$14)/12</f>
        <v/>
      </c>
      <c r="D10" s="38">
        <f>('Children Plan'!D8*Inputs!$B$7+'Children Plan'!D9*Inputs!$B$8+'Children Plan'!D12*Inputs!$B$9+'Children Plan'!D13*Inputs!$B$11+'Children Plan'!D14*Inputs!$B$12+'Children Plan'!D10*Inputs!$B$13+'Children Plan'!D11*Inputs!$B$14)/12</f>
        <v/>
      </c>
      <c r="E10" s="38">
        <f>('Children Plan'!E8*Inputs!$B$7+'Children Plan'!E9*Inputs!$B$8+'Children Plan'!E12*Inputs!$B$9+'Children Plan'!E13*Inputs!$B$11+'Children Plan'!E14*Inputs!$B$12+'Children Plan'!E10*Inputs!$B$13+'Children Plan'!E11*Inputs!$B$14)/12</f>
        <v/>
      </c>
      <c r="F10" s="38">
        <f>('Children Plan'!F8*Inputs!$B$7+'Children Plan'!F9*Inputs!$B$8+'Children Plan'!F12*Inputs!$B$9+'Children Plan'!F13*Inputs!$B$11+'Children Plan'!F14*Inputs!$B$12+'Children Plan'!F10*Inputs!$B$13+'Children Plan'!F11*Inputs!$B$14)/12</f>
        <v/>
      </c>
      <c r="G10" s="38">
        <f>('Children Plan'!G8*Inputs!$B$7+'Children Plan'!G9*Inputs!$B$8+'Children Plan'!G12*Inputs!$B$9+'Children Plan'!G13*Inputs!$B$11+'Children Plan'!G14*Inputs!$B$12+'Children Plan'!G10*Inputs!$B$13+'Children Plan'!G11*Inputs!$B$14)/12</f>
        <v/>
      </c>
      <c r="H10" s="38">
        <f>('Children Plan'!H8*Inputs!$B$7+'Children Plan'!H9*Inputs!$B$8+'Children Plan'!H12*Inputs!$B$9+'Children Plan'!H13*Inputs!$B$11+'Children Plan'!H14*Inputs!$B$12+'Children Plan'!H10*Inputs!$B$13+'Children Plan'!H11*Inputs!$B$14)/12</f>
        <v/>
      </c>
      <c r="I10" s="38">
        <f>('Children Plan'!I8*Inputs!$B$7+'Children Plan'!I9*Inputs!$B$8+'Children Plan'!I12*Inputs!$B$9+'Children Plan'!I13*Inputs!$B$11+'Children Plan'!I14*Inputs!$B$12+'Children Plan'!I10*Inputs!$B$13+'Children Plan'!I11*Inputs!$B$14)/12</f>
        <v/>
      </c>
      <c r="J10" s="38">
        <f>('Children Plan'!J8*Inputs!$B$7+'Children Plan'!J9*Inputs!$B$8+'Children Plan'!J12*Inputs!$B$9+'Children Plan'!J13*Inputs!$B$11+'Children Plan'!J14*Inputs!$B$12+'Children Plan'!J10*Inputs!$B$13+'Children Plan'!J11*Inputs!$B$14)/12</f>
        <v/>
      </c>
      <c r="K10" s="38">
        <f>('Children Plan'!K8*Inputs!$B$7+'Children Plan'!K9*Inputs!$B$8+'Children Plan'!K12*Inputs!$B$9+'Children Plan'!K13*Inputs!$B$11+'Children Plan'!K14*Inputs!$B$12+'Children Plan'!K10*Inputs!$B$13+'Children Plan'!K11*Inputs!$B$14)/12</f>
        <v/>
      </c>
      <c r="L10" s="38">
        <f>('Children Plan'!L8*Inputs!$B$7+'Children Plan'!L9*Inputs!$B$8+'Children Plan'!L12*Inputs!$B$9+'Children Plan'!L13*Inputs!$B$11+'Children Plan'!L14*Inputs!$B$12+'Children Plan'!L10*Inputs!$B$13+'Children Plan'!L11*Inputs!$B$14)/12</f>
        <v/>
      </c>
      <c r="M10" s="38">
        <f>('Children Plan'!M8*Inputs!$B$7+'Children Plan'!M9*Inputs!$B$8+'Children Plan'!M12*Inputs!$B$9+'Children Plan'!M13*Inputs!$B$11+'Children Plan'!M14*Inputs!$B$12+'Children Plan'!M10*Inputs!$B$13+'Children Plan'!M11*Inputs!$B$14)/12</f>
        <v/>
      </c>
      <c r="N10" s="38">
        <f>SUM(B10:M10)</f>
        <v/>
      </c>
    </row>
    <row r="11" ht="13" customHeight="1">
      <c r="A11" s="37" t="inlineStr">
        <is>
          <t xml:space="preserve">    Nursery NI</t>
        </is>
      </c>
      <c r="B11" s="38">
        <f>B10*0.138</f>
        <v/>
      </c>
      <c r="C11" s="38">
        <f>C10*0.138</f>
        <v/>
      </c>
      <c r="D11" s="38">
        <f>D10*0.138</f>
        <v/>
      </c>
      <c r="E11" s="38">
        <f>E10*0.138</f>
        <v/>
      </c>
      <c r="F11" s="38">
        <f>F10*0.138</f>
        <v/>
      </c>
      <c r="G11" s="38">
        <f>G10*0.138</f>
        <v/>
      </c>
      <c r="H11" s="38">
        <f>H10*0.138</f>
        <v/>
      </c>
      <c r="I11" s="38">
        <f>I10*0.138</f>
        <v/>
      </c>
      <c r="J11" s="38">
        <f>J10*0.138</f>
        <v/>
      </c>
      <c r="K11" s="38">
        <f>K10*0.138</f>
        <v/>
      </c>
      <c r="L11" s="38">
        <f>L10*0.138</f>
        <v/>
      </c>
      <c r="M11" s="38">
        <f>M10*0.138</f>
        <v/>
      </c>
      <c r="N11" s="38">
        <f>SUM(B11:M11)</f>
        <v/>
      </c>
    </row>
    <row r="12" ht="13" customHeight="1">
      <c r="A12" s="37" t="inlineStr">
        <is>
          <t xml:space="preserve">    Nursery Pension</t>
        </is>
      </c>
      <c r="B12" s="38">
        <f>B10*0.05</f>
        <v/>
      </c>
      <c r="C12" s="38">
        <f>C10*0.05</f>
        <v/>
      </c>
      <c r="D12" s="38">
        <f>D10*0.05</f>
        <v/>
      </c>
      <c r="E12" s="38">
        <f>E10*0.05</f>
        <v/>
      </c>
      <c r="F12" s="38">
        <f>F10*0.05</f>
        <v/>
      </c>
      <c r="G12" s="38">
        <f>G10*0.05</f>
        <v/>
      </c>
      <c r="H12" s="38">
        <f>H10*0.05</f>
        <v/>
      </c>
      <c r="I12" s="38">
        <f>I10*0.05</f>
        <v/>
      </c>
      <c r="J12" s="38">
        <f>J10*0.05</f>
        <v/>
      </c>
      <c r="K12" s="38">
        <f>K10*0.05</f>
        <v/>
      </c>
      <c r="L12" s="38">
        <f>L10*0.05</f>
        <v/>
      </c>
      <c r="M12" s="38">
        <f>M10*0.05</f>
        <v/>
      </c>
      <c r="N12" s="38">
        <f>SUM(B12:M12)</f>
        <v/>
      </c>
    </row>
    <row r="13" ht="13" customHeight="1">
      <c r="A13" s="37" t="inlineStr">
        <is>
          <t xml:space="preserve">    Uniform</t>
        </is>
      </c>
      <c r="B13" s="38">
        <f>'Children Plan'!B15*1.18</f>
        <v/>
      </c>
      <c r="C13" s="38">
        <f>'Children Plan'!C15*1.18</f>
        <v/>
      </c>
      <c r="D13" s="38">
        <f>'Children Plan'!D15*1.18</f>
        <v/>
      </c>
      <c r="E13" s="38">
        <f>'Children Plan'!E15*1.18</f>
        <v/>
      </c>
      <c r="F13" s="38">
        <f>'Children Plan'!F15*1.18</f>
        <v/>
      </c>
      <c r="G13" s="38">
        <f>'Children Plan'!G15*1.18</f>
        <v/>
      </c>
      <c r="H13" s="38">
        <f>'Children Plan'!H15*1.18</f>
        <v/>
      </c>
      <c r="I13" s="38">
        <f>'Children Plan'!I15*1.18</f>
        <v/>
      </c>
      <c r="J13" s="38">
        <f>'Children Plan'!J15*1.18</f>
        <v/>
      </c>
      <c r="K13" s="38">
        <f>'Children Plan'!K15*1.18</f>
        <v/>
      </c>
      <c r="L13" s="38">
        <f>'Children Plan'!L15*1.18</f>
        <v/>
      </c>
      <c r="M13" s="38">
        <f>'Children Plan'!M15*1.18</f>
        <v/>
      </c>
      <c r="N13" s="38">
        <f>SUM(B13:M13)</f>
        <v/>
      </c>
    </row>
    <row r="14" ht="13" customHeight="1">
      <c r="A14" s="37" t="inlineStr">
        <is>
          <t xml:space="preserve">    Training</t>
        </is>
      </c>
      <c r="B14" s="38">
        <f>'Children Plan'!B15*2.75</f>
        <v/>
      </c>
      <c r="C14" s="38">
        <f>'Children Plan'!C15*2.75</f>
        <v/>
      </c>
      <c r="D14" s="38">
        <f>'Children Plan'!D15*2.75</f>
        <v/>
      </c>
      <c r="E14" s="38">
        <f>'Children Plan'!E15*2.75</f>
        <v/>
      </c>
      <c r="F14" s="38">
        <f>'Children Plan'!F15*2.75</f>
        <v/>
      </c>
      <c r="G14" s="38">
        <f>'Children Plan'!G15*2.75</f>
        <v/>
      </c>
      <c r="H14" s="38">
        <f>'Children Plan'!H15*2.75</f>
        <v/>
      </c>
      <c r="I14" s="38">
        <f>'Children Plan'!I15*2.75</f>
        <v/>
      </c>
      <c r="J14" s="38">
        <f>'Children Plan'!J15*2.75</f>
        <v/>
      </c>
      <c r="K14" s="38">
        <f>'Children Plan'!K15*2.75</f>
        <v/>
      </c>
      <c r="L14" s="38">
        <f>'Children Plan'!L15*2.75</f>
        <v/>
      </c>
      <c r="M14" s="38">
        <f>'Children Plan'!M15*2.75</f>
        <v/>
      </c>
      <c r="N14" s="38">
        <f>SUM(B14:M14)</f>
        <v/>
      </c>
    </row>
    <row r="15" ht="13" customHeight="1">
      <c r="A15" s="37" t="inlineStr">
        <is>
          <t xml:space="preserve">    Staff Welfare</t>
        </is>
      </c>
      <c r="B15" s="38">
        <f>'Children Plan'!B15*4.77</f>
        <v/>
      </c>
      <c r="C15" s="38">
        <f>'Children Plan'!C15*4.77</f>
        <v/>
      </c>
      <c r="D15" s="38">
        <f>'Children Plan'!D15*4.77</f>
        <v/>
      </c>
      <c r="E15" s="38">
        <f>'Children Plan'!E15*4.77</f>
        <v/>
      </c>
      <c r="F15" s="38">
        <f>'Children Plan'!F15*4.77</f>
        <v/>
      </c>
      <c r="G15" s="38">
        <f>'Children Plan'!G15*4.77</f>
        <v/>
      </c>
      <c r="H15" s="38">
        <f>'Children Plan'!H15*4.77</f>
        <v/>
      </c>
      <c r="I15" s="38">
        <f>'Children Plan'!I15*4.77</f>
        <v/>
      </c>
      <c r="J15" s="38">
        <f>'Children Plan'!J15*4.77</f>
        <v/>
      </c>
      <c r="K15" s="38">
        <f>'Children Plan'!K15*4.77</f>
        <v/>
      </c>
      <c r="L15" s="38">
        <f>'Children Plan'!L15*4.77</f>
        <v/>
      </c>
      <c r="M15" s="38">
        <f>'Children Plan'!M15*4.77</f>
        <v/>
      </c>
      <c r="N15" s="38">
        <f>SUM(B15:M15)</f>
        <v/>
      </c>
    </row>
    <row r="16" ht="13" customHeight="1">
      <c r="A16" s="37" t="inlineStr">
        <is>
          <t xml:space="preserve">    Rewards &amp; Recognition</t>
        </is>
      </c>
      <c r="B16" s="38">
        <f>'Children Plan'!B15*1.07</f>
        <v/>
      </c>
      <c r="C16" s="38">
        <f>'Children Plan'!C15*1.07</f>
        <v/>
      </c>
      <c r="D16" s="38">
        <f>'Children Plan'!D15*1.07</f>
        <v/>
      </c>
      <c r="E16" s="38">
        <f>'Children Plan'!E15*1.07</f>
        <v/>
      </c>
      <c r="F16" s="38">
        <f>'Children Plan'!F15*1.07</f>
        <v/>
      </c>
      <c r="G16" s="38">
        <f>'Children Plan'!G15*1.07</f>
        <v/>
      </c>
      <c r="H16" s="38">
        <f>'Children Plan'!H15*1.07</f>
        <v/>
      </c>
      <c r="I16" s="38">
        <f>'Children Plan'!I15*1.07</f>
        <v/>
      </c>
      <c r="J16" s="38">
        <f>'Children Plan'!J15*1.07</f>
        <v/>
      </c>
      <c r="K16" s="38">
        <f>'Children Plan'!K15*1.07</f>
        <v/>
      </c>
      <c r="L16" s="38">
        <f>'Children Plan'!L15*1.07</f>
        <v/>
      </c>
      <c r="M16" s="38">
        <f>'Children Plan'!M15*1.07</f>
        <v/>
      </c>
      <c r="N16" s="38">
        <f>SUM(B16:M16)</f>
        <v/>
      </c>
    </row>
    <row r="17" ht="15" customHeight="1">
      <c r="A17" s="6" t="inlineStr">
        <is>
          <t>Total Personnel</t>
        </is>
      </c>
      <c r="B17" s="39">
        <f>B10+B11+B12+B13+B14+B15+B16</f>
        <v/>
      </c>
      <c r="C17" s="39">
        <f>C10+C11+C12+C13+C14+C15+C16</f>
        <v/>
      </c>
      <c r="D17" s="39">
        <f>D10+D11+D12+D13+D14+D15+D16</f>
        <v/>
      </c>
      <c r="E17" s="39">
        <f>E10+E11+E12+E13+E14+E15+E16</f>
        <v/>
      </c>
      <c r="F17" s="39">
        <f>F10+F11+F12+F13+F14+F15+F16</f>
        <v/>
      </c>
      <c r="G17" s="39">
        <f>G10+G11+G12+G13+G14+G15+G16</f>
        <v/>
      </c>
      <c r="H17" s="39">
        <f>H10+H11+H12+H13+H14+H15+H16</f>
        <v/>
      </c>
      <c r="I17" s="39">
        <f>I10+I11+I12+I13+I14+I15+I16</f>
        <v/>
      </c>
      <c r="J17" s="39">
        <f>J10+J11+J12+J13+J14+J15+J16</f>
        <v/>
      </c>
      <c r="K17" s="39">
        <f>K10+K11+K12+K13+K14+K15+K16</f>
        <v/>
      </c>
      <c r="L17" s="39">
        <f>L10+L11+L12+L13+L14+L15+L16</f>
        <v/>
      </c>
      <c r="M17" s="39">
        <f>M10+M11+M12+M13+M14+M15+M16</f>
        <v/>
      </c>
      <c r="N17" s="39">
        <f>N10+N11+N12+N13+N14+N15+N16</f>
        <v/>
      </c>
    </row>
    <row r="18" ht="13" customHeight="1">
      <c r="A18" s="40" t="inlineStr">
        <is>
          <t xml:space="preserve">    Sal:Rev</t>
        </is>
      </c>
      <c r="B18" s="41">
        <f>IF(B8&gt;0,B17/B8,0)</f>
        <v/>
      </c>
      <c r="C18" s="41">
        <f>IF(C8&gt;0,C17/C8,0)</f>
        <v/>
      </c>
      <c r="D18" s="41">
        <f>IF(D8&gt;0,D17/D8,0)</f>
        <v/>
      </c>
      <c r="E18" s="41">
        <f>IF(E8&gt;0,E17/E8,0)</f>
        <v/>
      </c>
      <c r="F18" s="41">
        <f>IF(F8&gt;0,F17/F8,0)</f>
        <v/>
      </c>
      <c r="G18" s="41">
        <f>IF(G8&gt;0,G17/G8,0)</f>
        <v/>
      </c>
      <c r="H18" s="41">
        <f>IF(H8&gt;0,H17/H8,0)</f>
        <v/>
      </c>
      <c r="I18" s="41">
        <f>IF(I8&gt;0,I17/I8,0)</f>
        <v/>
      </c>
      <c r="J18" s="41">
        <f>IF(J8&gt;0,J17/J8,0)</f>
        <v/>
      </c>
      <c r="K18" s="41">
        <f>IF(K8&gt;0,K17/K8,0)</f>
        <v/>
      </c>
      <c r="L18" s="41">
        <f>IF(L8&gt;0,L17/L8,0)</f>
        <v/>
      </c>
      <c r="M18" s="41">
        <f>IF(M8&gt;0,M17/M8,0)</f>
        <v/>
      </c>
      <c r="N18" s="41">
        <f>IF(N8&gt;0,N17/N8,0)</f>
        <v/>
      </c>
    </row>
    <row r="19" ht="15" customHeight="1">
      <c r="A19" s="7" t="inlineStr">
        <is>
          <t>CHILDCARE COSTS (per child)</t>
        </is>
      </c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</row>
    <row r="20" ht="13" customHeight="1">
      <c r="A20" s="43" t="inlineStr">
        <is>
          <t xml:space="preserve">    Catering Costs</t>
        </is>
      </c>
      <c r="B20" s="44">
        <f>'Children Plan'!B6*Inputs!$B$20</f>
        <v/>
      </c>
      <c r="C20" s="44">
        <f>'Children Plan'!C6*Inputs!$B$20</f>
        <v/>
      </c>
      <c r="D20" s="44">
        <f>'Children Plan'!D6*Inputs!$B$20</f>
        <v/>
      </c>
      <c r="E20" s="44">
        <f>'Children Plan'!E6*Inputs!$B$20</f>
        <v/>
      </c>
      <c r="F20" s="44">
        <f>'Children Plan'!F6*Inputs!$B$20</f>
        <v/>
      </c>
      <c r="G20" s="44">
        <f>'Children Plan'!G6*Inputs!$B$20</f>
        <v/>
      </c>
      <c r="H20" s="44">
        <f>'Children Plan'!H6*Inputs!$B$20</f>
        <v/>
      </c>
      <c r="I20" s="44">
        <f>'Children Plan'!I6*Inputs!$B$20</f>
        <v/>
      </c>
      <c r="J20" s="44">
        <f>'Children Plan'!J6*Inputs!$B$20</f>
        <v/>
      </c>
      <c r="K20" s="44">
        <f>'Children Plan'!K6*Inputs!$B$20</f>
        <v/>
      </c>
      <c r="L20" s="44">
        <f>'Children Plan'!L6*Inputs!$B$20</f>
        <v/>
      </c>
      <c r="M20" s="44">
        <f>'Children Plan'!M6*Inputs!$B$20</f>
        <v/>
      </c>
      <c r="N20" s="44">
        <f>SUM(B20:M20)</f>
        <v/>
      </c>
    </row>
    <row r="21" ht="13" customHeight="1">
      <c r="A21" s="43" t="inlineStr">
        <is>
          <t xml:space="preserve">    Toys and Games</t>
        </is>
      </c>
      <c r="B21" s="44">
        <f>'Children Plan'!B6*Inputs!$B$21</f>
        <v/>
      </c>
      <c r="C21" s="44">
        <f>'Children Plan'!C6*Inputs!$B$21</f>
        <v/>
      </c>
      <c r="D21" s="44">
        <f>'Children Plan'!D6*Inputs!$B$21</f>
        <v/>
      </c>
      <c r="E21" s="44">
        <f>'Children Plan'!E6*Inputs!$B$21</f>
        <v/>
      </c>
      <c r="F21" s="44">
        <f>'Children Plan'!F6*Inputs!$B$21</f>
        <v/>
      </c>
      <c r="G21" s="44">
        <f>'Children Plan'!G6*Inputs!$B$21</f>
        <v/>
      </c>
      <c r="H21" s="44">
        <f>'Children Plan'!H6*Inputs!$B$21</f>
        <v/>
      </c>
      <c r="I21" s="44">
        <f>'Children Plan'!I6*Inputs!$B$21</f>
        <v/>
      </c>
      <c r="J21" s="44">
        <f>'Children Plan'!J6*Inputs!$B$21</f>
        <v/>
      </c>
      <c r="K21" s="44">
        <f>'Children Plan'!K6*Inputs!$B$21</f>
        <v/>
      </c>
      <c r="L21" s="44">
        <f>'Children Plan'!L6*Inputs!$B$21</f>
        <v/>
      </c>
      <c r="M21" s="44">
        <f>'Children Plan'!M6*Inputs!$B$21</f>
        <v/>
      </c>
      <c r="N21" s="44">
        <f>SUM(B21:M21)</f>
        <v/>
      </c>
    </row>
    <row r="22" ht="13" customHeight="1">
      <c r="A22" s="43" t="inlineStr">
        <is>
          <t xml:space="preserve">    Art Materials</t>
        </is>
      </c>
      <c r="B22" s="44">
        <f>'Children Plan'!B6*Inputs!$B$22</f>
        <v/>
      </c>
      <c r="C22" s="44">
        <f>'Children Plan'!C6*Inputs!$B$22</f>
        <v/>
      </c>
      <c r="D22" s="44">
        <f>'Children Plan'!D6*Inputs!$B$22</f>
        <v/>
      </c>
      <c r="E22" s="44">
        <f>'Children Plan'!E6*Inputs!$B$22</f>
        <v/>
      </c>
      <c r="F22" s="44">
        <f>'Children Plan'!F6*Inputs!$B$22</f>
        <v/>
      </c>
      <c r="G22" s="44">
        <f>'Children Plan'!G6*Inputs!$B$22</f>
        <v/>
      </c>
      <c r="H22" s="44">
        <f>'Children Plan'!H6*Inputs!$B$22</f>
        <v/>
      </c>
      <c r="I22" s="44">
        <f>'Children Plan'!I6*Inputs!$B$22</f>
        <v/>
      </c>
      <c r="J22" s="44">
        <f>'Children Plan'!J6*Inputs!$B$22</f>
        <v/>
      </c>
      <c r="K22" s="44">
        <f>'Children Plan'!K6*Inputs!$B$22</f>
        <v/>
      </c>
      <c r="L22" s="44">
        <f>'Children Plan'!L6*Inputs!$B$22</f>
        <v/>
      </c>
      <c r="M22" s="44">
        <f>'Children Plan'!M6*Inputs!$B$22</f>
        <v/>
      </c>
      <c r="N22" s="44">
        <f>SUM(B22:M22)</f>
        <v/>
      </c>
    </row>
    <row r="23" ht="13" customHeight="1">
      <c r="A23" s="43" t="inlineStr">
        <is>
          <t xml:space="preserve">    Nursery Stationery</t>
        </is>
      </c>
      <c r="B23" s="44">
        <f>'Children Plan'!B6*Inputs!$B$23</f>
        <v/>
      </c>
      <c r="C23" s="44">
        <f>'Children Plan'!C6*Inputs!$B$23</f>
        <v/>
      </c>
      <c r="D23" s="44">
        <f>'Children Plan'!D6*Inputs!$B$23</f>
        <v/>
      </c>
      <c r="E23" s="44">
        <f>'Children Plan'!E6*Inputs!$B$23</f>
        <v/>
      </c>
      <c r="F23" s="44">
        <f>'Children Plan'!F6*Inputs!$B$23</f>
        <v/>
      </c>
      <c r="G23" s="44">
        <f>'Children Plan'!G6*Inputs!$B$23</f>
        <v/>
      </c>
      <c r="H23" s="44">
        <f>'Children Plan'!H6*Inputs!$B$23</f>
        <v/>
      </c>
      <c r="I23" s="44">
        <f>'Children Plan'!I6*Inputs!$B$23</f>
        <v/>
      </c>
      <c r="J23" s="44">
        <f>'Children Plan'!J6*Inputs!$B$23</f>
        <v/>
      </c>
      <c r="K23" s="44">
        <f>'Children Plan'!K6*Inputs!$B$23</f>
        <v/>
      </c>
      <c r="L23" s="44">
        <f>'Children Plan'!L6*Inputs!$B$23</f>
        <v/>
      </c>
      <c r="M23" s="44">
        <f>'Children Plan'!M6*Inputs!$B$23</f>
        <v/>
      </c>
      <c r="N23" s="44">
        <f>SUM(B23:M23)</f>
        <v/>
      </c>
    </row>
    <row r="24" ht="13" customHeight="1">
      <c r="A24" s="43" t="inlineStr">
        <is>
          <t xml:space="preserve">    Nursery Equipment</t>
        </is>
      </c>
      <c r="B24" s="44">
        <f>'Children Plan'!B6*Inputs!$B$24</f>
        <v/>
      </c>
      <c r="C24" s="44">
        <f>'Children Plan'!C6*Inputs!$B$24</f>
        <v/>
      </c>
      <c r="D24" s="44">
        <f>'Children Plan'!D6*Inputs!$B$24</f>
        <v/>
      </c>
      <c r="E24" s="44">
        <f>'Children Plan'!E6*Inputs!$B$24</f>
        <v/>
      </c>
      <c r="F24" s="44">
        <f>'Children Plan'!F6*Inputs!$B$24</f>
        <v/>
      </c>
      <c r="G24" s="44">
        <f>'Children Plan'!G6*Inputs!$B$24</f>
        <v/>
      </c>
      <c r="H24" s="44">
        <f>'Children Plan'!H6*Inputs!$B$24</f>
        <v/>
      </c>
      <c r="I24" s="44">
        <f>'Children Plan'!I6*Inputs!$B$24</f>
        <v/>
      </c>
      <c r="J24" s="44">
        <f>'Children Plan'!J6*Inputs!$B$24</f>
        <v/>
      </c>
      <c r="K24" s="44">
        <f>'Children Plan'!K6*Inputs!$B$24</f>
        <v/>
      </c>
      <c r="L24" s="44">
        <f>'Children Plan'!L6*Inputs!$B$24</f>
        <v/>
      </c>
      <c r="M24" s="44">
        <f>'Children Plan'!M6*Inputs!$B$24</f>
        <v/>
      </c>
      <c r="N24" s="44">
        <f>SUM(B24:M24)</f>
        <v/>
      </c>
    </row>
    <row r="25" ht="13" customHeight="1">
      <c r="A25" s="43" t="inlineStr">
        <is>
          <t xml:space="preserve">    Nursery Consumables</t>
        </is>
      </c>
      <c r="B25" s="44">
        <f>'Children Plan'!B6*Inputs!$B$25</f>
        <v/>
      </c>
      <c r="C25" s="44">
        <f>'Children Plan'!C6*Inputs!$B$25</f>
        <v/>
      </c>
      <c r="D25" s="44">
        <f>'Children Plan'!D6*Inputs!$B$25</f>
        <v/>
      </c>
      <c r="E25" s="44">
        <f>'Children Plan'!E6*Inputs!$B$25</f>
        <v/>
      </c>
      <c r="F25" s="44">
        <f>'Children Plan'!F6*Inputs!$B$25</f>
        <v/>
      </c>
      <c r="G25" s="44">
        <f>'Children Plan'!G6*Inputs!$B$25</f>
        <v/>
      </c>
      <c r="H25" s="44">
        <f>'Children Plan'!H6*Inputs!$B$25</f>
        <v/>
      </c>
      <c r="I25" s="44">
        <f>'Children Plan'!I6*Inputs!$B$25</f>
        <v/>
      </c>
      <c r="J25" s="44">
        <f>'Children Plan'!J6*Inputs!$B$25</f>
        <v/>
      </c>
      <c r="K25" s="44">
        <f>'Children Plan'!K6*Inputs!$B$25</f>
        <v/>
      </c>
      <c r="L25" s="44">
        <f>'Children Plan'!L6*Inputs!$B$25</f>
        <v/>
      </c>
      <c r="M25" s="44">
        <f>'Children Plan'!M6*Inputs!$B$25</f>
        <v/>
      </c>
      <c r="N25" s="44">
        <f>SUM(B25:M25)</f>
        <v/>
      </c>
    </row>
    <row r="26" ht="15" customHeight="1">
      <c r="A26" s="7" t="inlineStr">
        <is>
          <t>Total Childcare Costs</t>
        </is>
      </c>
      <c r="B26" s="45">
        <f>B20+B21+B22+B23+B24+B25</f>
        <v/>
      </c>
      <c r="C26" s="45">
        <f>C20+C21+C22+C23+C24+C25</f>
        <v/>
      </c>
      <c r="D26" s="45">
        <f>D20+D21+D22+D23+D24+D25</f>
        <v/>
      </c>
      <c r="E26" s="45">
        <f>E20+E21+E22+E23+E24+E25</f>
        <v/>
      </c>
      <c r="F26" s="45">
        <f>F20+F21+F22+F23+F24+F25</f>
        <v/>
      </c>
      <c r="G26" s="45">
        <f>G20+G21+G22+G23+G24+G25</f>
        <v/>
      </c>
      <c r="H26" s="45">
        <f>H20+H21+H22+H23+H24+H25</f>
        <v/>
      </c>
      <c r="I26" s="45">
        <f>I20+I21+I22+I23+I24+I25</f>
        <v/>
      </c>
      <c r="J26" s="45">
        <f>J20+J21+J22+J23+J24+J25</f>
        <v/>
      </c>
      <c r="K26" s="45">
        <f>K20+K21+K22+K23+K24+K25</f>
        <v/>
      </c>
      <c r="L26" s="45">
        <f>L20+L21+L22+L23+L24+L25</f>
        <v/>
      </c>
      <c r="M26" s="45">
        <f>M20+M21+M22+M23+M24+M25</f>
        <v/>
      </c>
      <c r="N26" s="45">
        <f>N20+N21+N22+N23+N24+N25</f>
        <v/>
      </c>
    </row>
    <row r="27" ht="15" customHeight="1">
      <c r="A27" s="9" t="inlineStr">
        <is>
          <t>PREMISES &amp; ADMIN (fixed/semi-fixed)</t>
        </is>
      </c>
      <c r="B27" s="46" t="n"/>
      <c r="C27" s="46" t="n"/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</row>
    <row r="28" ht="13" customHeight="1">
      <c r="A28" s="47" t="inlineStr">
        <is>
          <t xml:space="preserve">    Business Rates</t>
        </is>
      </c>
      <c r="B28" s="48">
        <f>Inputs!$B$28</f>
        <v/>
      </c>
      <c r="C28" s="48">
        <f>Inputs!$B$28</f>
        <v/>
      </c>
      <c r="D28" s="48">
        <f>Inputs!$B$28</f>
        <v/>
      </c>
      <c r="E28" s="48">
        <f>Inputs!$B$28</f>
        <v/>
      </c>
      <c r="F28" s="48">
        <f>Inputs!$B$28</f>
        <v/>
      </c>
      <c r="G28" s="48">
        <f>Inputs!$B$28</f>
        <v/>
      </c>
      <c r="H28" s="48">
        <f>Inputs!$B$28</f>
        <v/>
      </c>
      <c r="I28" s="48">
        <f>Inputs!$B$28</f>
        <v/>
      </c>
      <c r="J28" s="48">
        <f>Inputs!$B$28</f>
        <v/>
      </c>
      <c r="K28" s="48">
        <f>Inputs!$B$28</f>
        <v/>
      </c>
      <c r="L28" s="48">
        <f>Inputs!$B$28</f>
        <v/>
      </c>
      <c r="M28" s="48">
        <f>Inputs!$B$28</f>
        <v/>
      </c>
      <c r="N28" s="48">
        <f>SUM(B28:M28)</f>
        <v/>
      </c>
    </row>
    <row r="29" ht="13" customHeight="1">
      <c r="A29" s="47" t="inlineStr">
        <is>
          <t xml:space="preserve">    Utilities — light/heat</t>
        </is>
      </c>
      <c r="B29" s="48">
        <f>Inputs!$B$29</f>
        <v/>
      </c>
      <c r="C29" s="48">
        <f>Inputs!$B$29</f>
        <v/>
      </c>
      <c r="D29" s="48">
        <f>Inputs!$B$29</f>
        <v/>
      </c>
      <c r="E29" s="48">
        <f>Inputs!$B$29</f>
        <v/>
      </c>
      <c r="F29" s="48">
        <f>Inputs!$B$29</f>
        <v/>
      </c>
      <c r="G29" s="48">
        <f>Inputs!$B$29</f>
        <v/>
      </c>
      <c r="H29" s="48">
        <f>Inputs!$B$29</f>
        <v/>
      </c>
      <c r="I29" s="48">
        <f>Inputs!$B$29</f>
        <v/>
      </c>
      <c r="J29" s="48">
        <f>Inputs!$B$29</f>
        <v/>
      </c>
      <c r="K29" s="48">
        <f>Inputs!$B$29</f>
        <v/>
      </c>
      <c r="L29" s="48">
        <f>Inputs!$B$29</f>
        <v/>
      </c>
      <c r="M29" s="48">
        <f>Inputs!$B$29</f>
        <v/>
      </c>
      <c r="N29" s="48">
        <f>SUM(B29:M29)</f>
        <v/>
      </c>
    </row>
    <row r="30" ht="13" customHeight="1">
      <c r="A30" s="47" t="inlineStr">
        <is>
          <t xml:space="preserve">    Repairs &amp; Maintenance</t>
        </is>
      </c>
      <c r="B30" s="48">
        <f>Inputs!$B$30</f>
        <v/>
      </c>
      <c r="C30" s="48">
        <f>Inputs!$B$30</f>
        <v/>
      </c>
      <c r="D30" s="48">
        <f>Inputs!$B$30</f>
        <v/>
      </c>
      <c r="E30" s="48">
        <f>Inputs!$B$30</f>
        <v/>
      </c>
      <c r="F30" s="48">
        <f>Inputs!$B$30</f>
        <v/>
      </c>
      <c r="G30" s="48">
        <f>Inputs!$B$30</f>
        <v/>
      </c>
      <c r="H30" s="48">
        <f>Inputs!$B$30</f>
        <v/>
      </c>
      <c r="I30" s="48">
        <f>Inputs!$B$30</f>
        <v/>
      </c>
      <c r="J30" s="48">
        <f>Inputs!$B$30</f>
        <v/>
      </c>
      <c r="K30" s="48">
        <f>Inputs!$B$30</f>
        <v/>
      </c>
      <c r="L30" s="48">
        <f>Inputs!$B$30</f>
        <v/>
      </c>
      <c r="M30" s="48">
        <f>Inputs!$B$30</f>
        <v/>
      </c>
      <c r="N30" s="48">
        <f>SUM(B30:M30)</f>
        <v/>
      </c>
    </row>
    <row r="31" ht="13" customHeight="1">
      <c r="A31" s="47" t="inlineStr">
        <is>
          <t xml:space="preserve">    Cleaning</t>
        </is>
      </c>
      <c r="B31" s="48">
        <f>Inputs!$B$31</f>
        <v/>
      </c>
      <c r="C31" s="48">
        <f>Inputs!$B$31</f>
        <v/>
      </c>
      <c r="D31" s="48">
        <f>Inputs!$B$31</f>
        <v/>
      </c>
      <c r="E31" s="48">
        <f>Inputs!$B$31</f>
        <v/>
      </c>
      <c r="F31" s="48">
        <f>Inputs!$B$31</f>
        <v/>
      </c>
      <c r="G31" s="48">
        <f>Inputs!$B$31</f>
        <v/>
      </c>
      <c r="H31" s="48">
        <f>Inputs!$B$31</f>
        <v/>
      </c>
      <c r="I31" s="48">
        <f>Inputs!$B$31</f>
        <v/>
      </c>
      <c r="J31" s="48">
        <f>Inputs!$B$31</f>
        <v/>
      </c>
      <c r="K31" s="48">
        <f>Inputs!$B$31</f>
        <v/>
      </c>
      <c r="L31" s="48">
        <f>Inputs!$B$31</f>
        <v/>
      </c>
      <c r="M31" s="48">
        <f>Inputs!$B$31</f>
        <v/>
      </c>
      <c r="N31" s="48">
        <f>SUM(B31:M31)</f>
        <v/>
      </c>
    </row>
    <row r="32" ht="13" customHeight="1">
      <c r="A32" s="47" t="inlineStr">
        <is>
          <t xml:space="preserve">    Waste Disposal</t>
        </is>
      </c>
      <c r="B32" s="48">
        <f>Inputs!$B$32</f>
        <v/>
      </c>
      <c r="C32" s="48">
        <f>Inputs!$B$32</f>
        <v/>
      </c>
      <c r="D32" s="48">
        <f>Inputs!$B$32</f>
        <v/>
      </c>
      <c r="E32" s="48">
        <f>Inputs!$B$32</f>
        <v/>
      </c>
      <c r="F32" s="48">
        <f>Inputs!$B$32</f>
        <v/>
      </c>
      <c r="G32" s="48">
        <f>Inputs!$B$32</f>
        <v/>
      </c>
      <c r="H32" s="48">
        <f>Inputs!$B$32</f>
        <v/>
      </c>
      <c r="I32" s="48">
        <f>Inputs!$B$32</f>
        <v/>
      </c>
      <c r="J32" s="48">
        <f>Inputs!$B$32</f>
        <v/>
      </c>
      <c r="K32" s="48">
        <f>Inputs!$B$32</f>
        <v/>
      </c>
      <c r="L32" s="48">
        <f>Inputs!$B$32</f>
        <v/>
      </c>
      <c r="M32" s="48">
        <f>Inputs!$B$32</f>
        <v/>
      </c>
      <c r="N32" s="48">
        <f>SUM(B32:M32)</f>
        <v/>
      </c>
    </row>
    <row r="33" ht="13" customHeight="1">
      <c r="A33" s="47" t="inlineStr">
        <is>
          <t xml:space="preserve">    Postage/Printing/Stationery</t>
        </is>
      </c>
      <c r="B33" s="48">
        <f>Inputs!$B$33</f>
        <v/>
      </c>
      <c r="C33" s="48">
        <f>Inputs!$B$33</f>
        <v/>
      </c>
      <c r="D33" s="48">
        <f>Inputs!$B$33</f>
        <v/>
      </c>
      <c r="E33" s="48">
        <f>Inputs!$B$33</f>
        <v/>
      </c>
      <c r="F33" s="48">
        <f>Inputs!$B$33</f>
        <v/>
      </c>
      <c r="G33" s="48">
        <f>Inputs!$B$33</f>
        <v/>
      </c>
      <c r="H33" s="48">
        <f>Inputs!$B$33</f>
        <v/>
      </c>
      <c r="I33" s="48">
        <f>Inputs!$B$33</f>
        <v/>
      </c>
      <c r="J33" s="48">
        <f>Inputs!$B$33</f>
        <v/>
      </c>
      <c r="K33" s="48">
        <f>Inputs!$B$33</f>
        <v/>
      </c>
      <c r="L33" s="48">
        <f>Inputs!$B$33</f>
        <v/>
      </c>
      <c r="M33" s="48">
        <f>Inputs!$B$33</f>
        <v/>
      </c>
      <c r="N33" s="48">
        <f>SUM(B33:M33)</f>
        <v/>
      </c>
    </row>
    <row r="34" ht="13" customHeight="1">
      <c r="A34" s="47" t="inlineStr">
        <is>
          <t xml:space="preserve">    Marketing</t>
        </is>
      </c>
      <c r="B34" s="48">
        <f>Inputs!$B$34</f>
        <v/>
      </c>
      <c r="C34" s="48">
        <f>Inputs!$B$34</f>
        <v/>
      </c>
      <c r="D34" s="48">
        <f>Inputs!$B$34</f>
        <v/>
      </c>
      <c r="E34" s="48">
        <f>Inputs!$B$34</f>
        <v/>
      </c>
      <c r="F34" s="48">
        <f>Inputs!$B$34</f>
        <v/>
      </c>
      <c r="G34" s="48">
        <f>Inputs!$B$34</f>
        <v/>
      </c>
      <c r="H34" s="48">
        <f>Inputs!$B$34</f>
        <v/>
      </c>
      <c r="I34" s="48">
        <f>Inputs!$B$34</f>
        <v/>
      </c>
      <c r="J34" s="48">
        <f>Inputs!$B$34</f>
        <v/>
      </c>
      <c r="K34" s="48">
        <f>Inputs!$B$34</f>
        <v/>
      </c>
      <c r="L34" s="48">
        <f>Inputs!$B$34</f>
        <v/>
      </c>
      <c r="M34" s="48">
        <f>Inputs!$B$34</f>
        <v/>
      </c>
      <c r="N34" s="48">
        <f>SUM(B34:M34)</f>
        <v/>
      </c>
    </row>
    <row r="35" ht="13" customHeight="1">
      <c r="A35" s="47" t="inlineStr">
        <is>
          <t xml:space="preserve">    IT Support</t>
        </is>
      </c>
      <c r="B35" s="48">
        <f>Inputs!$B$35</f>
        <v/>
      </c>
      <c r="C35" s="48">
        <f>Inputs!$B$35</f>
        <v/>
      </c>
      <c r="D35" s="48">
        <f>Inputs!$B$35</f>
        <v/>
      </c>
      <c r="E35" s="48">
        <f>Inputs!$B$35</f>
        <v/>
      </c>
      <c r="F35" s="48">
        <f>Inputs!$B$35</f>
        <v/>
      </c>
      <c r="G35" s="48">
        <f>Inputs!$B$35</f>
        <v/>
      </c>
      <c r="H35" s="48">
        <f>Inputs!$B$35</f>
        <v/>
      </c>
      <c r="I35" s="48">
        <f>Inputs!$B$35</f>
        <v/>
      </c>
      <c r="J35" s="48">
        <f>Inputs!$B$35</f>
        <v/>
      </c>
      <c r="K35" s="48">
        <f>Inputs!$B$35</f>
        <v/>
      </c>
      <c r="L35" s="48">
        <f>Inputs!$B$35</f>
        <v/>
      </c>
      <c r="M35" s="48">
        <f>Inputs!$B$35</f>
        <v/>
      </c>
      <c r="N35" s="48">
        <f>SUM(B35:M35)</f>
        <v/>
      </c>
    </row>
    <row r="36" ht="13" customHeight="1">
      <c r="A36" s="47" t="inlineStr">
        <is>
          <t xml:space="preserve">    Fees &amp; Subscriptions</t>
        </is>
      </c>
      <c r="B36" s="48">
        <f>Inputs!$B$36</f>
        <v/>
      </c>
      <c r="C36" s="48">
        <f>Inputs!$B$36</f>
        <v/>
      </c>
      <c r="D36" s="48">
        <f>Inputs!$B$36</f>
        <v/>
      </c>
      <c r="E36" s="48">
        <f>Inputs!$B$36</f>
        <v/>
      </c>
      <c r="F36" s="48">
        <f>Inputs!$B$36</f>
        <v/>
      </c>
      <c r="G36" s="48">
        <f>Inputs!$B$36</f>
        <v/>
      </c>
      <c r="H36" s="48">
        <f>Inputs!$B$36</f>
        <v/>
      </c>
      <c r="I36" s="48">
        <f>Inputs!$B$36</f>
        <v/>
      </c>
      <c r="J36" s="48">
        <f>Inputs!$B$36</f>
        <v/>
      </c>
      <c r="K36" s="48">
        <f>Inputs!$B$36</f>
        <v/>
      </c>
      <c r="L36" s="48">
        <f>Inputs!$B$36</f>
        <v/>
      </c>
      <c r="M36" s="48">
        <f>Inputs!$B$36</f>
        <v/>
      </c>
      <c r="N36" s="48">
        <f>SUM(B36:M36)</f>
        <v/>
      </c>
    </row>
    <row r="37" ht="15" customHeight="1">
      <c r="A37" s="9" t="inlineStr">
        <is>
          <t>Total Premises &amp; Admin</t>
        </is>
      </c>
      <c r="B37" s="49">
        <f>B28+B29+B30+B31+B32+B33+B34+B35+B36</f>
        <v/>
      </c>
      <c r="C37" s="49">
        <f>C28+C29+C30+C31+C32+C33+C34+C35+C36</f>
        <v/>
      </c>
      <c r="D37" s="49">
        <f>D28+D29+D30+D31+D32+D33+D34+D35+D36</f>
        <v/>
      </c>
      <c r="E37" s="49">
        <f>E28+E29+E30+E31+E32+E33+E34+E35+E36</f>
        <v/>
      </c>
      <c r="F37" s="49">
        <f>F28+F29+F30+F31+F32+F33+F34+F35+F36</f>
        <v/>
      </c>
      <c r="G37" s="49">
        <f>G28+G29+G30+G31+G32+G33+G34+G35+G36</f>
        <v/>
      </c>
      <c r="H37" s="49">
        <f>H28+H29+H30+H31+H32+H33+H34+H35+H36</f>
        <v/>
      </c>
      <c r="I37" s="49">
        <f>I28+I29+I30+I31+I32+I33+I34+I35+I36</f>
        <v/>
      </c>
      <c r="J37" s="49">
        <f>J28+J29+J30+J31+J32+J33+J34+J35+J36</f>
        <v/>
      </c>
      <c r="K37" s="49">
        <f>K28+K29+K30+K31+K32+K33+K34+K35+K36</f>
        <v/>
      </c>
      <c r="L37" s="49">
        <f>L28+L29+L30+L31+L32+L33+L34+L35+L36</f>
        <v/>
      </c>
      <c r="M37" s="49">
        <f>M28+M29+M30+M31+M32+M33+M34+M35+M36</f>
        <v/>
      </c>
      <c r="N37" s="49">
        <f>N28+N29+N30+N31+N32+N33+N34+N35+N36</f>
        <v/>
      </c>
    </row>
    <row r="38" ht="15" customHeight="1">
      <c r="A38" s="11" t="inlineStr">
        <is>
          <t>Total Direct Costs</t>
        </is>
      </c>
      <c r="B38" s="50">
        <f>B17+B26+B37</f>
        <v/>
      </c>
      <c r="C38" s="50">
        <f>C17+C26+C37</f>
        <v/>
      </c>
      <c r="D38" s="50">
        <f>D17+D26+D37</f>
        <v/>
      </c>
      <c r="E38" s="50">
        <f>E17+E26+E37</f>
        <v/>
      </c>
      <c r="F38" s="50">
        <f>F17+F26+F37</f>
        <v/>
      </c>
      <c r="G38" s="50">
        <f>G17+G26+G37</f>
        <v/>
      </c>
      <c r="H38" s="50">
        <f>H17+H26+H37</f>
        <v/>
      </c>
      <c r="I38" s="50">
        <f>I17+I26+I37</f>
        <v/>
      </c>
      <c r="J38" s="50">
        <f>J17+J26+J37</f>
        <v/>
      </c>
      <c r="K38" s="50">
        <f>K17+K26+K37</f>
        <v/>
      </c>
      <c r="L38" s="50">
        <f>L17+L26+L37</f>
        <v/>
      </c>
      <c r="M38" s="50">
        <f>M17+M26+M37</f>
        <v/>
      </c>
      <c r="N38" s="50">
        <f>N17+N26+N37</f>
        <v/>
      </c>
    </row>
    <row r="39" ht="17" customHeight="1">
      <c r="A39" s="10" t="inlineStr">
        <is>
          <t>CONTRIBUTION</t>
        </is>
      </c>
      <c r="B39" s="51">
        <f>B8-B38</f>
        <v/>
      </c>
      <c r="C39" s="51">
        <f>C8-C38</f>
        <v/>
      </c>
      <c r="D39" s="51">
        <f>D8-D38</f>
        <v/>
      </c>
      <c r="E39" s="51">
        <f>E8-E38</f>
        <v/>
      </c>
      <c r="F39" s="51">
        <f>F8-F38</f>
        <v/>
      </c>
      <c r="G39" s="51">
        <f>G8-G38</f>
        <v/>
      </c>
      <c r="H39" s="51">
        <f>H8-H38</f>
        <v/>
      </c>
      <c r="I39" s="51">
        <f>I8-I38</f>
        <v/>
      </c>
      <c r="J39" s="51">
        <f>J8-J38</f>
        <v/>
      </c>
      <c r="K39" s="51">
        <f>K8-K38</f>
        <v/>
      </c>
      <c r="L39" s="51">
        <f>L8-L38</f>
        <v/>
      </c>
      <c r="M39" s="51">
        <f>M8-M38</f>
        <v/>
      </c>
      <c r="N39" s="51">
        <f>N8-N38</f>
        <v/>
      </c>
    </row>
    <row r="40" ht="15" customHeight="1">
      <c r="A40" s="11" t="inlineStr">
        <is>
          <t>IFRS 16 — Lease Accounting</t>
        </is>
      </c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</row>
    <row r="41" ht="13" customHeight="1">
      <c r="A41" s="52" t="inlineStr">
        <is>
          <t xml:space="preserve">    Depreciation — ROU Asset</t>
        </is>
      </c>
      <c r="B41" s="53">
        <f>-Inputs!$B$41</f>
        <v/>
      </c>
      <c r="C41" s="53">
        <f>-Inputs!$B$41</f>
        <v/>
      </c>
      <c r="D41" s="53">
        <f>-Inputs!$B$41</f>
        <v/>
      </c>
      <c r="E41" s="53">
        <f>-Inputs!$B$41</f>
        <v/>
      </c>
      <c r="F41" s="53">
        <f>-Inputs!$B$41</f>
        <v/>
      </c>
      <c r="G41" s="53">
        <f>-Inputs!$B$41</f>
        <v/>
      </c>
      <c r="H41" s="53">
        <f>-Inputs!$B$41</f>
        <v/>
      </c>
      <c r="I41" s="53">
        <f>-Inputs!$B$41</f>
        <v/>
      </c>
      <c r="J41" s="53">
        <f>-Inputs!$B$41</f>
        <v/>
      </c>
      <c r="K41" s="53">
        <f>-Inputs!$B$41</f>
        <v/>
      </c>
      <c r="L41" s="53">
        <f>-Inputs!$B$41</f>
        <v/>
      </c>
      <c r="M41" s="53">
        <f>-Inputs!$B$41</f>
        <v/>
      </c>
      <c r="N41" s="53">
        <f>SUM(B41:M41)</f>
        <v/>
      </c>
    </row>
    <row r="42" ht="16" customHeight="1">
      <c r="A42" s="2" t="inlineStr">
        <is>
          <t>EBIT (Contribution less Depreciation)</t>
        </is>
      </c>
      <c r="B42" s="35">
        <f>B39+B41</f>
        <v/>
      </c>
      <c r="C42" s="35">
        <f>C39+C41</f>
        <v/>
      </c>
      <c r="D42" s="35">
        <f>D39+D41</f>
        <v/>
      </c>
      <c r="E42" s="35">
        <f>E39+E41</f>
        <v/>
      </c>
      <c r="F42" s="35">
        <f>F39+F41</f>
        <v/>
      </c>
      <c r="G42" s="35">
        <f>G39+G41</f>
        <v/>
      </c>
      <c r="H42" s="35">
        <f>H39+H41</f>
        <v/>
      </c>
      <c r="I42" s="35">
        <f>I39+I41</f>
        <v/>
      </c>
      <c r="J42" s="35">
        <f>J39+J41</f>
        <v/>
      </c>
      <c r="K42" s="35">
        <f>K39+K41</f>
        <v/>
      </c>
      <c r="L42" s="35">
        <f>L39+L41</f>
        <v/>
      </c>
      <c r="M42" s="35">
        <f>M39+M41</f>
        <v/>
      </c>
      <c r="N42" s="35">
        <f>N39+N41</f>
        <v/>
      </c>
    </row>
    <row r="43" ht="13" customHeight="1">
      <c r="A43" s="52" t="inlineStr">
        <is>
          <t xml:space="preserve">    Interest — Lease Liability</t>
        </is>
      </c>
      <c r="B43" s="53">
        <f>-Inputs!$B$42</f>
        <v/>
      </c>
      <c r="C43" s="53">
        <f>-Inputs!$B$42</f>
        <v/>
      </c>
      <c r="D43" s="53">
        <f>-Inputs!$B$42</f>
        <v/>
      </c>
      <c r="E43" s="53">
        <f>-Inputs!$B$42</f>
        <v/>
      </c>
      <c r="F43" s="53">
        <f>-Inputs!$B$42</f>
        <v/>
      </c>
      <c r="G43" s="53">
        <f>-Inputs!$B$42</f>
        <v/>
      </c>
      <c r="H43" s="53">
        <f>-Inputs!$B$42</f>
        <v/>
      </c>
      <c r="I43" s="53">
        <f>-Inputs!$B$42</f>
        <v/>
      </c>
      <c r="J43" s="53">
        <f>-Inputs!$B$42</f>
        <v/>
      </c>
      <c r="K43" s="53">
        <f>-Inputs!$B$42</f>
        <v/>
      </c>
      <c r="L43" s="53">
        <f>-Inputs!$B$42</f>
        <v/>
      </c>
      <c r="M43" s="53">
        <f>-Inputs!$B$42</f>
        <v/>
      </c>
      <c r="N43" s="53">
        <f>SUM(B43:M43)</f>
        <v/>
      </c>
    </row>
    <row r="44" ht="16" customHeight="1">
      <c r="A44" s="28" t="inlineStr">
        <is>
          <t>EBT (EBIT less Interest)</t>
        </is>
      </c>
      <c r="B44" s="54">
        <f>B42+B43</f>
        <v/>
      </c>
      <c r="C44" s="54">
        <f>C42+C43</f>
        <v/>
      </c>
      <c r="D44" s="54">
        <f>D42+D43</f>
        <v/>
      </c>
      <c r="E44" s="54">
        <f>E42+E43</f>
        <v/>
      </c>
      <c r="F44" s="54">
        <f>F42+F43</f>
        <v/>
      </c>
      <c r="G44" s="54">
        <f>G42+G43</f>
        <v/>
      </c>
      <c r="H44" s="54">
        <f>H42+H43</f>
        <v/>
      </c>
      <c r="I44" s="54">
        <f>I42+I43</f>
        <v/>
      </c>
      <c r="J44" s="54">
        <f>J42+J43</f>
        <v/>
      </c>
      <c r="K44" s="54">
        <f>K42+K43</f>
        <v/>
      </c>
      <c r="L44" s="54">
        <f>L42+L43</f>
        <v/>
      </c>
      <c r="M44" s="54">
        <f>M42+M43</f>
        <v/>
      </c>
      <c r="N44" s="54">
        <f>N42+N43</f>
        <v/>
      </c>
    </row>
    <row r="45" ht="15" customHeight="1">
      <c r="A45" s="55" t="inlineStr">
        <is>
          <t>Net EBITDA (after HO overhead)</t>
        </is>
      </c>
      <c r="B45" s="56">
        <f>B39*(1-Inputs!$B$45)</f>
        <v/>
      </c>
      <c r="C45" s="56">
        <f>C39*(1-Inputs!$B$45)</f>
        <v/>
      </c>
      <c r="D45" s="56">
        <f>D39*(1-Inputs!$B$45)</f>
        <v/>
      </c>
      <c r="E45" s="56">
        <f>E39*(1-Inputs!$B$45)</f>
        <v/>
      </c>
      <c r="F45" s="56">
        <f>F39*(1-Inputs!$B$45)</f>
        <v/>
      </c>
      <c r="G45" s="56">
        <f>G39*(1-Inputs!$B$45)</f>
        <v/>
      </c>
      <c r="H45" s="56">
        <f>H39*(1-Inputs!$B$45)</f>
        <v/>
      </c>
      <c r="I45" s="56">
        <f>I39*(1-Inputs!$B$45)</f>
        <v/>
      </c>
      <c r="J45" s="56">
        <f>J39*(1-Inputs!$B$45)</f>
        <v/>
      </c>
      <c r="K45" s="56">
        <f>K39*(1-Inputs!$B$45)</f>
        <v/>
      </c>
      <c r="L45" s="56">
        <f>L39*(1-Inputs!$B$45)</f>
        <v/>
      </c>
      <c r="M45" s="56">
        <f>M39*(1-Inputs!$B$45)</f>
        <v/>
      </c>
      <c r="N45" s="56">
        <f>N39*(1-Inputs!$B$45)</f>
        <v/>
      </c>
    </row>
    <row r="46" ht="15" customHeight="1">
      <c r="A46" s="57" t="inlineStr">
        <is>
          <t>Memo</t>
        </is>
      </c>
      <c r="B46" s="58" t="n"/>
      <c r="C46" s="58" t="n"/>
      <c r="D46" s="58" t="n"/>
      <c r="E46" s="58" t="n"/>
      <c r="F46" s="58" t="n"/>
      <c r="G46" s="58" t="n"/>
      <c r="H46" s="58" t="n"/>
      <c r="I46" s="58" t="n"/>
      <c r="J46" s="58" t="n"/>
      <c r="K46" s="58" t="n"/>
      <c r="L46" s="58" t="n"/>
      <c r="M46" s="58" t="n"/>
      <c r="N46" s="58" t="n"/>
    </row>
    <row r="47" ht="12" customHeight="1">
      <c r="A47" s="59" t="inlineStr">
        <is>
          <t xml:space="preserve">    Nest (babies)</t>
        </is>
      </c>
      <c r="B47" s="60">
        <f>'Children Plan'!B3</f>
        <v/>
      </c>
      <c r="C47" s="60">
        <f>'Children Plan'!C3</f>
        <v/>
      </c>
      <c r="D47" s="60">
        <f>'Children Plan'!D3</f>
        <v/>
      </c>
      <c r="E47" s="60">
        <f>'Children Plan'!E3</f>
        <v/>
      </c>
      <c r="F47" s="60">
        <f>'Children Plan'!F3</f>
        <v/>
      </c>
      <c r="G47" s="60">
        <f>'Children Plan'!G3</f>
        <v/>
      </c>
      <c r="H47" s="60">
        <f>'Children Plan'!H3</f>
        <v/>
      </c>
      <c r="I47" s="60">
        <f>'Children Plan'!I3</f>
        <v/>
      </c>
      <c r="J47" s="60">
        <f>'Children Plan'!J3</f>
        <v/>
      </c>
      <c r="K47" s="60">
        <f>'Children Plan'!K3</f>
        <v/>
      </c>
      <c r="L47" s="60">
        <f>'Children Plan'!L3</f>
        <v/>
      </c>
      <c r="M47" s="60">
        <f>'Children Plan'!M3</f>
        <v/>
      </c>
      <c r="N47" s="23" t="n"/>
    </row>
    <row r="48" ht="12" customHeight="1">
      <c r="A48" s="59" t="inlineStr">
        <is>
          <t xml:space="preserve">    2-5 Room</t>
        </is>
      </c>
      <c r="B48" s="60">
        <f>'Children Plan'!B4+'Children Plan'!B5</f>
        <v/>
      </c>
      <c r="C48" s="60">
        <f>'Children Plan'!C4+'Children Plan'!C5</f>
        <v/>
      </c>
      <c r="D48" s="60">
        <f>'Children Plan'!D4+'Children Plan'!D5</f>
        <v/>
      </c>
      <c r="E48" s="60">
        <f>'Children Plan'!E4+'Children Plan'!E5</f>
        <v/>
      </c>
      <c r="F48" s="60">
        <f>'Children Plan'!F4+'Children Plan'!F5</f>
        <v/>
      </c>
      <c r="G48" s="60">
        <f>'Children Plan'!G4+'Children Plan'!G5</f>
        <v/>
      </c>
      <c r="H48" s="60">
        <f>'Children Plan'!H4+'Children Plan'!H5</f>
        <v/>
      </c>
      <c r="I48" s="60">
        <f>'Children Plan'!I4+'Children Plan'!I5</f>
        <v/>
      </c>
      <c r="J48" s="60">
        <f>'Children Plan'!J4+'Children Plan'!J5</f>
        <v/>
      </c>
      <c r="K48" s="60">
        <f>'Children Plan'!K4+'Children Plan'!K5</f>
        <v/>
      </c>
      <c r="L48" s="60">
        <f>'Children Plan'!L4+'Children Plan'!L5</f>
        <v/>
      </c>
      <c r="M48" s="60">
        <f>'Children Plan'!M4+'Children Plan'!M5</f>
        <v/>
      </c>
      <c r="N48" s="23" t="n"/>
    </row>
    <row r="49" ht="12" customHeight="1">
      <c r="A49" s="59" t="inlineStr">
        <is>
          <t xml:space="preserve">    Total staff</t>
        </is>
      </c>
      <c r="B49" s="60">
        <f>'Children Plan'!B15</f>
        <v/>
      </c>
      <c r="C49" s="60">
        <f>'Children Plan'!C15</f>
        <v/>
      </c>
      <c r="D49" s="60">
        <f>'Children Plan'!D15</f>
        <v/>
      </c>
      <c r="E49" s="60">
        <f>'Children Plan'!E15</f>
        <v/>
      </c>
      <c r="F49" s="60">
        <f>'Children Plan'!F15</f>
        <v/>
      </c>
      <c r="G49" s="60">
        <f>'Children Plan'!G15</f>
        <v/>
      </c>
      <c r="H49" s="60">
        <f>'Children Plan'!H15</f>
        <v/>
      </c>
      <c r="I49" s="60">
        <f>'Children Plan'!I15</f>
        <v/>
      </c>
      <c r="J49" s="60">
        <f>'Children Plan'!J15</f>
        <v/>
      </c>
      <c r="K49" s="60">
        <f>'Children Plan'!K15</f>
        <v/>
      </c>
      <c r="L49" s="60">
        <f>'Children Plan'!L15</f>
        <v/>
      </c>
      <c r="M49" s="60">
        <f>'Children Plan'!M15</f>
        <v/>
      </c>
      <c r="N49" s="23" t="n"/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2026-09-16T11:53:31Z</dcterms:created>
  <dcterms:modified xmlns:dcterms="http://purl.org/dc/terms/" xmlns:xsi="http://www.w3.org/2001/XMLSchema-instance" xsi:type="dcterms:W3CDTF">2026-09-16T11:53:31Z</dcterms:modified>
</cp:coreProperties>
</file>